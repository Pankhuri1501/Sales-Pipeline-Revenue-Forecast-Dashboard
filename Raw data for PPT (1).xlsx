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mcglobalind-my.sharepoint.com/personal/sanket_s_mehta_marsh_com/Documents/Desktop/"/>
    </mc:Choice>
  </mc:AlternateContent>
  <xr:revisionPtr revIDLastSave="0" documentId="8_{418F40EF-7995-40D6-8B19-0A006AAB1C75}" xr6:coauthVersionLast="47" xr6:coauthVersionMax="47" xr10:uidLastSave="{00000000-0000-0000-0000-000000000000}"/>
  <bookViews>
    <workbookView xWindow="-110" yWindow="-110" windowWidth="19420" windowHeight="11500" activeTab="2" xr2:uid="{B6DAEF86-BA26-4641-B918-19C7344019EA}"/>
  </bookViews>
  <sheets>
    <sheet name="Data Dictionary" sheetId="7" r:id="rId1"/>
    <sheet name="File with Unknown OID(ignore) " sheetId="8" state="hidden" r:id="rId2"/>
    <sheet name="Data for DB" sheetId="12" r:id="rId3"/>
  </sheets>
  <externalReferences>
    <externalReference r:id="rId4"/>
  </externalReferences>
  <definedNames>
    <definedName name="_xlnm._FilterDatabase" localSheetId="0" hidden="1">'Data Dictionary'!$A$30:$C$30</definedName>
    <definedName name="_xlnm._FilterDatabase" localSheetId="2" hidden="1">'Data for DB'!$A$1:$U$1</definedName>
    <definedName name="_xlnm._FilterDatabase" localSheetId="1" hidden="1">'File with Unknown OID(ignore) '!$A$1:$Q$1668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15" i="12" l="1"/>
  <c r="K1514" i="12"/>
  <c r="K1513" i="12"/>
  <c r="K1512" i="12"/>
  <c r="K1511" i="12"/>
  <c r="K1510" i="12"/>
  <c r="K1509" i="12"/>
  <c r="K1508" i="12"/>
  <c r="K1507" i="12"/>
  <c r="K1506" i="12"/>
  <c r="K1505" i="12"/>
  <c r="K1504" i="12"/>
  <c r="K1503" i="12"/>
  <c r="K1502" i="12"/>
  <c r="K1501" i="12"/>
  <c r="K1500" i="12"/>
  <c r="K1499" i="12"/>
  <c r="K1498" i="12"/>
  <c r="K1496" i="12"/>
  <c r="K1495" i="12"/>
  <c r="K1493" i="12"/>
  <c r="K1491" i="12"/>
  <c r="K1490" i="12"/>
  <c r="K1489" i="12"/>
  <c r="K1488" i="12"/>
  <c r="K1487" i="12"/>
  <c r="K1486" i="12"/>
  <c r="K1485" i="12"/>
  <c r="K1484" i="12"/>
  <c r="K1483" i="12"/>
  <c r="K1482" i="12"/>
  <c r="K1481" i="12"/>
  <c r="K1480" i="12"/>
  <c r="K1478" i="12"/>
  <c r="K1476" i="12"/>
  <c r="K1475" i="12"/>
  <c r="K1474" i="12"/>
  <c r="K1473" i="12"/>
  <c r="K1472" i="12"/>
  <c r="K1471" i="12"/>
  <c r="K1469" i="12"/>
  <c r="K1468" i="12"/>
  <c r="K1467" i="12"/>
  <c r="K1466" i="12"/>
  <c r="K1464" i="12"/>
  <c r="K1463" i="12"/>
  <c r="K1462" i="12"/>
  <c r="K1461" i="12"/>
  <c r="K1460" i="12"/>
  <c r="K1459" i="12"/>
  <c r="K1458" i="12"/>
  <c r="K1457" i="12"/>
  <c r="K1456" i="12"/>
  <c r="K1455" i="12"/>
  <c r="K1453" i="12"/>
  <c r="K1452" i="12"/>
  <c r="K1451" i="12"/>
  <c r="K1450" i="12"/>
  <c r="K1447" i="12"/>
  <c r="K1446" i="12"/>
  <c r="K1445" i="12"/>
  <c r="K1444" i="12"/>
  <c r="K1441" i="12"/>
  <c r="K1440" i="12"/>
  <c r="K1439" i="12"/>
  <c r="K1438" i="12"/>
  <c r="K1437" i="12"/>
  <c r="K1436" i="12"/>
  <c r="K1435" i="12"/>
  <c r="K1434" i="12"/>
  <c r="K1433" i="12"/>
  <c r="K1432" i="12"/>
  <c r="K1431" i="12"/>
  <c r="K1430" i="12"/>
  <c r="K1429" i="12"/>
  <c r="K1428" i="12"/>
  <c r="K1427" i="12"/>
  <c r="K1426" i="12"/>
  <c r="K1425" i="12"/>
  <c r="K1424" i="12"/>
  <c r="K1423" i="12"/>
  <c r="K1422" i="12"/>
  <c r="K1421" i="12"/>
  <c r="K1420" i="12"/>
  <c r="K1418" i="12"/>
  <c r="K1417" i="12"/>
  <c r="K1416" i="12"/>
  <c r="K1415" i="12"/>
  <c r="K1414" i="12"/>
  <c r="K1413" i="12"/>
  <c r="K1411" i="12"/>
  <c r="K1410" i="12"/>
  <c r="K1409" i="12"/>
  <c r="K1408" i="12"/>
  <c r="K1406" i="12"/>
  <c r="K1405" i="12"/>
  <c r="K1404" i="12"/>
  <c r="K1403" i="12"/>
  <c r="K1402" i="12"/>
  <c r="K1401" i="12"/>
  <c r="K1400" i="12"/>
  <c r="K1399" i="12"/>
  <c r="K1398" i="12"/>
  <c r="K1397" i="12"/>
  <c r="K1396" i="12"/>
  <c r="K1395" i="12"/>
  <c r="K1393" i="12"/>
  <c r="K1392" i="12"/>
  <c r="K1391" i="12"/>
  <c r="K1390" i="12"/>
  <c r="K1389" i="12"/>
  <c r="K1387" i="12"/>
  <c r="K1386" i="12"/>
  <c r="K1385" i="12"/>
  <c r="K1384" i="12"/>
  <c r="K1383" i="12"/>
  <c r="K1382" i="12"/>
  <c r="K1381" i="12"/>
  <c r="K1380" i="12"/>
  <c r="K1379" i="12"/>
  <c r="K1378" i="12"/>
  <c r="K1377" i="12"/>
  <c r="K1376" i="12"/>
  <c r="K1375" i="12"/>
  <c r="K1374" i="12"/>
  <c r="K1373" i="12"/>
  <c r="K1372" i="12"/>
  <c r="K1370" i="12"/>
  <c r="K1369" i="12"/>
  <c r="K1368" i="12"/>
  <c r="K1367" i="12"/>
  <c r="K1366" i="12"/>
  <c r="K1365" i="12"/>
  <c r="K1364" i="12"/>
  <c r="K1363" i="12"/>
  <c r="K1362" i="12"/>
  <c r="K1361" i="12"/>
  <c r="K1359" i="12"/>
  <c r="K1358" i="12"/>
  <c r="K1357" i="12"/>
  <c r="K1356" i="12"/>
  <c r="K1354" i="12"/>
  <c r="K1353" i="12"/>
  <c r="K1351" i="12"/>
  <c r="K1350" i="12"/>
  <c r="K1348" i="12"/>
  <c r="K1347" i="12"/>
  <c r="K1346" i="12"/>
  <c r="K1345" i="12"/>
  <c r="K1344" i="12"/>
  <c r="K1343" i="12"/>
  <c r="K1342" i="12"/>
  <c r="K1341" i="12"/>
  <c r="K1340" i="12"/>
  <c r="K1338" i="12"/>
  <c r="K1337" i="12"/>
  <c r="K1336" i="12"/>
  <c r="K1335" i="12"/>
  <c r="K1334" i="12"/>
  <c r="K1333" i="12"/>
  <c r="K1332" i="12"/>
  <c r="K1331" i="12"/>
  <c r="K1330" i="12"/>
  <c r="K1328" i="12"/>
  <c r="K1327" i="12"/>
  <c r="K1326" i="12"/>
  <c r="K1324" i="12"/>
  <c r="K1323" i="12"/>
  <c r="K1322" i="12"/>
  <c r="K1321" i="12"/>
  <c r="K1320" i="12"/>
  <c r="K1319" i="12"/>
  <c r="K1318" i="12"/>
  <c r="K1317" i="12"/>
  <c r="K1316" i="12"/>
  <c r="K1315" i="12"/>
  <c r="K1313" i="12"/>
  <c r="K1312" i="12"/>
  <c r="K1311" i="12"/>
  <c r="K1310" i="12"/>
  <c r="K1309" i="12"/>
  <c r="K1308" i="12"/>
  <c r="K1307" i="12"/>
  <c r="K1306" i="12"/>
  <c r="K1305" i="12"/>
  <c r="K1303" i="12"/>
  <c r="K1301" i="12"/>
  <c r="K1300" i="12"/>
  <c r="K1299" i="12"/>
  <c r="K1298" i="12"/>
  <c r="K1297" i="12"/>
  <c r="K1296" i="12"/>
  <c r="K1295" i="12"/>
  <c r="K1294" i="12"/>
  <c r="K1293" i="12"/>
  <c r="K1292" i="12"/>
  <c r="K1291" i="12"/>
  <c r="K1290" i="12"/>
  <c r="K1289" i="12"/>
  <c r="K1286" i="12"/>
  <c r="K1285" i="12"/>
  <c r="K1284" i="12"/>
  <c r="K1282" i="12"/>
  <c r="K1281" i="12"/>
  <c r="K1280" i="12"/>
  <c r="K1279" i="12"/>
  <c r="K1278" i="12"/>
  <c r="K1277" i="12"/>
  <c r="K1276" i="12"/>
  <c r="K1275" i="12"/>
  <c r="K1274" i="12"/>
  <c r="K1273" i="12"/>
  <c r="K1272" i="12"/>
  <c r="K1271" i="12"/>
  <c r="K1270" i="12"/>
  <c r="K1269" i="12"/>
  <c r="K1268" i="12"/>
  <c r="K1266" i="12"/>
  <c r="K1265" i="12"/>
  <c r="K1264" i="12"/>
  <c r="K1263" i="12"/>
  <c r="K1261" i="12"/>
  <c r="K1260" i="12"/>
  <c r="K1259" i="12"/>
  <c r="K1258" i="12"/>
  <c r="K1257" i="12"/>
  <c r="K1255" i="12"/>
  <c r="K1254" i="12"/>
  <c r="K1253" i="12"/>
  <c r="K1252" i="12"/>
  <c r="K1251" i="12"/>
  <c r="K1250" i="12"/>
  <c r="K1249" i="12"/>
  <c r="K1248" i="12"/>
  <c r="K1247" i="12"/>
  <c r="K1246" i="12"/>
  <c r="K1245" i="12"/>
  <c r="K1244" i="12"/>
  <c r="K1242" i="12"/>
  <c r="K1241" i="12"/>
  <c r="K1240" i="12"/>
  <c r="K1239" i="12"/>
  <c r="K1238" i="12"/>
  <c r="K1237" i="12"/>
  <c r="K1236" i="12"/>
  <c r="K1235" i="12"/>
  <c r="K1234" i="12"/>
  <c r="K1233" i="12"/>
  <c r="K1232" i="12"/>
  <c r="K1230" i="12"/>
  <c r="K1229" i="12"/>
  <c r="K1227" i="12"/>
  <c r="K1226" i="12"/>
  <c r="K1225" i="12"/>
  <c r="K1224" i="12"/>
  <c r="K1223" i="12"/>
  <c r="K1222" i="12"/>
  <c r="K1221" i="12"/>
  <c r="K1220" i="12"/>
  <c r="K1219" i="12"/>
  <c r="K1218" i="12"/>
  <c r="K1217" i="12"/>
  <c r="K1216" i="12"/>
  <c r="K1215" i="12"/>
  <c r="K1214" i="12"/>
  <c r="K1213" i="12"/>
  <c r="K1212" i="12"/>
  <c r="K1210" i="12"/>
  <c r="K1209" i="12"/>
  <c r="K1208" i="12"/>
  <c r="K1207" i="12"/>
  <c r="K1206" i="12"/>
  <c r="K1205" i="12"/>
  <c r="K1204" i="12"/>
  <c r="K1203" i="12"/>
  <c r="K1202" i="12"/>
  <c r="K1201" i="12"/>
  <c r="K1200" i="12"/>
  <c r="K1198" i="12"/>
  <c r="K1197" i="12"/>
  <c r="K1196" i="12"/>
  <c r="K1195" i="12"/>
  <c r="K1194" i="12"/>
  <c r="K1193" i="12"/>
  <c r="K1192" i="12"/>
  <c r="K1191" i="12"/>
  <c r="K1190" i="12"/>
  <c r="K1189" i="12"/>
  <c r="K1188" i="12"/>
  <c r="K1187" i="12"/>
  <c r="K1186" i="12"/>
  <c r="K1185" i="12"/>
  <c r="K1184" i="12"/>
  <c r="K1183" i="12"/>
  <c r="K1182" i="12"/>
  <c r="K1181" i="12"/>
  <c r="K1180" i="12"/>
  <c r="K1179" i="12"/>
  <c r="K1178" i="12"/>
  <c r="K1177" i="12"/>
  <c r="K1174" i="12"/>
  <c r="K1173" i="12"/>
  <c r="K1172" i="12"/>
  <c r="K1171" i="12"/>
  <c r="K1169" i="12"/>
  <c r="K1168" i="12"/>
  <c r="K1167" i="12"/>
  <c r="K1166" i="12"/>
  <c r="K1165" i="12"/>
  <c r="K1164" i="12"/>
  <c r="K1163" i="12"/>
  <c r="K1162" i="12"/>
  <c r="K1161" i="12"/>
  <c r="K1160" i="12"/>
  <c r="K1159" i="12"/>
  <c r="K1158" i="12"/>
  <c r="K1156" i="12"/>
  <c r="K1154" i="12"/>
  <c r="K1153" i="12"/>
  <c r="K1151" i="12"/>
  <c r="K1150" i="12"/>
  <c r="K1149" i="12"/>
  <c r="K1148" i="12"/>
  <c r="K1147" i="12"/>
  <c r="K1145" i="12"/>
  <c r="K1144" i="12"/>
  <c r="K1143" i="12"/>
  <c r="K1142" i="12"/>
  <c r="K1141" i="12"/>
  <c r="K1140" i="12"/>
  <c r="K1139" i="12"/>
  <c r="K1138" i="12"/>
  <c r="K1137" i="12"/>
  <c r="K1136" i="12"/>
  <c r="K1135" i="12"/>
  <c r="K1134" i="12"/>
  <c r="K1132" i="12"/>
  <c r="K1131" i="12"/>
  <c r="K1130" i="12"/>
  <c r="K1129" i="12"/>
  <c r="K1127" i="12"/>
  <c r="K1126" i="12"/>
  <c r="K1125" i="12"/>
  <c r="K1124" i="12"/>
  <c r="K1123" i="12"/>
  <c r="K1122" i="12"/>
  <c r="K1121" i="12"/>
  <c r="K1120" i="12"/>
  <c r="K1119" i="12"/>
  <c r="K1117" i="12"/>
  <c r="K1116" i="12"/>
  <c r="K1115" i="12"/>
  <c r="K1114" i="12"/>
  <c r="K1113" i="12"/>
  <c r="K1112" i="12"/>
  <c r="K1111" i="12"/>
  <c r="K1110" i="12"/>
  <c r="K1109" i="12"/>
  <c r="K1108" i="12"/>
  <c r="K1107" i="12"/>
  <c r="K1105" i="12"/>
  <c r="K1104" i="12"/>
  <c r="K1103" i="12"/>
  <c r="K1102" i="12"/>
  <c r="K1101" i="12"/>
  <c r="K1100" i="12"/>
  <c r="K1099" i="12"/>
  <c r="K1098" i="12"/>
  <c r="K1097" i="12"/>
  <c r="K1096" i="12"/>
  <c r="K1095" i="12"/>
  <c r="K1094" i="12"/>
  <c r="K1093" i="12"/>
  <c r="K1092" i="12"/>
  <c r="K1090" i="12"/>
  <c r="K1089" i="12"/>
  <c r="K1088" i="12"/>
  <c r="K1087" i="12"/>
  <c r="K1085" i="12"/>
  <c r="K1084" i="12"/>
  <c r="K1083" i="12"/>
  <c r="K1082" i="12"/>
  <c r="K1081" i="12"/>
  <c r="K1080" i="12"/>
  <c r="K1079" i="12"/>
  <c r="K1078" i="12"/>
  <c r="K1077" i="12"/>
  <c r="K1076" i="12"/>
  <c r="K1075" i="12"/>
  <c r="K1074" i="12"/>
  <c r="K1073" i="12"/>
  <c r="K1072" i="12"/>
  <c r="K1071" i="12"/>
  <c r="K1070" i="12"/>
  <c r="K1069" i="12"/>
  <c r="K1068" i="12"/>
  <c r="K1067" i="12"/>
  <c r="K1066" i="12"/>
  <c r="K1065" i="12"/>
  <c r="K1063" i="12"/>
  <c r="K1061" i="12"/>
  <c r="K1059" i="12"/>
  <c r="K1058" i="12"/>
  <c r="K1057" i="12"/>
  <c r="K1056" i="12"/>
  <c r="K1055" i="12"/>
  <c r="K1054" i="12"/>
  <c r="K1052" i="12"/>
  <c r="K1051" i="12"/>
  <c r="K1050" i="12"/>
  <c r="K1049" i="12"/>
  <c r="K1048" i="12"/>
  <c r="K1047" i="12"/>
  <c r="K1046" i="12"/>
  <c r="K1045" i="12"/>
  <c r="K1044" i="12"/>
  <c r="K1043" i="12"/>
  <c r="K1042" i="12"/>
  <c r="K1041" i="12"/>
  <c r="K1040" i="12"/>
  <c r="K1039" i="12"/>
  <c r="K1038" i="12"/>
  <c r="K1037" i="12"/>
  <c r="K1036" i="12"/>
  <c r="K1035" i="12"/>
  <c r="K1034" i="12"/>
  <c r="K1032" i="12"/>
  <c r="K1031" i="12"/>
  <c r="K1030" i="12"/>
  <c r="K1029" i="12"/>
  <c r="K1028" i="12"/>
  <c r="K1027" i="12"/>
  <c r="K1025" i="12"/>
  <c r="K1024" i="12"/>
  <c r="K1023" i="12"/>
  <c r="K1022" i="12"/>
  <c r="K1020" i="12"/>
  <c r="K1019" i="12"/>
  <c r="K1018" i="12"/>
  <c r="K1017" i="12"/>
  <c r="K1016" i="12"/>
  <c r="K1015" i="12"/>
  <c r="K1014" i="12"/>
  <c r="K1013" i="12"/>
  <c r="K1012" i="12"/>
  <c r="K1011" i="12"/>
  <c r="K1010" i="12"/>
  <c r="K1009" i="12"/>
  <c r="K1008" i="12"/>
  <c r="K1007" i="12"/>
  <c r="K1006" i="12"/>
  <c r="K1005" i="12"/>
  <c r="K1004" i="12"/>
  <c r="K1003" i="12"/>
  <c r="K1002" i="12"/>
  <c r="K1001" i="12"/>
  <c r="K1000" i="12"/>
  <c r="K999" i="12"/>
  <c r="K998" i="12"/>
  <c r="K996" i="12"/>
  <c r="K994" i="12"/>
  <c r="K993" i="12"/>
  <c r="K992" i="12"/>
  <c r="K991" i="12"/>
  <c r="K990" i="12"/>
  <c r="K989" i="12"/>
  <c r="K988" i="12"/>
  <c r="K987" i="12"/>
  <c r="K986" i="12"/>
  <c r="K984" i="12"/>
  <c r="K983" i="12"/>
  <c r="K982" i="12"/>
  <c r="K980" i="12"/>
  <c r="K978" i="12"/>
  <c r="K976" i="12"/>
  <c r="K975" i="12"/>
  <c r="K974" i="12"/>
  <c r="K973" i="12"/>
  <c r="K972" i="12"/>
  <c r="K971" i="12"/>
  <c r="K970" i="12"/>
  <c r="K969" i="12"/>
  <c r="K967" i="12"/>
  <c r="K966" i="12"/>
  <c r="K965" i="12"/>
  <c r="K964" i="12"/>
  <c r="K963" i="12"/>
  <c r="K962" i="12"/>
  <c r="K961" i="12"/>
  <c r="K960" i="12"/>
  <c r="K959" i="12"/>
  <c r="K957" i="12"/>
  <c r="K956" i="12"/>
  <c r="K955" i="12"/>
  <c r="K954" i="12"/>
  <c r="K953" i="12"/>
  <c r="K952" i="12"/>
  <c r="K951" i="12"/>
  <c r="K950" i="12"/>
  <c r="K949" i="12"/>
  <c r="K947" i="12"/>
  <c r="K946" i="12"/>
  <c r="K943" i="12"/>
  <c r="K942" i="12"/>
  <c r="K941" i="12"/>
  <c r="K940" i="12"/>
  <c r="K939" i="12"/>
  <c r="K938" i="12"/>
  <c r="K937" i="12"/>
  <c r="K936" i="12"/>
  <c r="K934" i="12"/>
  <c r="K933" i="12"/>
  <c r="U1660" i="12"/>
  <c r="U1659" i="12"/>
  <c r="U1658" i="12"/>
  <c r="U1657" i="12"/>
  <c r="U1656" i="12"/>
  <c r="U1655" i="12"/>
  <c r="U1654" i="12"/>
  <c r="U1653" i="12"/>
  <c r="U1652" i="12"/>
  <c r="U1651" i="12"/>
  <c r="U1650" i="12"/>
  <c r="U1649" i="12"/>
  <c r="U1648" i="12"/>
  <c r="U1647" i="12"/>
  <c r="U1646" i="12"/>
  <c r="U1645" i="12"/>
  <c r="U1644" i="12"/>
  <c r="U1643" i="12"/>
  <c r="U1642" i="12"/>
  <c r="U1641" i="12"/>
  <c r="U1640" i="12"/>
  <c r="U1639" i="12"/>
  <c r="U1638" i="12"/>
  <c r="U1637" i="12"/>
  <c r="U1636" i="12"/>
  <c r="U1635" i="12"/>
  <c r="U1634" i="12"/>
  <c r="U1633" i="12"/>
  <c r="U1632" i="12"/>
  <c r="U1631" i="12"/>
  <c r="U1630" i="12"/>
  <c r="U1629" i="12"/>
  <c r="U1628" i="12"/>
  <c r="U1627" i="12"/>
  <c r="U1626" i="12"/>
  <c r="U1625" i="12"/>
  <c r="U1624" i="12"/>
  <c r="U1623" i="12"/>
  <c r="U1622" i="12"/>
  <c r="U1621" i="12"/>
  <c r="U1620" i="12"/>
  <c r="U1619" i="12"/>
  <c r="U1618" i="12"/>
  <c r="U1617" i="12"/>
  <c r="U1616" i="12"/>
  <c r="U1615" i="12"/>
  <c r="U1614" i="12"/>
  <c r="U1613" i="12"/>
  <c r="U1612" i="12"/>
  <c r="U1611" i="12"/>
  <c r="U1610" i="12"/>
  <c r="U1609" i="12"/>
  <c r="U1608" i="12"/>
  <c r="U1607" i="12"/>
  <c r="U1606" i="12"/>
  <c r="U1605" i="12"/>
  <c r="U1604" i="12"/>
  <c r="U1603" i="12"/>
  <c r="U1602" i="12"/>
  <c r="U1601" i="12"/>
  <c r="U1600" i="12"/>
  <c r="U1599" i="12"/>
  <c r="U1598" i="12"/>
  <c r="U1597" i="12"/>
  <c r="U1596" i="12"/>
  <c r="U1595" i="12"/>
  <c r="U1594" i="12"/>
  <c r="U1593" i="12"/>
  <c r="U1592" i="12"/>
  <c r="U1591" i="12"/>
  <c r="U1590" i="12"/>
  <c r="U1589" i="12"/>
  <c r="U1588" i="12"/>
  <c r="U1587" i="12"/>
  <c r="U1586" i="12"/>
  <c r="U1585" i="12"/>
  <c r="U1584" i="12"/>
  <c r="U1583" i="12"/>
  <c r="U1582" i="12"/>
  <c r="U1581" i="12"/>
  <c r="U1580" i="12"/>
  <c r="U1579" i="12"/>
  <c r="U1578" i="12"/>
  <c r="U1577" i="12"/>
  <c r="U1576" i="12"/>
  <c r="U1575" i="12"/>
  <c r="U1574" i="12"/>
  <c r="U1573" i="12"/>
  <c r="U1572" i="12"/>
  <c r="U1571" i="12"/>
  <c r="U1570" i="12"/>
  <c r="U1569" i="12"/>
  <c r="U1568" i="12"/>
  <c r="U1567" i="12"/>
  <c r="U1566" i="12"/>
  <c r="U1565" i="12"/>
  <c r="U1564" i="12"/>
  <c r="U1563" i="12"/>
  <c r="U1562" i="12"/>
  <c r="U1561" i="12"/>
  <c r="U1560" i="12"/>
  <c r="U1559" i="12"/>
  <c r="U1558" i="12"/>
  <c r="U1557" i="12"/>
  <c r="U1556" i="12"/>
  <c r="U1555" i="12"/>
  <c r="U1554" i="12"/>
  <c r="U1553" i="12"/>
  <c r="U1552" i="12"/>
  <c r="U1551" i="12"/>
  <c r="U1550" i="12"/>
  <c r="U1549" i="12"/>
  <c r="U1548" i="12"/>
  <c r="U1547" i="12"/>
  <c r="U1546" i="12"/>
  <c r="U1545" i="12"/>
  <c r="U1544" i="12"/>
  <c r="U1543" i="12"/>
  <c r="U1542" i="12"/>
  <c r="U1541" i="12"/>
  <c r="U1540" i="12"/>
  <c r="U1539" i="12"/>
  <c r="U1538" i="12"/>
  <c r="U1537" i="12"/>
  <c r="U1536" i="12"/>
  <c r="U1535" i="12"/>
  <c r="U1534" i="12"/>
  <c r="U1533" i="12"/>
  <c r="U1532" i="12"/>
  <c r="U1531" i="12"/>
  <c r="U1530" i="12"/>
  <c r="U1529" i="12"/>
  <c r="U1528" i="12"/>
  <c r="U1527" i="12"/>
  <c r="U1526" i="12"/>
  <c r="U1525" i="12"/>
  <c r="U1524" i="12"/>
  <c r="U1523" i="12"/>
  <c r="U1522" i="12"/>
  <c r="U1521" i="12"/>
  <c r="U1520" i="12"/>
  <c r="U1519" i="12"/>
  <c r="U1518" i="12"/>
  <c r="U1517" i="12"/>
  <c r="U1516" i="12"/>
  <c r="U1497" i="12"/>
  <c r="U1494" i="12"/>
  <c r="U1492" i="12"/>
  <c r="U1479" i="12"/>
  <c r="U1477" i="12"/>
  <c r="U1470" i="12"/>
  <c r="U1465" i="12"/>
  <c r="U1454" i="12"/>
  <c r="U1449" i="12"/>
  <c r="U1448" i="12"/>
  <c r="U1443" i="12"/>
  <c r="U1442" i="12"/>
  <c r="U1419" i="12"/>
  <c r="U1412" i="12"/>
  <c r="U1407" i="12"/>
  <c r="U1394" i="12"/>
  <c r="U1388" i="12"/>
  <c r="U1371" i="12"/>
  <c r="U1360" i="12"/>
  <c r="U1355" i="12"/>
  <c r="U1352" i="12"/>
  <c r="U1349" i="12"/>
  <c r="U1339" i="12"/>
  <c r="U1329" i="12"/>
  <c r="U1325" i="12"/>
  <c r="U1314" i="12"/>
  <c r="U1304" i="12"/>
  <c r="U1302" i="12"/>
  <c r="U1288" i="12"/>
  <c r="U1287" i="12"/>
  <c r="U1283" i="12"/>
  <c r="U1267" i="12"/>
  <c r="U1262" i="12"/>
  <c r="U1256" i="12"/>
  <c r="U1243" i="12"/>
  <c r="U1231" i="12"/>
  <c r="U1228" i="12"/>
  <c r="U1211" i="12"/>
  <c r="U1199" i="12"/>
  <c r="U1176" i="12"/>
  <c r="U1175" i="12"/>
  <c r="U1170" i="12"/>
  <c r="U1157" i="12"/>
  <c r="U1155" i="12"/>
  <c r="U1152" i="12"/>
  <c r="U1146" i="12"/>
  <c r="U1133" i="12"/>
  <c r="U1128" i="12"/>
  <c r="U1118" i="12"/>
  <c r="U1106" i="12"/>
  <c r="U1091" i="12"/>
  <c r="U1086" i="12"/>
  <c r="U1064" i="12"/>
  <c r="U1062" i="12"/>
  <c r="U1060" i="12"/>
  <c r="U1053" i="12"/>
  <c r="U1033" i="12"/>
  <c r="U1026" i="12"/>
  <c r="U1021" i="12"/>
  <c r="U997" i="12"/>
  <c r="U995" i="12"/>
  <c r="U985" i="12"/>
  <c r="U981" i="12"/>
  <c r="U979" i="12"/>
  <c r="U977" i="12"/>
  <c r="U968" i="12"/>
  <c r="U958" i="12"/>
  <c r="U948" i="12"/>
  <c r="U945" i="12"/>
  <c r="U944" i="12"/>
  <c r="U935" i="12"/>
  <c r="U932" i="12"/>
  <c r="U931" i="12"/>
  <c r="U930" i="12"/>
  <c r="U929" i="12"/>
  <c r="U928" i="12"/>
  <c r="U927" i="12"/>
  <c r="U926" i="12"/>
  <c r="U925" i="12"/>
  <c r="U924" i="12"/>
  <c r="U923" i="12"/>
  <c r="U922" i="12"/>
  <c r="U921" i="12"/>
  <c r="U920" i="12"/>
  <c r="U919" i="12"/>
  <c r="U918" i="12"/>
  <c r="U917" i="12"/>
  <c r="U916" i="12"/>
  <c r="U915" i="12"/>
  <c r="U914" i="12"/>
  <c r="U913" i="12"/>
  <c r="U912" i="12"/>
  <c r="U911" i="12"/>
  <c r="U910" i="12"/>
  <c r="U909" i="12"/>
  <c r="U908" i="12"/>
  <c r="U907" i="12"/>
  <c r="U906" i="12"/>
  <c r="U905" i="12"/>
  <c r="U904" i="12"/>
  <c r="U903" i="12"/>
  <c r="U902" i="12"/>
  <c r="U901" i="12"/>
  <c r="U900" i="12"/>
  <c r="U899" i="12"/>
  <c r="U898" i="12"/>
  <c r="U897" i="12"/>
  <c r="U896" i="12"/>
  <c r="U895" i="12"/>
  <c r="U894" i="12"/>
  <c r="U893" i="12"/>
  <c r="U892" i="12"/>
  <c r="U891" i="12"/>
  <c r="U890" i="12"/>
  <c r="U889" i="12"/>
  <c r="U888" i="12"/>
  <c r="U887" i="12"/>
  <c r="U886" i="12"/>
  <c r="U885" i="12"/>
  <c r="U884" i="12"/>
  <c r="U883" i="12"/>
  <c r="U882" i="12"/>
  <c r="U881" i="12"/>
  <c r="U880" i="12"/>
  <c r="U879" i="12"/>
  <c r="U878" i="12"/>
  <c r="U877" i="12"/>
  <c r="U876" i="12"/>
  <c r="U875" i="12"/>
  <c r="U874" i="12"/>
  <c r="U873" i="12"/>
  <c r="U872" i="12"/>
  <c r="U871" i="12"/>
  <c r="U870" i="12"/>
  <c r="U869" i="12"/>
  <c r="U868" i="12"/>
  <c r="U867" i="12"/>
  <c r="U866" i="12"/>
  <c r="U865" i="12"/>
  <c r="U864" i="12"/>
  <c r="U863" i="12"/>
  <c r="U862" i="12"/>
  <c r="U861" i="12"/>
  <c r="U860" i="12"/>
  <c r="U859" i="12"/>
  <c r="U858" i="12"/>
  <c r="U857" i="12"/>
  <c r="U856" i="12"/>
  <c r="U855" i="12"/>
  <c r="U854" i="12"/>
  <c r="U853" i="12"/>
  <c r="U852" i="12"/>
  <c r="U851" i="12"/>
  <c r="U850" i="12"/>
  <c r="U849" i="12"/>
  <c r="U848" i="12"/>
  <c r="U847" i="12"/>
  <c r="U846" i="12"/>
  <c r="U845" i="12"/>
  <c r="U844" i="12"/>
  <c r="U843" i="12"/>
  <c r="U842" i="12"/>
  <c r="U841" i="12"/>
  <c r="U840" i="12"/>
  <c r="U839" i="12"/>
  <c r="U838" i="12"/>
  <c r="U837" i="12"/>
  <c r="U836" i="12"/>
  <c r="U835" i="12"/>
  <c r="U834" i="12"/>
  <c r="U833" i="12"/>
  <c r="U832" i="12"/>
  <c r="U831" i="12"/>
  <c r="U830" i="12"/>
  <c r="U829" i="12"/>
  <c r="U828" i="12"/>
  <c r="U827" i="12"/>
  <c r="U826" i="12"/>
  <c r="U825" i="12"/>
  <c r="U824" i="12"/>
  <c r="U823" i="12"/>
  <c r="U822" i="12"/>
  <c r="U821" i="12"/>
  <c r="U820" i="12"/>
  <c r="U819" i="12"/>
  <c r="U818" i="12"/>
  <c r="U817" i="12"/>
  <c r="U816" i="12"/>
  <c r="U815" i="12"/>
  <c r="U814" i="12"/>
  <c r="U813" i="12"/>
  <c r="U812" i="12"/>
  <c r="U811" i="12"/>
  <c r="U810" i="12"/>
  <c r="U809" i="12"/>
  <c r="U808" i="12"/>
  <c r="U807" i="12"/>
  <c r="U806" i="12"/>
  <c r="U805" i="12"/>
  <c r="U804" i="12"/>
  <c r="U803" i="12"/>
  <c r="U802" i="12"/>
  <c r="U801" i="12"/>
  <c r="U800" i="12"/>
  <c r="U799" i="12"/>
  <c r="U798" i="12"/>
  <c r="U797" i="12"/>
  <c r="U796" i="12"/>
  <c r="U795" i="12"/>
  <c r="U794" i="12"/>
  <c r="U793" i="12"/>
  <c r="U792" i="12"/>
  <c r="U791" i="12"/>
  <c r="U790" i="12"/>
  <c r="U789" i="12"/>
  <c r="U788" i="12"/>
  <c r="U787" i="12"/>
  <c r="U786" i="12"/>
  <c r="U785" i="12"/>
  <c r="U784" i="12"/>
  <c r="U783" i="12"/>
  <c r="U782" i="12"/>
  <c r="U781" i="12"/>
  <c r="U780" i="12"/>
  <c r="U779" i="12"/>
  <c r="U778" i="12"/>
  <c r="U777" i="12"/>
  <c r="U776" i="12"/>
  <c r="U775" i="12"/>
  <c r="U774" i="12"/>
  <c r="U773" i="12"/>
  <c r="U772" i="12"/>
  <c r="U771" i="12"/>
  <c r="U770" i="12"/>
  <c r="U769" i="12"/>
  <c r="U768" i="12"/>
  <c r="U767" i="12"/>
  <c r="U766" i="12"/>
  <c r="U765" i="12"/>
  <c r="U764" i="12"/>
  <c r="U763" i="12"/>
  <c r="U762" i="12"/>
  <c r="U761" i="12"/>
  <c r="U760" i="12"/>
  <c r="U759" i="12"/>
  <c r="U758" i="12"/>
  <c r="U757" i="12"/>
  <c r="U756" i="12"/>
  <c r="U755" i="12"/>
  <c r="U754" i="12"/>
  <c r="U753" i="12"/>
  <c r="U752" i="12"/>
  <c r="U751" i="12"/>
  <c r="U750" i="12"/>
  <c r="U749" i="12"/>
  <c r="U748" i="12"/>
  <c r="U747" i="12"/>
  <c r="U746" i="12"/>
  <c r="U745" i="12"/>
  <c r="U744" i="12"/>
  <c r="U743" i="12"/>
  <c r="U742" i="12"/>
  <c r="U741" i="12"/>
  <c r="U740" i="12"/>
  <c r="U739" i="12"/>
  <c r="U738" i="12"/>
  <c r="U737" i="12"/>
  <c r="U736" i="12"/>
  <c r="U735" i="12"/>
  <c r="U734" i="12"/>
  <c r="U733" i="12"/>
  <c r="U732" i="12"/>
  <c r="U731" i="12"/>
  <c r="U730" i="12"/>
  <c r="U729" i="12"/>
  <c r="U728" i="12"/>
  <c r="U727" i="12"/>
  <c r="U726" i="12"/>
  <c r="U725" i="12"/>
  <c r="U724" i="12"/>
  <c r="U723" i="12"/>
  <c r="U722" i="12"/>
  <c r="U721" i="12"/>
  <c r="U720" i="12"/>
  <c r="U719" i="12"/>
  <c r="U718" i="12"/>
  <c r="U717" i="12"/>
  <c r="U716" i="12"/>
  <c r="U715" i="12"/>
  <c r="U714" i="12"/>
  <c r="U713" i="12"/>
  <c r="U712" i="12"/>
  <c r="U711" i="12"/>
  <c r="U710" i="12"/>
  <c r="U709" i="12"/>
  <c r="U708" i="12"/>
  <c r="U707" i="12"/>
  <c r="U706" i="12"/>
  <c r="U705" i="12"/>
  <c r="U704" i="12"/>
  <c r="U703" i="12"/>
  <c r="U702" i="12"/>
  <c r="U701" i="12"/>
  <c r="U700" i="12"/>
  <c r="U699" i="12"/>
  <c r="U698" i="12"/>
  <c r="U697" i="12"/>
  <c r="U696" i="12"/>
  <c r="U695" i="12"/>
  <c r="U694" i="12"/>
  <c r="U693" i="12"/>
  <c r="U692" i="12"/>
  <c r="U691" i="12"/>
  <c r="U690" i="12"/>
  <c r="U689" i="12"/>
  <c r="U688" i="12"/>
  <c r="U687" i="12"/>
  <c r="U686" i="12"/>
  <c r="U685" i="12"/>
  <c r="U684" i="12"/>
  <c r="U683" i="12"/>
  <c r="U682" i="12"/>
  <c r="U681" i="12"/>
  <c r="U680" i="12"/>
  <c r="U679" i="12"/>
  <c r="U678" i="12"/>
  <c r="U677" i="12"/>
  <c r="U676" i="12"/>
  <c r="U675" i="12"/>
  <c r="U674" i="12"/>
  <c r="U673" i="12"/>
  <c r="U672" i="12"/>
  <c r="U671" i="12"/>
  <c r="U670" i="12"/>
  <c r="U669" i="12"/>
  <c r="U668" i="12"/>
  <c r="U667" i="12"/>
  <c r="U666" i="12"/>
  <c r="U665" i="12"/>
  <c r="U664" i="12"/>
  <c r="U663" i="12"/>
  <c r="U662" i="12"/>
  <c r="U661" i="12"/>
  <c r="U660" i="12"/>
  <c r="U659" i="12"/>
  <c r="U658" i="12"/>
  <c r="U657" i="12"/>
  <c r="U656" i="12"/>
  <c r="U655" i="12"/>
  <c r="U654" i="12"/>
  <c r="U653" i="12"/>
  <c r="U652" i="12"/>
  <c r="U651" i="12"/>
  <c r="U650" i="12"/>
  <c r="U649" i="12"/>
  <c r="U648" i="12"/>
  <c r="U647" i="12"/>
  <c r="U646" i="12"/>
  <c r="U645" i="12"/>
  <c r="U644" i="12"/>
  <c r="U643" i="12"/>
  <c r="U642" i="12"/>
  <c r="U641" i="12"/>
  <c r="U640" i="12"/>
  <c r="U639" i="12"/>
  <c r="U638" i="12"/>
  <c r="U637" i="12"/>
  <c r="U636" i="12"/>
  <c r="U635" i="12"/>
  <c r="U634" i="12"/>
  <c r="U633" i="12"/>
  <c r="U632" i="12"/>
  <c r="U631" i="12"/>
  <c r="U630" i="12"/>
  <c r="U629" i="12"/>
  <c r="U628" i="12"/>
  <c r="U627" i="12"/>
  <c r="U626" i="12"/>
  <c r="U625" i="12"/>
  <c r="U624" i="12"/>
  <c r="U623" i="12"/>
  <c r="U622" i="12"/>
  <c r="U621" i="12"/>
  <c r="U620" i="12"/>
  <c r="U619" i="12"/>
  <c r="U618" i="12"/>
  <c r="U617" i="12"/>
  <c r="U616" i="12"/>
  <c r="U615" i="12"/>
  <c r="U614" i="12"/>
  <c r="U613" i="12"/>
  <c r="U612" i="12"/>
  <c r="U611" i="12"/>
  <c r="U610" i="12"/>
  <c r="U609" i="12"/>
  <c r="U608" i="12"/>
  <c r="U607" i="12"/>
  <c r="U606" i="12"/>
  <c r="U605" i="12"/>
  <c r="U604" i="12"/>
  <c r="U603" i="12"/>
  <c r="U602" i="12"/>
  <c r="U601" i="12"/>
  <c r="U600" i="12"/>
  <c r="U599" i="12"/>
  <c r="U598" i="12"/>
  <c r="U597" i="12"/>
  <c r="U596" i="12"/>
  <c r="U595" i="12"/>
  <c r="U594" i="12"/>
  <c r="U593" i="12"/>
  <c r="U592" i="12"/>
  <c r="U591" i="12"/>
  <c r="U590" i="12"/>
  <c r="U589" i="12"/>
  <c r="U588" i="12"/>
  <c r="U587" i="12"/>
  <c r="U586" i="12"/>
  <c r="U585" i="12"/>
  <c r="U584" i="12"/>
  <c r="U583" i="12"/>
  <c r="U582" i="12"/>
  <c r="U581" i="12"/>
  <c r="U580" i="12"/>
  <c r="U579" i="12"/>
  <c r="U578" i="12"/>
  <c r="U577" i="12"/>
  <c r="U576" i="12"/>
  <c r="U575" i="12"/>
  <c r="U574" i="12"/>
  <c r="U573" i="12"/>
  <c r="U572" i="12"/>
  <c r="U571" i="12"/>
  <c r="U570" i="12"/>
  <c r="U569" i="12"/>
  <c r="U568" i="12"/>
  <c r="U567" i="12"/>
  <c r="U566" i="12"/>
  <c r="U565" i="12"/>
  <c r="U564" i="12"/>
  <c r="U563" i="12"/>
  <c r="U562" i="12"/>
  <c r="U561" i="12"/>
  <c r="U560" i="12"/>
  <c r="U559" i="12"/>
  <c r="U558" i="12"/>
  <c r="U557" i="12"/>
  <c r="U556" i="12"/>
  <c r="U555" i="12"/>
  <c r="U554" i="12"/>
  <c r="U553" i="12"/>
  <c r="U552" i="12"/>
  <c r="U551" i="12"/>
  <c r="U550" i="12"/>
  <c r="U549" i="12"/>
  <c r="U548" i="12"/>
  <c r="U547" i="12"/>
  <c r="U546" i="12"/>
  <c r="U545" i="12"/>
  <c r="U544" i="12"/>
  <c r="U543" i="12"/>
  <c r="U542" i="12"/>
  <c r="U541" i="12"/>
  <c r="U540" i="12"/>
  <c r="U539" i="12"/>
  <c r="U538" i="12"/>
  <c r="U537" i="12"/>
  <c r="U536" i="12"/>
  <c r="U535" i="12"/>
  <c r="U534" i="12"/>
  <c r="U533" i="12"/>
  <c r="U532" i="12"/>
  <c r="U531" i="12"/>
  <c r="U530" i="12"/>
  <c r="U529" i="12"/>
  <c r="U528" i="12"/>
  <c r="U527" i="12"/>
  <c r="U526" i="12"/>
  <c r="U525" i="12"/>
  <c r="U524" i="12"/>
  <c r="U523" i="12"/>
  <c r="U522" i="12"/>
  <c r="U521" i="12"/>
  <c r="U520" i="12"/>
  <c r="U519" i="12"/>
  <c r="U518" i="12"/>
  <c r="U517" i="12"/>
  <c r="U516" i="12"/>
  <c r="U515" i="12"/>
  <c r="U514" i="12"/>
  <c r="U513" i="12"/>
  <c r="U512" i="12"/>
  <c r="U511" i="12"/>
  <c r="U510" i="12"/>
  <c r="U509" i="12"/>
  <c r="U508" i="12"/>
  <c r="U507" i="12"/>
  <c r="U506" i="12"/>
  <c r="U505" i="12"/>
  <c r="U504" i="12"/>
  <c r="U503" i="12"/>
  <c r="U502" i="12"/>
  <c r="U501" i="12"/>
  <c r="U500" i="12"/>
  <c r="U499" i="12"/>
  <c r="U498" i="12"/>
  <c r="U497" i="12"/>
  <c r="U496" i="12"/>
  <c r="U495" i="12"/>
  <c r="U494" i="12"/>
  <c r="U493" i="12"/>
  <c r="U492" i="12"/>
  <c r="U491" i="12"/>
  <c r="U490" i="12"/>
  <c r="U489" i="12"/>
  <c r="U488" i="12"/>
  <c r="U487" i="12"/>
  <c r="U486" i="12"/>
  <c r="U485" i="12"/>
  <c r="U484" i="12"/>
  <c r="U483" i="12"/>
  <c r="U482" i="12"/>
  <c r="U481" i="12"/>
  <c r="U480" i="12"/>
  <c r="U479" i="12"/>
  <c r="U478" i="12"/>
  <c r="U477" i="12"/>
  <c r="U476" i="12"/>
  <c r="U475" i="12"/>
  <c r="U474" i="12"/>
  <c r="U473" i="12"/>
  <c r="U472" i="12"/>
  <c r="U471" i="12"/>
  <c r="U470" i="12"/>
  <c r="U469" i="12"/>
  <c r="U468" i="12"/>
  <c r="U467" i="12"/>
  <c r="U466" i="12"/>
  <c r="U465" i="12"/>
  <c r="U464" i="12"/>
  <c r="U463" i="12"/>
  <c r="U462" i="12"/>
  <c r="U461" i="12"/>
  <c r="U460" i="12"/>
  <c r="U459" i="12"/>
  <c r="U458" i="12"/>
  <c r="U457" i="12"/>
  <c r="U456" i="12"/>
  <c r="U455" i="12"/>
  <c r="U454" i="12"/>
  <c r="U453" i="12"/>
  <c r="U452" i="12"/>
  <c r="U451" i="12"/>
  <c r="U450" i="12"/>
  <c r="U449" i="12"/>
  <c r="U448" i="12"/>
  <c r="U447" i="12"/>
  <c r="U446" i="12"/>
  <c r="U445" i="12"/>
  <c r="U444" i="12"/>
  <c r="U443" i="12"/>
  <c r="U442" i="12"/>
  <c r="U441" i="12"/>
  <c r="U440" i="12"/>
  <c r="U439" i="12"/>
  <c r="U438" i="12"/>
  <c r="U437" i="12"/>
  <c r="U436" i="12"/>
  <c r="U435" i="12"/>
  <c r="U434" i="12"/>
  <c r="U433" i="12"/>
  <c r="U432" i="12"/>
  <c r="U431" i="12"/>
  <c r="U430" i="12"/>
  <c r="U429" i="12"/>
  <c r="U428" i="12"/>
  <c r="U427" i="12"/>
  <c r="U426" i="12"/>
  <c r="U425" i="12"/>
  <c r="U424" i="12"/>
  <c r="U423" i="12"/>
  <c r="U422" i="12"/>
  <c r="U421" i="12"/>
  <c r="U420" i="12"/>
  <c r="U419" i="12"/>
  <c r="U418" i="12"/>
  <c r="U417" i="12"/>
  <c r="U416" i="12"/>
  <c r="U415" i="12"/>
  <c r="U414" i="12"/>
  <c r="U413" i="12"/>
  <c r="U412" i="12"/>
  <c r="U411" i="12"/>
  <c r="U410" i="12"/>
  <c r="U409" i="12"/>
  <c r="U408" i="12"/>
  <c r="U407" i="12"/>
  <c r="U406" i="12"/>
  <c r="U405" i="12"/>
  <c r="U404" i="12"/>
  <c r="U403" i="12"/>
  <c r="U402" i="12"/>
  <c r="U401" i="12"/>
  <c r="U400" i="12"/>
  <c r="U399" i="12"/>
  <c r="U398" i="12"/>
  <c r="U397" i="12"/>
  <c r="U396" i="12"/>
  <c r="U395" i="12"/>
  <c r="U394" i="12"/>
  <c r="U393" i="12"/>
  <c r="U392" i="12"/>
  <c r="U391" i="12"/>
  <c r="U390" i="12"/>
  <c r="U389" i="12"/>
  <c r="U388" i="12"/>
  <c r="U387" i="12"/>
  <c r="U386" i="12"/>
  <c r="U385" i="12"/>
  <c r="U384" i="12"/>
  <c r="U383" i="12"/>
  <c r="U382" i="12"/>
  <c r="U381" i="12"/>
  <c r="U380" i="12"/>
  <c r="U379" i="12"/>
  <c r="U378" i="12"/>
  <c r="U377" i="12"/>
  <c r="U376" i="12"/>
  <c r="U375" i="12"/>
  <c r="U374" i="12"/>
  <c r="U373" i="12"/>
  <c r="U372" i="12"/>
  <c r="U371" i="12"/>
  <c r="U370" i="12"/>
  <c r="U369" i="12"/>
  <c r="U368" i="12"/>
  <c r="U367" i="12"/>
  <c r="U366" i="12"/>
  <c r="U365" i="12"/>
  <c r="U364" i="12"/>
  <c r="U363" i="12"/>
  <c r="U362" i="12"/>
  <c r="U361" i="12"/>
  <c r="U360" i="12"/>
  <c r="U359" i="12"/>
  <c r="U358" i="12"/>
  <c r="U357" i="12"/>
  <c r="U356" i="12"/>
  <c r="U355" i="12"/>
  <c r="U354" i="12"/>
  <c r="U353" i="12"/>
  <c r="U352" i="12"/>
  <c r="U351" i="12"/>
  <c r="U350" i="12"/>
  <c r="U349" i="12"/>
  <c r="U348" i="12"/>
  <c r="U347" i="12"/>
  <c r="U346" i="12"/>
  <c r="U345" i="12"/>
  <c r="U344" i="12"/>
  <c r="U343" i="12"/>
  <c r="U342" i="12"/>
  <c r="U341" i="12"/>
  <c r="U340" i="12"/>
  <c r="U339" i="12"/>
  <c r="U338" i="12"/>
  <c r="U337" i="12"/>
  <c r="U336" i="12"/>
  <c r="U335" i="12"/>
  <c r="U334" i="12"/>
  <c r="U333" i="12"/>
  <c r="U332" i="12"/>
  <c r="U331" i="12"/>
  <c r="U330" i="12"/>
  <c r="U329" i="12"/>
  <c r="U328" i="12"/>
  <c r="U327" i="12"/>
  <c r="U326" i="12"/>
  <c r="U325" i="12"/>
  <c r="U324" i="12"/>
  <c r="U323" i="12"/>
  <c r="U322" i="12"/>
  <c r="U321" i="12"/>
  <c r="U320" i="12"/>
  <c r="U319" i="12"/>
  <c r="U318" i="12"/>
  <c r="U317" i="12"/>
  <c r="U316" i="12"/>
  <c r="U315" i="12"/>
  <c r="U314" i="12"/>
  <c r="U313" i="12"/>
  <c r="U312" i="12"/>
  <c r="U311" i="12"/>
  <c r="U310" i="12"/>
  <c r="U309" i="12"/>
  <c r="U308" i="12"/>
  <c r="U307" i="12"/>
  <c r="U306" i="12"/>
  <c r="U305" i="12"/>
  <c r="U304" i="12"/>
  <c r="U303" i="12"/>
  <c r="U302" i="12"/>
  <c r="U301" i="12"/>
  <c r="U300" i="12"/>
  <c r="U299" i="12"/>
  <c r="U298" i="12"/>
  <c r="U297" i="12"/>
  <c r="U296" i="12"/>
  <c r="U295" i="12"/>
  <c r="U294" i="12"/>
  <c r="U293" i="12"/>
  <c r="U292" i="12"/>
  <c r="U291" i="12"/>
  <c r="U290" i="12"/>
  <c r="U289" i="12"/>
  <c r="U288" i="12"/>
  <c r="U287" i="12"/>
  <c r="U286" i="12"/>
  <c r="U285" i="12"/>
  <c r="U284" i="12"/>
  <c r="U283" i="12"/>
  <c r="U282" i="12"/>
  <c r="U281" i="12"/>
  <c r="U280" i="12"/>
  <c r="U279" i="12"/>
  <c r="U278" i="12"/>
  <c r="U277" i="12"/>
  <c r="U276" i="12"/>
  <c r="U275" i="12"/>
  <c r="U274" i="12"/>
  <c r="U273" i="12"/>
  <c r="U272" i="12"/>
  <c r="U271" i="12"/>
  <c r="U270" i="12"/>
  <c r="U269" i="12"/>
  <c r="U268" i="12"/>
  <c r="U267" i="12"/>
  <c r="U266" i="12"/>
  <c r="U265" i="12"/>
  <c r="U264" i="12"/>
  <c r="U263" i="12"/>
  <c r="U262" i="12"/>
  <c r="U261" i="12"/>
  <c r="U260" i="12"/>
  <c r="U259" i="12"/>
  <c r="U258" i="12"/>
  <c r="U257" i="12"/>
  <c r="U256" i="12"/>
  <c r="U255" i="12"/>
  <c r="U254" i="12"/>
  <c r="U253" i="12"/>
  <c r="U252" i="12"/>
  <c r="U251" i="12"/>
  <c r="U250" i="12"/>
  <c r="U249" i="12"/>
  <c r="U248" i="12"/>
  <c r="U247" i="12"/>
  <c r="U246" i="12"/>
  <c r="U245" i="12"/>
  <c r="U244" i="12"/>
  <c r="U243" i="12"/>
  <c r="U242" i="12"/>
  <c r="U241" i="12"/>
  <c r="U240" i="12"/>
  <c r="U239" i="12"/>
  <c r="U238" i="12"/>
  <c r="U237" i="12"/>
  <c r="U236" i="12"/>
  <c r="U235" i="12"/>
  <c r="U234" i="12"/>
  <c r="U233" i="12"/>
  <c r="U232" i="12"/>
  <c r="U231" i="12"/>
  <c r="U230" i="12"/>
  <c r="U229" i="12"/>
  <c r="U228" i="12"/>
  <c r="U227" i="12"/>
  <c r="U226" i="12"/>
  <c r="U225" i="12"/>
  <c r="U224" i="12"/>
  <c r="U223" i="12"/>
  <c r="U222" i="12"/>
  <c r="U221" i="12"/>
  <c r="U220" i="12"/>
  <c r="U219" i="12"/>
  <c r="U218" i="12"/>
  <c r="U217" i="12"/>
  <c r="U216" i="12"/>
  <c r="U215" i="12"/>
  <c r="U214" i="12"/>
  <c r="U213" i="12"/>
  <c r="U212" i="12"/>
  <c r="U211" i="12"/>
  <c r="U210" i="12"/>
  <c r="U209" i="12"/>
  <c r="U208" i="12"/>
  <c r="U207" i="12"/>
  <c r="U206" i="12"/>
  <c r="U205" i="12"/>
  <c r="U204" i="12"/>
  <c r="U203" i="12"/>
  <c r="U202" i="12"/>
  <c r="U201" i="12"/>
  <c r="U200" i="12"/>
  <c r="U199" i="12"/>
  <c r="U198" i="12"/>
  <c r="U197" i="12"/>
  <c r="U196" i="12"/>
  <c r="U195" i="12"/>
  <c r="U194" i="12"/>
  <c r="U193" i="12"/>
  <c r="U192" i="12"/>
  <c r="U191" i="12"/>
  <c r="U190" i="12"/>
  <c r="U189" i="12"/>
  <c r="U188" i="12"/>
  <c r="U187" i="12"/>
  <c r="U186" i="12"/>
  <c r="U185" i="12"/>
  <c r="U184" i="12"/>
  <c r="U183" i="12"/>
  <c r="U182" i="12"/>
  <c r="U181" i="12"/>
  <c r="U180" i="12"/>
  <c r="U179" i="12"/>
  <c r="U178" i="12"/>
  <c r="U177" i="12"/>
  <c r="U176" i="12"/>
  <c r="U175" i="12"/>
  <c r="U174" i="12"/>
  <c r="U173" i="12"/>
  <c r="U172" i="12"/>
  <c r="U171" i="12"/>
  <c r="U170" i="12"/>
  <c r="U169" i="12"/>
  <c r="U168" i="12"/>
  <c r="U167" i="12"/>
  <c r="U166" i="12"/>
  <c r="U165" i="12"/>
  <c r="U164" i="12"/>
  <c r="U163" i="12"/>
  <c r="U162" i="12"/>
  <c r="U161" i="12"/>
  <c r="U160" i="12"/>
  <c r="U159" i="12"/>
  <c r="U158" i="12"/>
  <c r="U157" i="12"/>
  <c r="U156" i="12"/>
  <c r="U155" i="12"/>
  <c r="U154" i="12"/>
  <c r="U153" i="12"/>
  <c r="U152" i="12"/>
  <c r="U151" i="12"/>
  <c r="U150" i="12"/>
  <c r="U149" i="12"/>
  <c r="U148" i="12"/>
  <c r="U147" i="12"/>
  <c r="U146" i="12"/>
  <c r="U145" i="12"/>
  <c r="U144" i="12"/>
  <c r="U143" i="12"/>
  <c r="U142" i="12"/>
  <c r="U141" i="12"/>
  <c r="U140" i="12"/>
  <c r="U139" i="12"/>
  <c r="U138" i="12"/>
  <c r="U137" i="12"/>
  <c r="U136" i="12"/>
  <c r="U135" i="12"/>
  <c r="U134" i="12"/>
  <c r="U133" i="12"/>
  <c r="U132" i="12"/>
  <c r="U131" i="12"/>
  <c r="U130" i="12"/>
  <c r="U129" i="12"/>
  <c r="U128" i="12"/>
  <c r="U127" i="12"/>
  <c r="U126" i="12"/>
  <c r="U125" i="12"/>
  <c r="U124" i="12"/>
  <c r="U123" i="12"/>
  <c r="U122" i="12"/>
  <c r="U121" i="12"/>
  <c r="U120" i="12"/>
  <c r="U119" i="12"/>
  <c r="U118" i="12"/>
  <c r="U117" i="12"/>
  <c r="U116" i="12"/>
  <c r="U115" i="12"/>
  <c r="U114" i="12"/>
  <c r="U113" i="12"/>
  <c r="U112" i="12"/>
  <c r="U111" i="12"/>
  <c r="U110" i="12"/>
  <c r="U109" i="12"/>
  <c r="U108" i="12"/>
  <c r="U107" i="12"/>
  <c r="U106" i="12"/>
  <c r="U105" i="12"/>
  <c r="U104" i="12"/>
  <c r="U103" i="12"/>
  <c r="U102" i="12"/>
  <c r="U101" i="12"/>
  <c r="U100" i="12"/>
  <c r="U99" i="12"/>
  <c r="U98" i="12"/>
  <c r="U97" i="12"/>
  <c r="U96" i="12"/>
  <c r="U95" i="12"/>
  <c r="U94" i="12"/>
  <c r="U93" i="12"/>
  <c r="U92" i="12"/>
  <c r="U91" i="12"/>
  <c r="U90" i="12"/>
  <c r="U89" i="12"/>
  <c r="U88" i="12"/>
  <c r="U87" i="12"/>
  <c r="U86" i="12"/>
  <c r="U85" i="12"/>
  <c r="U84" i="12"/>
  <c r="U83" i="12"/>
  <c r="U82" i="12"/>
  <c r="U81" i="12"/>
  <c r="U80" i="12"/>
  <c r="U79" i="12"/>
  <c r="U78" i="12"/>
  <c r="U77" i="12"/>
  <c r="U76" i="12"/>
  <c r="U75" i="12"/>
  <c r="U74" i="12"/>
  <c r="U73" i="12"/>
  <c r="U72" i="12"/>
  <c r="U71" i="12"/>
  <c r="U70" i="12"/>
  <c r="U69" i="12"/>
  <c r="U68" i="12"/>
  <c r="U67" i="12"/>
  <c r="U66" i="12"/>
  <c r="U65" i="12"/>
  <c r="U64" i="12"/>
  <c r="U63" i="12"/>
  <c r="U62" i="12"/>
  <c r="U61" i="12"/>
  <c r="U60" i="12"/>
  <c r="U59" i="12"/>
  <c r="U58" i="12"/>
  <c r="U57" i="12"/>
  <c r="U56" i="12"/>
  <c r="U55" i="12"/>
  <c r="U54" i="12"/>
  <c r="U53" i="12"/>
  <c r="U52" i="12"/>
  <c r="U51" i="12"/>
  <c r="U50" i="12"/>
  <c r="U49" i="12"/>
  <c r="U48" i="12"/>
  <c r="U47" i="12"/>
  <c r="U46" i="12"/>
  <c r="U45" i="12"/>
  <c r="U44" i="12"/>
  <c r="U43" i="12"/>
  <c r="U42" i="12"/>
  <c r="U41" i="12"/>
  <c r="U40" i="12"/>
  <c r="U39" i="12"/>
  <c r="U38" i="12"/>
  <c r="U37" i="12"/>
  <c r="U36" i="12"/>
  <c r="U35" i="12"/>
  <c r="U34" i="12"/>
  <c r="U33" i="12"/>
  <c r="U32" i="12"/>
  <c r="U31" i="12"/>
  <c r="U30" i="12"/>
  <c r="U29" i="12"/>
  <c r="U28" i="12"/>
  <c r="U27" i="12"/>
  <c r="U26" i="12"/>
  <c r="U25" i="12"/>
  <c r="U24" i="12"/>
  <c r="U23" i="12"/>
  <c r="U22" i="12"/>
  <c r="U21" i="12"/>
  <c r="U20" i="12"/>
  <c r="U19" i="12"/>
  <c r="U18" i="12"/>
  <c r="U17" i="12"/>
  <c r="U16" i="12"/>
  <c r="U15" i="12"/>
  <c r="U14" i="12"/>
  <c r="U13" i="12"/>
  <c r="U12" i="12"/>
  <c r="U11" i="12"/>
  <c r="U10" i="12"/>
  <c r="U9" i="12"/>
  <c r="U8" i="12"/>
  <c r="U7" i="12"/>
  <c r="U6" i="12"/>
  <c r="U5" i="12"/>
  <c r="U4" i="12"/>
  <c r="U3" i="12"/>
  <c r="U2" i="12"/>
  <c r="U1515" i="12"/>
  <c r="U1514" i="12"/>
  <c r="U1513" i="12"/>
  <c r="U1512" i="12"/>
  <c r="U1511" i="12"/>
  <c r="U1510" i="12"/>
  <c r="U1509" i="12"/>
  <c r="U1508" i="12"/>
  <c r="U1507" i="12"/>
  <c r="U1506" i="12"/>
  <c r="U1505" i="12"/>
  <c r="U1504" i="12"/>
  <c r="U1503" i="12"/>
  <c r="U1502" i="12"/>
  <c r="U1501" i="12"/>
  <c r="U1500" i="12"/>
  <c r="U1499" i="12"/>
  <c r="U1498" i="12"/>
  <c r="U1496" i="12"/>
  <c r="U1495" i="12"/>
  <c r="U1493" i="12"/>
  <c r="U1491" i="12"/>
  <c r="U1490" i="12"/>
  <c r="U1489" i="12"/>
  <c r="U1488" i="12"/>
  <c r="U1487" i="12"/>
  <c r="U1486" i="12"/>
  <c r="U1485" i="12"/>
  <c r="U1484" i="12"/>
  <c r="U1483" i="12"/>
  <c r="U1482" i="12"/>
  <c r="U1481" i="12"/>
  <c r="U1480" i="12"/>
  <c r="U1478" i="12"/>
  <c r="U1476" i="12"/>
  <c r="U1475" i="12"/>
  <c r="U1474" i="12"/>
  <c r="U1473" i="12"/>
  <c r="U1472" i="12"/>
  <c r="U1471" i="12"/>
  <c r="U1469" i="12"/>
  <c r="U1468" i="12"/>
  <c r="U1467" i="12"/>
  <c r="U1466" i="12"/>
  <c r="U1464" i="12"/>
  <c r="U1463" i="12"/>
  <c r="U1462" i="12"/>
  <c r="U1461" i="12"/>
  <c r="U1460" i="12"/>
  <c r="U1459" i="12"/>
  <c r="U1458" i="12"/>
  <c r="U1457" i="12"/>
  <c r="U1456" i="12"/>
  <c r="U1455" i="12"/>
  <c r="U1453" i="12"/>
  <c r="U1452" i="12"/>
  <c r="U1451" i="12"/>
  <c r="U1450" i="12"/>
  <c r="U1447" i="12"/>
  <c r="U1446" i="12"/>
  <c r="U1445" i="12"/>
  <c r="U1444" i="12"/>
  <c r="U1441" i="12"/>
  <c r="U1440" i="12"/>
  <c r="U1439" i="12"/>
  <c r="U1438" i="12"/>
  <c r="U1437" i="12"/>
  <c r="U1436" i="12"/>
  <c r="U1435" i="12"/>
  <c r="U1434" i="12"/>
  <c r="U1433" i="12"/>
  <c r="U1432" i="12"/>
  <c r="U1431" i="12"/>
  <c r="U1430" i="12"/>
  <c r="U1429" i="12"/>
  <c r="U1428" i="12"/>
  <c r="U1427" i="12"/>
  <c r="U1426" i="12"/>
  <c r="U1425" i="12"/>
  <c r="U1424" i="12"/>
  <c r="U1423" i="12"/>
  <c r="U1422" i="12"/>
  <c r="U1421" i="12"/>
  <c r="U1420" i="12"/>
  <c r="U1418" i="12"/>
  <c r="U1417" i="12"/>
  <c r="U1416" i="12"/>
  <c r="U1415" i="12"/>
  <c r="U1414" i="12"/>
  <c r="U1413" i="12"/>
  <c r="U1411" i="12"/>
  <c r="U1410" i="12"/>
  <c r="U1409" i="12"/>
  <c r="U1408" i="12"/>
  <c r="U1406" i="12"/>
  <c r="U1405" i="12"/>
  <c r="U1404" i="12"/>
  <c r="U1403" i="12"/>
  <c r="U1402" i="12"/>
  <c r="U1401" i="12"/>
  <c r="U1400" i="12"/>
  <c r="U1399" i="12"/>
  <c r="U1398" i="12"/>
  <c r="U1397" i="12"/>
  <c r="U1396" i="12"/>
  <c r="U1395" i="12"/>
  <c r="U1393" i="12"/>
  <c r="U1392" i="12"/>
  <c r="U1391" i="12"/>
  <c r="U1390" i="12"/>
  <c r="U1389" i="12"/>
  <c r="U1387" i="12"/>
  <c r="U1386" i="12"/>
  <c r="U1385" i="12"/>
  <c r="U1384" i="12"/>
  <c r="U1383" i="12"/>
  <c r="U1382" i="12"/>
  <c r="U1381" i="12"/>
  <c r="U1380" i="12"/>
  <c r="U1379" i="12"/>
  <c r="U1378" i="12"/>
  <c r="U1377" i="12"/>
  <c r="U1376" i="12"/>
  <c r="U1375" i="12"/>
  <c r="U1374" i="12"/>
  <c r="U1373" i="12"/>
  <c r="U1372" i="12"/>
  <c r="U1370" i="12"/>
  <c r="U1369" i="12"/>
  <c r="U1368" i="12"/>
  <c r="U1367" i="12"/>
  <c r="U1366" i="12"/>
  <c r="U1365" i="12"/>
  <c r="U1364" i="12"/>
  <c r="U1363" i="12"/>
  <c r="U1362" i="12"/>
  <c r="U1361" i="12"/>
  <c r="U1359" i="12"/>
  <c r="U1358" i="12"/>
  <c r="U1357" i="12"/>
  <c r="U1356" i="12"/>
  <c r="U1354" i="12"/>
  <c r="U1353" i="12"/>
  <c r="U1351" i="12"/>
  <c r="U1350" i="12"/>
  <c r="U1348" i="12"/>
  <c r="U1347" i="12"/>
  <c r="U1346" i="12"/>
  <c r="U1345" i="12"/>
  <c r="U1344" i="12"/>
  <c r="U1343" i="12"/>
  <c r="U1342" i="12"/>
  <c r="U1341" i="12"/>
  <c r="U1340" i="12"/>
  <c r="U1338" i="12"/>
  <c r="U1337" i="12"/>
  <c r="U1336" i="12"/>
  <c r="U1335" i="12"/>
  <c r="U1334" i="12"/>
  <c r="U1333" i="12"/>
  <c r="U1332" i="12"/>
  <c r="U1331" i="12"/>
  <c r="U1330" i="12"/>
  <c r="U1328" i="12"/>
  <c r="U1327" i="12"/>
  <c r="U1326" i="12"/>
  <c r="U1324" i="12"/>
  <c r="U1323" i="12"/>
  <c r="U1322" i="12"/>
  <c r="U1321" i="12"/>
  <c r="U1320" i="12"/>
  <c r="U1319" i="12"/>
  <c r="U1318" i="12"/>
  <c r="U1317" i="12"/>
  <c r="U1316" i="12"/>
  <c r="U1315" i="12"/>
  <c r="U1313" i="12"/>
  <c r="U1312" i="12"/>
  <c r="U1311" i="12"/>
  <c r="U1310" i="12"/>
  <c r="U1309" i="12"/>
  <c r="U1308" i="12"/>
  <c r="U1307" i="12"/>
  <c r="U1306" i="12"/>
  <c r="U1305" i="12"/>
  <c r="U1303" i="12"/>
  <c r="U1301" i="12"/>
  <c r="U1300" i="12"/>
  <c r="U1299" i="12"/>
  <c r="U1298" i="12"/>
  <c r="U1297" i="12"/>
  <c r="U1296" i="12"/>
  <c r="U1295" i="12"/>
  <c r="U1294" i="12"/>
  <c r="U1293" i="12"/>
  <c r="U1292" i="12"/>
  <c r="U1291" i="12"/>
  <c r="U1290" i="12"/>
  <c r="U1289" i="12"/>
  <c r="U1286" i="12"/>
  <c r="U1285" i="12"/>
  <c r="U1284" i="12"/>
  <c r="U1282" i="12"/>
  <c r="U1281" i="12"/>
  <c r="U1280" i="12"/>
  <c r="U1279" i="12"/>
  <c r="U1278" i="12"/>
  <c r="U1277" i="12"/>
  <c r="U1276" i="12"/>
  <c r="U1275" i="12"/>
  <c r="U1274" i="12"/>
  <c r="U1273" i="12"/>
  <c r="U1272" i="12"/>
  <c r="U1271" i="12"/>
  <c r="U1270" i="12"/>
  <c r="U1269" i="12"/>
  <c r="U1268" i="12"/>
  <c r="U1266" i="12"/>
  <c r="U1265" i="12"/>
  <c r="U1264" i="12"/>
  <c r="U1263" i="12"/>
  <c r="U1261" i="12"/>
  <c r="U1260" i="12"/>
  <c r="U1259" i="12"/>
  <c r="U1258" i="12"/>
  <c r="U1257" i="12"/>
  <c r="U1255" i="12"/>
  <c r="U1254" i="12"/>
  <c r="U1253" i="12"/>
  <c r="U1252" i="12"/>
  <c r="U1251" i="12"/>
  <c r="U1250" i="12"/>
  <c r="U1249" i="12"/>
  <c r="U1248" i="12"/>
  <c r="U1247" i="12"/>
  <c r="U1246" i="12"/>
  <c r="U1245" i="12"/>
  <c r="U1244" i="12"/>
  <c r="U1242" i="12"/>
  <c r="U1241" i="12"/>
  <c r="U1240" i="12"/>
  <c r="U1239" i="12"/>
  <c r="U1238" i="12"/>
  <c r="U1237" i="12"/>
  <c r="U1236" i="12"/>
  <c r="U1235" i="12"/>
  <c r="U1234" i="12"/>
  <c r="U1233" i="12"/>
  <c r="U1232" i="12"/>
  <c r="U1230" i="12"/>
  <c r="U1229" i="12"/>
  <c r="U1227" i="12"/>
  <c r="U1226" i="12"/>
  <c r="U1225" i="12"/>
  <c r="U1224" i="12"/>
  <c r="U1223" i="12"/>
  <c r="U1222" i="12"/>
  <c r="U1221" i="12"/>
  <c r="U1220" i="12"/>
  <c r="U1219" i="12"/>
  <c r="U1218" i="12"/>
  <c r="U1217" i="12"/>
  <c r="U1216" i="12"/>
  <c r="U1215" i="12"/>
  <c r="U1214" i="12"/>
  <c r="U1213" i="12"/>
  <c r="U1212" i="12"/>
  <c r="U1210" i="12"/>
  <c r="U1209" i="12"/>
  <c r="U1208" i="12"/>
  <c r="U1207" i="12"/>
  <c r="U1206" i="12"/>
  <c r="U1205" i="12"/>
  <c r="U1204" i="12"/>
  <c r="U1203" i="12"/>
  <c r="U1202" i="12"/>
  <c r="U1201" i="12"/>
  <c r="U1200" i="12"/>
  <c r="U1198" i="12"/>
  <c r="U1197" i="12"/>
  <c r="U1196" i="12"/>
  <c r="U1195" i="12"/>
  <c r="U1194" i="12"/>
  <c r="U1193" i="12"/>
  <c r="U1192" i="12"/>
  <c r="U1191" i="12"/>
  <c r="U1190" i="12"/>
  <c r="U1189" i="12"/>
  <c r="U1188" i="12"/>
  <c r="U1187" i="12"/>
  <c r="U1186" i="12"/>
  <c r="U1185" i="12"/>
  <c r="U1184" i="12"/>
  <c r="U1183" i="12"/>
  <c r="U1182" i="12"/>
  <c r="U1181" i="12"/>
  <c r="U1180" i="12"/>
  <c r="U1179" i="12"/>
  <c r="U1178" i="12"/>
  <c r="U1177" i="12"/>
  <c r="U1174" i="12"/>
  <c r="U1173" i="12"/>
  <c r="U1172" i="12"/>
  <c r="U1171" i="12"/>
  <c r="U1169" i="12"/>
  <c r="U1168" i="12"/>
  <c r="U1167" i="12"/>
  <c r="U1166" i="12"/>
  <c r="U1165" i="12"/>
  <c r="U1164" i="12"/>
  <c r="U1163" i="12"/>
  <c r="U1162" i="12"/>
  <c r="U1161" i="12"/>
  <c r="U1160" i="12"/>
  <c r="U1159" i="12"/>
  <c r="U1158" i="12"/>
  <c r="U1156" i="12"/>
  <c r="U1154" i="12"/>
  <c r="U1153" i="12"/>
  <c r="U1151" i="12"/>
  <c r="U1150" i="12"/>
  <c r="U1149" i="12"/>
  <c r="U1148" i="12"/>
  <c r="U1147" i="12"/>
  <c r="U1145" i="12"/>
  <c r="U1144" i="12"/>
  <c r="U1143" i="12"/>
  <c r="U1142" i="12"/>
  <c r="U1141" i="12"/>
  <c r="U1140" i="12"/>
  <c r="U1139" i="12"/>
  <c r="U1138" i="12"/>
  <c r="U1137" i="12"/>
  <c r="U1136" i="12"/>
  <c r="U1135" i="12"/>
  <c r="U1134" i="12"/>
  <c r="U1132" i="12"/>
  <c r="U1131" i="12"/>
  <c r="U1130" i="12"/>
  <c r="U1129" i="12"/>
  <c r="U1127" i="12"/>
  <c r="U1126" i="12"/>
  <c r="U1125" i="12"/>
  <c r="U1124" i="12"/>
  <c r="U1123" i="12"/>
  <c r="U1122" i="12"/>
  <c r="U1121" i="12"/>
  <c r="U1120" i="12"/>
  <c r="U1119" i="12"/>
  <c r="U1117" i="12"/>
  <c r="U1116" i="12"/>
  <c r="U1115" i="12"/>
  <c r="U1114" i="12"/>
  <c r="U1113" i="12"/>
  <c r="U1112" i="12"/>
  <c r="U1111" i="12"/>
  <c r="U1110" i="12"/>
  <c r="U1109" i="12"/>
  <c r="U1108" i="12"/>
  <c r="U1107" i="12"/>
  <c r="U1105" i="12"/>
  <c r="U1104" i="12"/>
  <c r="U1103" i="12"/>
  <c r="U1102" i="12"/>
  <c r="U1101" i="12"/>
  <c r="U1100" i="12"/>
  <c r="U1099" i="12"/>
  <c r="U1098" i="12"/>
  <c r="U1097" i="12"/>
  <c r="U1096" i="12"/>
  <c r="U1095" i="12"/>
  <c r="U1094" i="12"/>
  <c r="U1093" i="12"/>
  <c r="U1092" i="12"/>
  <c r="U1090" i="12"/>
  <c r="U1089" i="12"/>
  <c r="U1088" i="12"/>
  <c r="U1087" i="12"/>
  <c r="U1085" i="12"/>
  <c r="U1084" i="12"/>
  <c r="U1083" i="12"/>
  <c r="U1082" i="12"/>
  <c r="U1081" i="12"/>
  <c r="U1080" i="12"/>
  <c r="U1079" i="12"/>
  <c r="U1078" i="12"/>
  <c r="U1077" i="12"/>
  <c r="U1076" i="12"/>
  <c r="U1075" i="12"/>
  <c r="U1074" i="12"/>
  <c r="U1073" i="12"/>
  <c r="U1072" i="12"/>
  <c r="U1071" i="12"/>
  <c r="U1070" i="12"/>
  <c r="U1069" i="12"/>
  <c r="U1068" i="12"/>
  <c r="U1067" i="12"/>
  <c r="U1066" i="12"/>
  <c r="U1065" i="12"/>
  <c r="U1063" i="12"/>
  <c r="U1061" i="12"/>
  <c r="U1059" i="12"/>
  <c r="U1058" i="12"/>
  <c r="U1057" i="12"/>
  <c r="U1056" i="12"/>
  <c r="U1055" i="12"/>
  <c r="U1054" i="12"/>
  <c r="U1052" i="12"/>
  <c r="U1051" i="12"/>
  <c r="U1050" i="12"/>
  <c r="U1049" i="12"/>
  <c r="U1048" i="12"/>
  <c r="U1047" i="12"/>
  <c r="U1046" i="12"/>
  <c r="U1045" i="12"/>
  <c r="U1044" i="12"/>
  <c r="U1043" i="12"/>
  <c r="U1042" i="12"/>
  <c r="U1041" i="12"/>
  <c r="U1040" i="12"/>
  <c r="U1039" i="12"/>
  <c r="U1038" i="12"/>
  <c r="U1037" i="12"/>
  <c r="U1036" i="12"/>
  <c r="U1035" i="12"/>
  <c r="U1034" i="12"/>
  <c r="U1032" i="12"/>
  <c r="U1031" i="12"/>
  <c r="U1030" i="12"/>
  <c r="U1029" i="12"/>
  <c r="U1028" i="12"/>
  <c r="U1027" i="12"/>
  <c r="U1025" i="12"/>
  <c r="U1024" i="12"/>
  <c r="U1023" i="12"/>
  <c r="U1022" i="12"/>
  <c r="U1020" i="12"/>
  <c r="U1019" i="12"/>
  <c r="U1018" i="12"/>
  <c r="U1017" i="12"/>
  <c r="U1016" i="12"/>
  <c r="U1015" i="12"/>
  <c r="U1014" i="12"/>
  <c r="U1013" i="12"/>
  <c r="U1012" i="12"/>
  <c r="U1011" i="12"/>
  <c r="U1010" i="12"/>
  <c r="U1009" i="12"/>
  <c r="U1008" i="12"/>
  <c r="U1007" i="12"/>
  <c r="U1006" i="12"/>
  <c r="U1005" i="12"/>
  <c r="U1004" i="12"/>
  <c r="U1003" i="12"/>
  <c r="U1002" i="12"/>
  <c r="U1001" i="12"/>
  <c r="U1000" i="12"/>
  <c r="U999" i="12"/>
  <c r="U998" i="12"/>
  <c r="U996" i="12"/>
  <c r="U994" i="12"/>
  <c r="U993" i="12"/>
  <c r="U992" i="12"/>
  <c r="U991" i="12"/>
  <c r="U990" i="12"/>
  <c r="U989" i="12"/>
  <c r="U988" i="12"/>
  <c r="U987" i="12"/>
  <c r="U986" i="12"/>
  <c r="U984" i="12"/>
  <c r="U983" i="12"/>
  <c r="U982" i="12"/>
  <c r="U980" i="12"/>
  <c r="U978" i="12"/>
  <c r="U976" i="12"/>
  <c r="U975" i="12"/>
  <c r="U974" i="12"/>
  <c r="U973" i="12"/>
  <c r="U972" i="12"/>
  <c r="U971" i="12"/>
  <c r="U970" i="12"/>
  <c r="U969" i="12"/>
  <c r="U967" i="12"/>
  <c r="U966" i="12"/>
  <c r="U965" i="12"/>
  <c r="U964" i="12"/>
  <c r="U963" i="12"/>
  <c r="U962" i="12"/>
  <c r="U961" i="12"/>
  <c r="U960" i="12"/>
  <c r="U959" i="12"/>
  <c r="U957" i="12"/>
  <c r="U956" i="12"/>
  <c r="U955" i="12"/>
  <c r="U954" i="12"/>
  <c r="U953" i="12"/>
  <c r="U952" i="12"/>
  <c r="U951" i="12"/>
  <c r="U950" i="12"/>
  <c r="U949" i="12"/>
  <c r="U947" i="12"/>
  <c r="U946" i="12"/>
  <c r="U943" i="12"/>
  <c r="U942" i="12"/>
  <c r="U941" i="12"/>
  <c r="U940" i="12"/>
  <c r="U939" i="12"/>
  <c r="U938" i="12"/>
  <c r="U937" i="12"/>
  <c r="U936" i="12"/>
  <c r="U934" i="12"/>
  <c r="U933" i="12"/>
  <c r="T8" i="12"/>
  <c r="T16" i="12"/>
  <c r="T24" i="12"/>
  <c r="T32" i="12"/>
  <c r="T40" i="12"/>
  <c r="T56" i="12"/>
  <c r="T64" i="12"/>
  <c r="T72" i="12"/>
  <c r="T80" i="12"/>
  <c r="T88" i="12"/>
  <c r="T130" i="12"/>
  <c r="T136" i="12"/>
  <c r="T170" i="12"/>
  <c r="T216" i="12"/>
  <c r="T226" i="12"/>
  <c r="T240" i="12"/>
  <c r="T250" i="12"/>
  <c r="T378" i="12"/>
  <c r="T426" i="12"/>
  <c r="T482" i="12"/>
  <c r="T568" i="12"/>
  <c r="T608" i="12"/>
  <c r="T618" i="12"/>
  <c r="T680" i="12"/>
  <c r="T706" i="12"/>
  <c r="T714" i="12"/>
  <c r="T754" i="12"/>
  <c r="T770" i="12"/>
  <c r="T843" i="12"/>
  <c r="T928" i="12"/>
  <c r="T1232" i="12"/>
  <c r="T1352" i="12"/>
  <c r="T1451" i="12"/>
  <c r="T1610" i="12"/>
  <c r="T23" i="12"/>
  <c r="T37" i="12"/>
  <c r="T45" i="12"/>
  <c r="T47" i="12"/>
  <c r="T63" i="12"/>
  <c r="T69" i="12"/>
  <c r="T79" i="12"/>
  <c r="T101" i="12"/>
  <c r="T103" i="12"/>
  <c r="T117" i="12"/>
  <c r="T119" i="12"/>
  <c r="T125" i="12"/>
  <c r="T127" i="12"/>
  <c r="T159" i="12"/>
  <c r="T167" i="12"/>
  <c r="T189" i="12"/>
  <c r="T197" i="12"/>
  <c r="T199" i="12"/>
  <c r="T223" i="12"/>
  <c r="T225" i="12"/>
  <c r="T247" i="12"/>
  <c r="T261" i="12"/>
  <c r="T262" i="12"/>
  <c r="T277" i="12"/>
  <c r="T285" i="12"/>
  <c r="T303" i="12"/>
  <c r="T313" i="12"/>
  <c r="T317" i="12"/>
  <c r="T327" i="12"/>
  <c r="T337" i="12"/>
  <c r="T397" i="12"/>
  <c r="T407" i="12"/>
  <c r="T409" i="12"/>
  <c r="T423" i="12"/>
  <c r="T455" i="12"/>
  <c r="T469" i="12"/>
  <c r="T495" i="12"/>
  <c r="T500" i="12"/>
  <c r="T517" i="12"/>
  <c r="T519" i="12"/>
  <c r="T532" i="12"/>
  <c r="T541" i="12"/>
  <c r="T553" i="12"/>
  <c r="T559" i="12"/>
  <c r="T581" i="12"/>
  <c r="T591" i="12"/>
  <c r="T623" i="12"/>
  <c r="T628" i="12"/>
  <c r="T629" i="12"/>
  <c r="T653" i="12"/>
  <c r="T654" i="12"/>
  <c r="T660" i="12"/>
  <c r="T662" i="12"/>
  <c r="T700" i="12"/>
  <c r="T703" i="12"/>
  <c r="T708" i="12"/>
  <c r="T713" i="12"/>
  <c r="T718" i="12"/>
  <c r="T727" i="12"/>
  <c r="T732" i="12"/>
  <c r="T742" i="12"/>
  <c r="T759" i="12"/>
  <c r="T785" i="12"/>
  <c r="T799" i="12"/>
  <c r="T820" i="12"/>
  <c r="T828" i="12"/>
  <c r="T847" i="12"/>
  <c r="T855" i="12"/>
  <c r="T886" i="12"/>
  <c r="T887" i="12"/>
  <c r="T903" i="12"/>
  <c r="T910" i="12"/>
  <c r="T937" i="12"/>
  <c r="T949" i="12"/>
  <c r="T959" i="12"/>
  <c r="T965" i="12"/>
  <c r="T967" i="12"/>
  <c r="T983" i="12"/>
  <c r="T990" i="12"/>
  <c r="T996" i="12"/>
  <c r="T1005" i="12"/>
  <c r="T1030" i="12"/>
  <c r="T1031" i="12"/>
  <c r="T1039" i="12"/>
  <c r="T1045" i="12"/>
  <c r="T1055" i="12"/>
  <c r="T1061" i="12"/>
  <c r="T1079" i="12"/>
  <c r="T1093" i="12"/>
  <c r="T1101" i="12"/>
  <c r="T1110" i="12"/>
  <c r="T1119" i="12"/>
  <c r="T1134" i="12"/>
  <c r="T1135" i="12"/>
  <c r="T1141" i="12"/>
  <c r="T1142" i="12"/>
  <c r="T1148" i="12"/>
  <c r="T1151" i="12"/>
  <c r="T1165" i="12"/>
  <c r="T1174" i="12"/>
  <c r="T1175" i="12"/>
  <c r="T1183" i="12"/>
  <c r="T1189" i="12"/>
  <c r="T1199" i="12"/>
  <c r="T1206" i="12"/>
  <c r="T1212" i="12"/>
  <c r="T1213" i="12"/>
  <c r="T1214" i="12"/>
  <c r="T1215" i="12"/>
  <c r="T1221" i="12"/>
  <c r="T1223" i="12"/>
  <c r="T1231" i="12"/>
  <c r="T1244" i="12"/>
  <c r="T1247" i="12"/>
  <c r="T1254" i="12"/>
  <c r="T1261" i="12"/>
  <c r="T1268" i="12"/>
  <c r="T1269" i="12"/>
  <c r="T1276" i="12"/>
  <c r="T1277" i="12"/>
  <c r="T1284" i="12"/>
  <c r="T1285" i="12"/>
  <c r="T1292" i="12"/>
  <c r="T1295" i="12"/>
  <c r="T1300" i="12"/>
  <c r="T1308" i="12"/>
  <c r="T1309" i="12"/>
  <c r="T1316" i="12"/>
  <c r="T1317" i="12"/>
  <c r="T1332" i="12"/>
  <c r="T1334" i="12"/>
  <c r="T1348" i="12"/>
  <c r="T1364" i="12"/>
  <c r="T1367" i="12"/>
  <c r="T1380" i="12"/>
  <c r="T1388" i="12"/>
  <c r="T1390" i="12"/>
  <c r="T1391" i="12"/>
  <c r="T1399" i="12"/>
  <c r="T1404" i="12"/>
  <c r="T1420" i="12"/>
  <c r="T1428" i="12"/>
  <c r="T1429" i="12"/>
  <c r="T1431" i="12"/>
  <c r="T1436" i="12"/>
  <c r="T1444" i="12"/>
  <c r="T1446" i="12"/>
  <c r="T1452" i="12"/>
  <c r="T1455" i="12"/>
  <c r="T1460" i="12"/>
  <c r="T1463" i="12"/>
  <c r="T1471" i="12"/>
  <c r="T1476" i="12"/>
  <c r="T1487" i="12"/>
  <c r="T1495" i="12"/>
  <c r="T1500" i="12"/>
  <c r="T1503" i="12"/>
  <c r="T1508" i="12"/>
  <c r="T1510" i="12"/>
  <c r="T1526" i="12"/>
  <c r="T1527" i="12"/>
  <c r="T1534" i="12"/>
  <c r="T1535" i="12"/>
  <c r="T1548" i="12"/>
  <c r="T1550" i="12"/>
  <c r="T1559" i="12"/>
  <c r="T1564" i="12"/>
  <c r="T1567" i="12"/>
  <c r="T1574" i="12"/>
  <c r="T1591" i="12"/>
  <c r="T1607" i="12"/>
  <c r="T1615" i="12"/>
  <c r="T1620" i="12"/>
  <c r="T1636" i="12"/>
  <c r="T1644" i="12"/>
  <c r="T1645" i="12"/>
  <c r="T1653" i="12"/>
  <c r="T1660" i="12"/>
  <c r="T94" i="12"/>
  <c r="T419" i="12"/>
  <c r="T470" i="12"/>
  <c r="T110" i="12"/>
  <c r="T478" i="12"/>
  <c r="T203" i="12"/>
  <c r="T35" i="12"/>
  <c r="T518" i="12"/>
  <c r="T158" i="12"/>
  <c r="T278" i="12"/>
  <c r="T1180" i="12"/>
  <c r="T27" i="12"/>
  <c r="T334" i="12"/>
  <c r="T164" i="12"/>
  <c r="T740" i="12"/>
  <c r="T1108" i="12"/>
  <c r="T260" i="12"/>
  <c r="T507" i="12"/>
  <c r="T108" i="12"/>
  <c r="T508" i="12"/>
  <c r="T1062" i="12"/>
  <c r="T36" i="12"/>
  <c r="T606" i="12"/>
  <c r="T988" i="12"/>
  <c r="T1171" i="12"/>
  <c r="T574" i="12"/>
  <c r="T116" i="12"/>
  <c r="T102" i="12"/>
  <c r="T596" i="12"/>
  <c r="T342" i="12"/>
  <c r="T636" i="12"/>
  <c r="T414" i="12"/>
  <c r="T958" i="12"/>
  <c r="T894" i="12"/>
  <c r="T105" i="12"/>
  <c r="T798" i="12"/>
  <c r="T1156" i="12"/>
  <c r="T406" i="12"/>
  <c r="T76" i="12"/>
  <c r="T582" i="12"/>
  <c r="T228" i="12"/>
  <c r="T806" i="12"/>
  <c r="T115" i="12"/>
  <c r="T614" i="12"/>
  <c r="T148" i="12"/>
  <c r="T1396" i="12"/>
  <c r="T372" i="12"/>
  <c r="T598" i="12"/>
  <c r="T670" i="12"/>
  <c r="T678" i="12"/>
  <c r="T782" i="12"/>
  <c r="T966" i="12"/>
  <c r="T707" i="12"/>
  <c r="T1022" i="12"/>
  <c r="T366" i="12"/>
  <c r="T1028" i="12"/>
  <c r="T844" i="12"/>
  <c r="T641" i="12"/>
  <c r="T1204" i="12"/>
  <c r="T75" i="12"/>
  <c r="T137" i="12"/>
  <c r="T460" i="12"/>
  <c r="T41" i="12"/>
  <c r="T846" i="12"/>
  <c r="T301" i="12"/>
  <c r="T165" i="12"/>
  <c r="T756" i="12"/>
  <c r="T1043" i="12"/>
  <c r="T868" i="12"/>
  <c r="T413" i="12"/>
  <c r="T638" i="12"/>
  <c r="T315" i="12"/>
  <c r="T796" i="12"/>
  <c r="T51" i="12"/>
  <c r="T38" i="12"/>
  <c r="T1078" i="12"/>
  <c r="T1205" i="12"/>
  <c r="T1006" i="12"/>
  <c r="T99" i="12"/>
  <c r="T764" i="12"/>
  <c r="T612" i="12"/>
  <c r="T1540" i="12"/>
  <c r="T380" i="12"/>
  <c r="T257" i="12"/>
  <c r="T1102" i="12"/>
  <c r="T1604" i="12"/>
  <c r="T1132" i="12"/>
  <c r="T44" i="12"/>
  <c r="T161" i="12"/>
  <c r="T486" i="12"/>
  <c r="T60" i="12"/>
  <c r="T6" i="12"/>
  <c r="T118" i="12"/>
  <c r="T566" i="12"/>
  <c r="T630" i="12"/>
  <c r="T1094" i="12"/>
  <c r="T121" i="12"/>
  <c r="T1307" i="12"/>
  <c r="T692" i="12"/>
  <c r="T20" i="12"/>
  <c r="T601" i="12"/>
  <c r="T913" i="12"/>
  <c r="T12" i="12"/>
  <c r="T1356" i="12"/>
  <c r="T67" i="12"/>
  <c r="T1270" i="12"/>
  <c r="T726" i="12"/>
  <c r="T28" i="12"/>
  <c r="T1038" i="12"/>
  <c r="T932" i="12"/>
  <c r="T492" i="12"/>
  <c r="T131" i="12"/>
  <c r="T766" i="12"/>
  <c r="T316" i="12"/>
  <c r="T89" i="12"/>
  <c r="T190" i="12"/>
  <c r="T294" i="12"/>
  <c r="T748" i="12"/>
  <c r="T1060" i="12"/>
  <c r="T145" i="12"/>
  <c r="T52" i="12"/>
  <c r="T49" i="12"/>
  <c r="T814" i="12"/>
  <c r="T540" i="12"/>
  <c r="T78" i="12"/>
  <c r="T462" i="12"/>
  <c r="T268" i="12"/>
  <c r="T14" i="12"/>
  <c r="T398" i="12"/>
  <c r="T33" i="12"/>
  <c r="T892" i="12"/>
  <c r="T579" i="12"/>
  <c r="T348" i="12"/>
  <c r="T972" i="12"/>
  <c r="T1260" i="12"/>
  <c r="T907" i="12"/>
  <c r="T772" i="12"/>
  <c r="T502" i="12"/>
  <c r="T204" i="12"/>
  <c r="T21" i="12"/>
  <c r="T453" i="12"/>
  <c r="T1070" i="12"/>
  <c r="T454" i="12"/>
  <c r="T86" i="12"/>
  <c r="T420" i="12"/>
  <c r="T534" i="12"/>
  <c r="T667" i="12"/>
  <c r="T182" i="12"/>
  <c r="T126" i="12"/>
  <c r="T1340" i="12"/>
  <c r="T270" i="12"/>
  <c r="T1278" i="12"/>
  <c r="T62" i="12"/>
  <c r="T276" i="12"/>
  <c r="T529" i="12"/>
  <c r="T302" i="12"/>
  <c r="T1236" i="12"/>
  <c r="T572" i="12"/>
  <c r="T788" i="12"/>
  <c r="T230" i="12"/>
  <c r="T355" i="12"/>
  <c r="T150" i="12"/>
  <c r="T1190" i="12"/>
  <c r="T1052" i="12"/>
  <c r="T291" i="12"/>
  <c r="T1044" i="12"/>
  <c r="T206" i="12"/>
  <c r="T220" i="12"/>
  <c r="T561" i="12"/>
  <c r="T1150" i="12"/>
  <c r="T580" i="12"/>
  <c r="T620" i="12"/>
  <c r="T468" i="12"/>
  <c r="T925" i="12"/>
  <c r="T860" i="12"/>
  <c r="T382" i="12"/>
  <c r="T83" i="12"/>
  <c r="T790" i="12"/>
  <c r="T139" i="12"/>
  <c r="T1468" i="12"/>
  <c r="T84" i="12"/>
  <c r="T1014" i="12"/>
  <c r="T70" i="12"/>
  <c r="T484" i="12"/>
  <c r="T779" i="12"/>
  <c r="T356" i="12"/>
  <c r="T390" i="12"/>
  <c r="T542" i="12"/>
  <c r="T510" i="12"/>
  <c r="T435" i="12"/>
  <c r="T350" i="12"/>
  <c r="T283" i="12"/>
  <c r="T900" i="12"/>
  <c r="T651" i="12"/>
  <c r="T556" i="12"/>
  <c r="T1252" i="12"/>
  <c r="T548" i="12"/>
  <c r="T515" i="12"/>
  <c r="T17" i="12"/>
  <c r="T141" i="12"/>
  <c r="T358" i="12"/>
  <c r="T1345" i="12"/>
  <c r="T436" i="12"/>
  <c r="T694" i="12"/>
  <c r="T1406" i="12"/>
  <c r="T1084" i="12"/>
  <c r="T91" i="12"/>
  <c r="T675" i="12"/>
  <c r="T1012" i="12"/>
  <c r="T68" i="12"/>
  <c r="T1172" i="12"/>
  <c r="T558" i="12"/>
  <c r="T940" i="12"/>
  <c r="T388" i="12"/>
  <c r="T166" i="12"/>
  <c r="T1092" i="12"/>
  <c r="T652" i="12"/>
  <c r="T244" i="12"/>
  <c r="T284" i="12"/>
  <c r="T989" i="12"/>
  <c r="T974" i="12"/>
  <c r="T926" i="12"/>
  <c r="T516" i="12"/>
  <c r="T684" i="12"/>
  <c r="T1430" i="12"/>
  <c r="T379" i="12"/>
  <c r="T196" i="12"/>
  <c r="T129" i="12"/>
  <c r="T174" i="12"/>
  <c r="T1046" i="12"/>
  <c r="T235" i="12"/>
  <c r="T588" i="12"/>
  <c r="T1067" i="12"/>
  <c r="T212" i="12"/>
  <c r="T1196" i="12"/>
  <c r="T550" i="12"/>
  <c r="T804" i="12"/>
  <c r="T11" i="12"/>
  <c r="T318" i="12"/>
  <c r="T97" i="12"/>
  <c r="T222" i="12"/>
  <c r="T65" i="12"/>
  <c r="T780" i="12"/>
  <c r="T236" i="12"/>
  <c r="T1294" i="12"/>
  <c r="T428" i="12"/>
  <c r="T1372" i="12"/>
  <c r="T1457" i="12"/>
  <c r="T113" i="12"/>
  <c r="T1158" i="12"/>
  <c r="T854" i="12"/>
  <c r="T411" i="12"/>
  <c r="T523" i="12"/>
  <c r="T1076" i="12"/>
  <c r="T373" i="12"/>
  <c r="T57" i="12"/>
  <c r="T950" i="12"/>
  <c r="T836" i="12"/>
  <c r="T374" i="12"/>
  <c r="T1008" i="12"/>
  <c r="T444" i="12"/>
  <c r="T1053" i="12"/>
  <c r="T1057" i="12"/>
  <c r="T862" i="12"/>
  <c r="T179" i="12"/>
  <c r="T595" i="12"/>
  <c r="T430" i="12"/>
  <c r="T724" i="12"/>
  <c r="T524" i="12"/>
  <c r="T403" i="12"/>
  <c r="T710" i="12"/>
  <c r="T163" i="12"/>
  <c r="T9" i="12"/>
  <c r="T364" i="12"/>
  <c r="T644" i="12"/>
  <c r="T59" i="12"/>
  <c r="T292" i="12"/>
  <c r="T286" i="12"/>
  <c r="T1220" i="12"/>
  <c r="T156" i="12"/>
  <c r="T81" i="12"/>
  <c r="T412" i="12"/>
  <c r="T1286" i="12"/>
  <c r="T870" i="12"/>
  <c r="T252" i="12"/>
  <c r="T1086" i="12"/>
  <c r="T310" i="12"/>
  <c r="T1068" i="12"/>
  <c r="T878" i="12"/>
  <c r="T676" i="12"/>
  <c r="T100" i="12"/>
  <c r="T849" i="12"/>
  <c r="T604" i="12"/>
  <c r="T1124" i="12"/>
  <c r="T180" i="12"/>
  <c r="T563" i="12"/>
  <c r="T1310" i="12"/>
  <c r="T1116" i="12"/>
  <c r="T838" i="12"/>
  <c r="T485" i="12"/>
  <c r="T1140" i="12"/>
  <c r="T980" i="12"/>
  <c r="T422" i="12"/>
  <c r="T25" i="12"/>
  <c r="T998" i="12"/>
  <c r="T1324" i="12"/>
  <c r="T30" i="12"/>
  <c r="T92" i="12"/>
  <c r="T1176" i="12"/>
  <c r="T1164" i="12"/>
  <c r="T332" i="12"/>
  <c r="T300" i="12"/>
  <c r="T187" i="12"/>
  <c r="T214" i="12"/>
  <c r="T297" i="12"/>
  <c r="T340" i="12"/>
  <c r="T1009" i="12"/>
  <c r="T964" i="12"/>
  <c r="T193" i="12"/>
  <c r="T1020" i="12"/>
  <c r="T445" i="12"/>
  <c r="T476" i="12"/>
  <c r="T308" i="12"/>
  <c r="T956" i="12"/>
  <c r="T46" i="12"/>
  <c r="T446" i="12"/>
  <c r="T1588" i="12"/>
  <c r="T54" i="12"/>
  <c r="T1318" i="12"/>
  <c r="T942" i="12"/>
  <c r="T564" i="12"/>
  <c r="T1100" i="12"/>
  <c r="T750" i="12"/>
  <c r="T948" i="12"/>
  <c r="T734" i="12"/>
  <c r="T1230" i="12"/>
  <c r="T396" i="12"/>
  <c r="T142" i="12"/>
  <c r="T916" i="12"/>
  <c r="T1036" i="12"/>
  <c r="T324" i="12"/>
  <c r="T325" i="12"/>
  <c r="T177" i="12"/>
  <c r="T132" i="12"/>
  <c r="T73" i="12"/>
  <c r="T198" i="12"/>
  <c r="T812" i="12"/>
  <c r="T526" i="12"/>
  <c r="T494" i="12"/>
  <c r="T259" i="12"/>
  <c r="T43" i="12"/>
  <c r="T716" i="12"/>
  <c r="T438" i="12"/>
  <c r="T1262" i="12"/>
  <c r="T822" i="12"/>
  <c r="T852" i="12"/>
  <c r="T243" i="12"/>
  <c r="T590" i="12"/>
  <c r="T140" i="12"/>
  <c r="T982" i="12"/>
  <c r="T830" i="12"/>
  <c r="T876" i="12"/>
  <c r="T934" i="12"/>
  <c r="T702" i="12"/>
  <c r="T172" i="12"/>
  <c r="T758" i="12"/>
  <c r="T4" i="12"/>
  <c r="T902" i="12"/>
  <c r="T668" i="12"/>
  <c r="T449" i="12"/>
  <c r="T1054" i="12"/>
  <c r="T369" i="12"/>
  <c r="T254" i="12"/>
  <c r="T477" i="12"/>
  <c r="T1484" i="12"/>
  <c r="T1366" i="12"/>
  <c r="T1129" i="12"/>
  <c r="T305" i="12"/>
  <c r="T246" i="12"/>
  <c r="T1004" i="12"/>
  <c r="T124" i="12"/>
  <c r="T22" i="12"/>
  <c r="T326" i="12"/>
  <c r="T1188" i="12"/>
  <c r="T617" i="12"/>
  <c r="T404" i="12"/>
  <c r="T1350" i="12"/>
  <c r="T686" i="12"/>
  <c r="T884" i="12"/>
  <c r="T107" i="12"/>
  <c r="T646" i="12"/>
  <c r="T924" i="12"/>
  <c r="T1412" i="12"/>
  <c r="T1118" i="12"/>
  <c r="T19" i="12"/>
  <c r="T264" i="12"/>
  <c r="T238" i="12"/>
  <c r="T153" i="12"/>
  <c r="T184" i="12"/>
  <c r="T452" i="12"/>
  <c r="T134" i="12"/>
  <c r="T3" i="12"/>
  <c r="T188" i="12"/>
  <c r="T1649" i="12"/>
  <c r="Q1668" i="8"/>
  <c r="Q1667" i="8"/>
  <c r="Q1666" i="8"/>
  <c r="Q1665" i="8"/>
  <c r="Q1664" i="8"/>
  <c r="Q1663" i="8"/>
  <c r="Q1662" i="8"/>
  <c r="Q1661" i="8"/>
  <c r="Q1660" i="8"/>
  <c r="Q1659" i="8"/>
  <c r="Q1658" i="8"/>
  <c r="Q1657" i="8"/>
  <c r="Q1656" i="8"/>
  <c r="Q1655" i="8"/>
  <c r="Q1654" i="8"/>
  <c r="Q1653" i="8"/>
  <c r="Q1652" i="8"/>
  <c r="Q1651" i="8"/>
  <c r="Q1650" i="8"/>
  <c r="Q1649" i="8"/>
  <c r="Q1648" i="8"/>
  <c r="Q1647" i="8"/>
  <c r="Q1646" i="8"/>
  <c r="Q1645" i="8"/>
  <c r="Q1644" i="8"/>
  <c r="Q1643" i="8"/>
  <c r="Q1642" i="8"/>
  <c r="Q1641" i="8"/>
  <c r="Q1640" i="8"/>
  <c r="Q1639" i="8"/>
  <c r="Q1638" i="8"/>
  <c r="Q1637" i="8"/>
  <c r="Q1636" i="8"/>
  <c r="Q1635" i="8"/>
  <c r="Q1634" i="8"/>
  <c r="Q1633" i="8"/>
  <c r="Q1632" i="8"/>
  <c r="Q1631" i="8"/>
  <c r="Q1630" i="8"/>
  <c r="Q1629" i="8"/>
  <c r="Q1628" i="8"/>
  <c r="Q1627" i="8"/>
  <c r="Q1626" i="8"/>
  <c r="Q1625" i="8"/>
  <c r="Q1624" i="8"/>
  <c r="Q1623" i="8"/>
  <c r="Q1622" i="8"/>
  <c r="Q1621" i="8"/>
  <c r="Q1620" i="8"/>
  <c r="Q1619" i="8"/>
  <c r="Q1618" i="8"/>
  <c r="Q1617" i="8"/>
  <c r="Q1616" i="8"/>
  <c r="Q1615" i="8"/>
  <c r="Q1614" i="8"/>
  <c r="Q1613" i="8"/>
  <c r="Q1612" i="8"/>
  <c r="Q1611" i="8"/>
  <c r="Q1610" i="8"/>
  <c r="Q1609" i="8"/>
  <c r="Q1608" i="8"/>
  <c r="Q1607" i="8"/>
  <c r="Q1606" i="8"/>
  <c r="Q1605" i="8"/>
  <c r="Q1604" i="8"/>
  <c r="Q1603" i="8"/>
  <c r="Q1602" i="8"/>
  <c r="Q1601" i="8"/>
  <c r="Q1600" i="8"/>
  <c r="Q1599" i="8"/>
  <c r="Q1598" i="8"/>
  <c r="Q1597" i="8"/>
  <c r="Q1596" i="8"/>
  <c r="Q1595" i="8"/>
  <c r="Q1594" i="8"/>
  <c r="Q1593" i="8"/>
  <c r="Q1592" i="8"/>
  <c r="Q1591" i="8"/>
  <c r="Q1590" i="8"/>
  <c r="Q1589" i="8"/>
  <c r="Q1588" i="8"/>
  <c r="Q1587" i="8"/>
  <c r="Q1586" i="8"/>
  <c r="Q1585" i="8"/>
  <c r="Q1584" i="8"/>
  <c r="Q1583" i="8"/>
  <c r="Q1582" i="8"/>
  <c r="Q1581" i="8"/>
  <c r="Q1580" i="8"/>
  <c r="Q1579" i="8"/>
  <c r="Q1578" i="8"/>
  <c r="Q1577" i="8"/>
  <c r="Q1576" i="8"/>
  <c r="Q1575" i="8"/>
  <c r="Q1574" i="8"/>
  <c r="Q1573" i="8"/>
  <c r="Q1572" i="8"/>
  <c r="Q1571" i="8"/>
  <c r="Q1570" i="8"/>
  <c r="Q1569" i="8"/>
  <c r="Q1568" i="8"/>
  <c r="Q1567" i="8"/>
  <c r="Q1566" i="8"/>
  <c r="Q1565" i="8"/>
  <c r="Q1564" i="8"/>
  <c r="Q1563" i="8"/>
  <c r="Q1562" i="8"/>
  <c r="Q1561" i="8"/>
  <c r="Q1560" i="8"/>
  <c r="Q1559" i="8"/>
  <c r="Q1558" i="8"/>
  <c r="Q1557" i="8"/>
  <c r="Q1556" i="8"/>
  <c r="Q1555" i="8"/>
  <c r="Q1554" i="8"/>
  <c r="Q1553" i="8"/>
  <c r="Q1552" i="8"/>
  <c r="Q1551" i="8"/>
  <c r="Q1550" i="8"/>
  <c r="Q1549" i="8"/>
  <c r="Q1548" i="8"/>
  <c r="Q1547" i="8"/>
  <c r="Q1546" i="8"/>
  <c r="Q1545" i="8"/>
  <c r="Q1544" i="8"/>
  <c r="Q1543" i="8"/>
  <c r="Q1542" i="8"/>
  <c r="Q1541" i="8"/>
  <c r="Q1540" i="8"/>
  <c r="Q1539" i="8"/>
  <c r="Q1538" i="8"/>
  <c r="Q1537" i="8"/>
  <c r="Q1536" i="8"/>
  <c r="Q1535" i="8"/>
  <c r="Q1534" i="8"/>
  <c r="Q1533" i="8"/>
  <c r="Q1532" i="8"/>
  <c r="Q1531" i="8"/>
  <c r="Q1530" i="8"/>
  <c r="Q1529" i="8"/>
  <c r="Q1528" i="8"/>
  <c r="Q1527" i="8"/>
  <c r="Q1526" i="8"/>
  <c r="Q1525" i="8"/>
  <c r="Q1524" i="8"/>
  <c r="Q1523" i="8"/>
  <c r="Q1522" i="8"/>
  <c r="Q1521" i="8"/>
  <c r="Q1520" i="8"/>
  <c r="Q1519" i="8"/>
  <c r="Q1518" i="8"/>
  <c r="Q1517" i="8"/>
  <c r="Q1516" i="8"/>
  <c r="Q1515" i="8"/>
  <c r="Q1514" i="8"/>
  <c r="Q1513" i="8"/>
  <c r="Q1512" i="8"/>
  <c r="Q1511" i="8"/>
  <c r="Q1510" i="8"/>
  <c r="Q1509" i="8"/>
  <c r="Q1508" i="8"/>
  <c r="Q1507" i="8"/>
  <c r="Q1506" i="8"/>
  <c r="Q1505" i="8"/>
  <c r="Q1504" i="8"/>
  <c r="Q1503" i="8"/>
  <c r="Q1502" i="8"/>
  <c r="Q1501" i="8"/>
  <c r="Q1500" i="8"/>
  <c r="Q1499" i="8"/>
  <c r="Q1498" i="8"/>
  <c r="Q1497" i="8"/>
  <c r="Q1496" i="8"/>
  <c r="Q1495" i="8"/>
  <c r="Q1494" i="8"/>
  <c r="Q1493" i="8"/>
  <c r="Q1492" i="8"/>
  <c r="Q1491" i="8"/>
  <c r="Q1490" i="8"/>
  <c r="Q1489" i="8"/>
  <c r="Q1488" i="8"/>
  <c r="Q1487" i="8"/>
  <c r="Q1486" i="8"/>
  <c r="Q1485" i="8"/>
  <c r="Q1484" i="8"/>
  <c r="Q1483" i="8"/>
  <c r="Q1482" i="8"/>
  <c r="Q1481" i="8"/>
  <c r="Q1480" i="8"/>
  <c r="Q1479" i="8"/>
  <c r="Q1478" i="8"/>
  <c r="Q1477" i="8"/>
  <c r="Q1476" i="8"/>
  <c r="Q1475" i="8"/>
  <c r="Q1474" i="8"/>
  <c r="Q1473" i="8"/>
  <c r="Q1472" i="8"/>
  <c r="Q1471" i="8"/>
  <c r="Q1470" i="8"/>
  <c r="Q1469" i="8"/>
  <c r="Q1468" i="8"/>
  <c r="Q1467" i="8"/>
  <c r="Q1466" i="8"/>
  <c r="Q1465" i="8"/>
  <c r="Q1464" i="8"/>
  <c r="Q1463" i="8"/>
  <c r="Q1462" i="8"/>
  <c r="Q1461" i="8"/>
  <c r="Q1460" i="8"/>
  <c r="Q1459" i="8"/>
  <c r="Q1458" i="8"/>
  <c r="Q1457" i="8"/>
  <c r="Q1456" i="8"/>
  <c r="Q1455" i="8"/>
  <c r="Q1454" i="8"/>
  <c r="Q1453" i="8"/>
  <c r="Q1452" i="8"/>
  <c r="Q1451" i="8"/>
  <c r="Q1450" i="8"/>
  <c r="Q1449" i="8"/>
  <c r="Q1448" i="8"/>
  <c r="Q1447" i="8"/>
  <c r="Q1446" i="8"/>
  <c r="Q1445" i="8"/>
  <c r="Q1444" i="8"/>
  <c r="Q1443" i="8"/>
  <c r="Q1442" i="8"/>
  <c r="Q1441" i="8"/>
  <c r="Q1440" i="8"/>
  <c r="Q1439" i="8"/>
  <c r="Q1438" i="8"/>
  <c r="Q1437" i="8"/>
  <c r="Q1436" i="8"/>
  <c r="Q1435" i="8"/>
  <c r="Q1434" i="8"/>
  <c r="Q1433" i="8"/>
  <c r="Q1432" i="8"/>
  <c r="Q1431" i="8"/>
  <c r="Q1430" i="8"/>
  <c r="Q1429" i="8"/>
  <c r="Q1428" i="8"/>
  <c r="Q1427" i="8"/>
  <c r="Q1426" i="8"/>
  <c r="Q1425" i="8"/>
  <c r="Q1424" i="8"/>
  <c r="Q1423" i="8"/>
  <c r="Q1422" i="8"/>
  <c r="Q1421" i="8"/>
  <c r="Q1420" i="8"/>
  <c r="Q1419" i="8"/>
  <c r="Q1418" i="8"/>
  <c r="Q1417" i="8"/>
  <c r="Q1416" i="8"/>
  <c r="Q1415" i="8"/>
  <c r="Q1414" i="8"/>
  <c r="Q1413" i="8"/>
  <c r="Q1412" i="8"/>
  <c r="Q1411" i="8"/>
  <c r="Q1410" i="8"/>
  <c r="Q1409" i="8"/>
  <c r="Q1408" i="8"/>
  <c r="Q1407" i="8"/>
  <c r="Q1406" i="8"/>
  <c r="Q1405" i="8"/>
  <c r="Q1404" i="8"/>
  <c r="Q1403" i="8"/>
  <c r="Q1402" i="8"/>
  <c r="Q1401" i="8"/>
  <c r="Q1400" i="8"/>
  <c r="Q1399" i="8"/>
  <c r="Q1398" i="8"/>
  <c r="Q1397" i="8"/>
  <c r="Q1396" i="8"/>
  <c r="Q1395" i="8"/>
  <c r="Q1394" i="8"/>
  <c r="Q1393" i="8"/>
  <c r="Q1392" i="8"/>
  <c r="Q1391" i="8"/>
  <c r="Q1390" i="8"/>
  <c r="Q1389" i="8"/>
  <c r="Q1388" i="8"/>
  <c r="Q1387" i="8"/>
  <c r="Q1386" i="8"/>
  <c r="Q1385" i="8"/>
  <c r="Q1384" i="8"/>
  <c r="Q1383" i="8"/>
  <c r="Q1382" i="8"/>
  <c r="Q1381" i="8"/>
  <c r="Q1380" i="8"/>
  <c r="Q1379" i="8"/>
  <c r="Q1378" i="8"/>
  <c r="Q1377" i="8"/>
  <c r="Q1376" i="8"/>
  <c r="Q1375" i="8"/>
  <c r="Q1374" i="8"/>
  <c r="Q1373" i="8"/>
  <c r="Q1372" i="8"/>
  <c r="Q1371" i="8"/>
  <c r="Q1370" i="8"/>
  <c r="Q1369" i="8"/>
  <c r="Q1368" i="8"/>
  <c r="Q1367" i="8"/>
  <c r="Q1366" i="8"/>
  <c r="Q1365" i="8"/>
  <c r="Q1364" i="8"/>
  <c r="Q1363" i="8"/>
  <c r="Q1362" i="8"/>
  <c r="Q1361" i="8"/>
  <c r="Q1360" i="8"/>
  <c r="Q1359" i="8"/>
  <c r="Q1358" i="8"/>
  <c r="Q1357" i="8"/>
  <c r="Q1356" i="8"/>
  <c r="Q1355" i="8"/>
  <c r="Q1354" i="8"/>
  <c r="Q1353" i="8"/>
  <c r="Q1352" i="8"/>
  <c r="Q1351" i="8"/>
  <c r="Q1350" i="8"/>
  <c r="Q1349" i="8"/>
  <c r="Q1348" i="8"/>
  <c r="Q1347" i="8"/>
  <c r="Q1346" i="8"/>
  <c r="Q1345" i="8"/>
  <c r="Q1344" i="8"/>
  <c r="Q1343" i="8"/>
  <c r="Q1342" i="8"/>
  <c r="Q1341" i="8"/>
  <c r="Q1340" i="8"/>
  <c r="Q1339" i="8"/>
  <c r="Q1338" i="8"/>
  <c r="Q1337" i="8"/>
  <c r="Q1336" i="8"/>
  <c r="Q1335" i="8"/>
  <c r="Q1334" i="8"/>
  <c r="Q1333" i="8"/>
  <c r="Q1332" i="8"/>
  <c r="Q1331" i="8"/>
  <c r="Q1330" i="8"/>
  <c r="Q1329" i="8"/>
  <c r="Q1328" i="8"/>
  <c r="Q1327" i="8"/>
  <c r="Q1326" i="8"/>
  <c r="Q1325" i="8"/>
  <c r="Q1324" i="8"/>
  <c r="Q1323" i="8"/>
  <c r="Q1322" i="8"/>
  <c r="Q1321" i="8"/>
  <c r="Q1320" i="8"/>
  <c r="Q1319" i="8"/>
  <c r="Q1318" i="8"/>
  <c r="Q1317" i="8"/>
  <c r="Q1316" i="8"/>
  <c r="Q1315" i="8"/>
  <c r="Q1314" i="8"/>
  <c r="Q1313" i="8"/>
  <c r="Q1312" i="8"/>
  <c r="Q1311" i="8"/>
  <c r="Q1310" i="8"/>
  <c r="Q1309" i="8"/>
  <c r="Q1308" i="8"/>
  <c r="Q1307" i="8"/>
  <c r="Q1306" i="8"/>
  <c r="Q1305" i="8"/>
  <c r="Q1304" i="8"/>
  <c r="Q1303" i="8"/>
  <c r="Q1302" i="8"/>
  <c r="Q1301" i="8"/>
  <c r="Q1300" i="8"/>
  <c r="Q1299" i="8"/>
  <c r="Q1298" i="8"/>
  <c r="Q1297" i="8"/>
  <c r="Q1296" i="8"/>
  <c r="Q1295" i="8"/>
  <c r="Q1294" i="8"/>
  <c r="Q1293" i="8"/>
  <c r="Q1292" i="8"/>
  <c r="Q1291" i="8"/>
  <c r="Q1290" i="8"/>
  <c r="Q1289" i="8"/>
  <c r="Q1288" i="8"/>
  <c r="Q1287" i="8"/>
  <c r="Q1286" i="8"/>
  <c r="Q1285" i="8"/>
  <c r="Q1284" i="8"/>
  <c r="Q1283" i="8"/>
  <c r="Q1282" i="8"/>
  <c r="Q1281" i="8"/>
  <c r="Q1280" i="8"/>
  <c r="Q1279" i="8"/>
  <c r="Q1278" i="8"/>
  <c r="Q1277" i="8"/>
  <c r="Q1276" i="8"/>
  <c r="Q1275" i="8"/>
  <c r="Q1274" i="8"/>
  <c r="Q1273" i="8"/>
  <c r="Q1272" i="8"/>
  <c r="Q1271" i="8"/>
  <c r="Q1270" i="8"/>
  <c r="Q1269" i="8"/>
  <c r="Q1268" i="8"/>
  <c r="Q1267" i="8"/>
  <c r="Q1266" i="8"/>
  <c r="Q1265" i="8"/>
  <c r="Q1264" i="8"/>
  <c r="Q1263" i="8"/>
  <c r="Q1262" i="8"/>
  <c r="Q1261" i="8"/>
  <c r="Q1260" i="8"/>
  <c r="Q1259" i="8"/>
  <c r="Q1258" i="8"/>
  <c r="Q1257" i="8"/>
  <c r="Q1256" i="8"/>
  <c r="Q1255" i="8"/>
  <c r="Q1254" i="8"/>
  <c r="Q1253" i="8"/>
  <c r="Q1252" i="8"/>
  <c r="Q1251" i="8"/>
  <c r="Q1250" i="8"/>
  <c r="Q1249" i="8"/>
  <c r="Q1248" i="8"/>
  <c r="Q1247" i="8"/>
  <c r="Q1246" i="8"/>
  <c r="Q1245" i="8"/>
  <c r="Q1244" i="8"/>
  <c r="Q1243" i="8"/>
  <c r="Q1242" i="8"/>
  <c r="Q1241" i="8"/>
  <c r="Q1240" i="8"/>
  <c r="Q1239" i="8"/>
  <c r="Q1238" i="8"/>
  <c r="Q1237" i="8"/>
  <c r="Q1236" i="8"/>
  <c r="Q1235" i="8"/>
  <c r="Q1234" i="8"/>
  <c r="Q1233" i="8"/>
  <c r="Q1232" i="8"/>
  <c r="Q1231" i="8"/>
  <c r="Q1230" i="8"/>
  <c r="Q1229" i="8"/>
  <c r="Q1228" i="8"/>
  <c r="Q1227" i="8"/>
  <c r="Q1226" i="8"/>
  <c r="Q1225" i="8"/>
  <c r="Q1224" i="8"/>
  <c r="Q1223" i="8"/>
  <c r="Q1222" i="8"/>
  <c r="Q1221" i="8"/>
  <c r="Q1220" i="8"/>
  <c r="Q1219" i="8"/>
  <c r="Q1218" i="8"/>
  <c r="Q1217" i="8"/>
  <c r="Q1216" i="8"/>
  <c r="Q1215" i="8"/>
  <c r="Q1214" i="8"/>
  <c r="Q1213" i="8"/>
  <c r="Q1212" i="8"/>
  <c r="Q1211" i="8"/>
  <c r="Q1210" i="8"/>
  <c r="Q1209" i="8"/>
  <c r="Q1208" i="8"/>
  <c r="Q1207" i="8"/>
  <c r="Q1206" i="8"/>
  <c r="Q1205" i="8"/>
  <c r="Q1204" i="8"/>
  <c r="Q1203" i="8"/>
  <c r="Q1202" i="8"/>
  <c r="Q1201" i="8"/>
  <c r="Q1200" i="8"/>
  <c r="Q1199" i="8"/>
  <c r="Q1198" i="8"/>
  <c r="Q1197" i="8"/>
  <c r="Q1196" i="8"/>
  <c r="Q1195" i="8"/>
  <c r="Q1194" i="8"/>
  <c r="Q1193" i="8"/>
  <c r="Q1192" i="8"/>
  <c r="Q1191" i="8"/>
  <c r="Q1190" i="8"/>
  <c r="Q1189" i="8"/>
  <c r="Q1188" i="8"/>
  <c r="Q1187" i="8"/>
  <c r="Q1186" i="8"/>
  <c r="Q1185" i="8"/>
  <c r="Q1184" i="8"/>
  <c r="Q1183" i="8"/>
  <c r="Q1182" i="8"/>
  <c r="Q1181" i="8"/>
  <c r="Q1180" i="8"/>
  <c r="Q1179" i="8"/>
  <c r="Q1178" i="8"/>
  <c r="Q1177" i="8"/>
  <c r="Q1176" i="8"/>
  <c r="Q1175" i="8"/>
  <c r="Q1174" i="8"/>
  <c r="Q1173" i="8"/>
  <c r="Q1172" i="8"/>
  <c r="Q1171" i="8"/>
  <c r="Q1170" i="8"/>
  <c r="Q1169" i="8"/>
  <c r="Q1168" i="8"/>
  <c r="Q1167" i="8"/>
  <c r="Q1166" i="8"/>
  <c r="Q1165" i="8"/>
  <c r="Q1164" i="8"/>
  <c r="Q1163" i="8"/>
  <c r="Q1162" i="8"/>
  <c r="Q1161" i="8"/>
  <c r="Q1160" i="8"/>
  <c r="Q1159" i="8"/>
  <c r="Q1158" i="8"/>
  <c r="Q1157" i="8"/>
  <c r="Q1156" i="8"/>
  <c r="Q1155" i="8"/>
  <c r="Q1154" i="8"/>
  <c r="Q1153" i="8"/>
  <c r="Q1152" i="8"/>
  <c r="Q1151" i="8"/>
  <c r="Q1150" i="8"/>
  <c r="Q1149" i="8"/>
  <c r="Q1148" i="8"/>
  <c r="Q1147" i="8"/>
  <c r="Q1146" i="8"/>
  <c r="Q1145" i="8"/>
  <c r="Q1144" i="8"/>
  <c r="Q1143" i="8"/>
  <c r="Q1142" i="8"/>
  <c r="Q1141" i="8"/>
  <c r="Q1140" i="8"/>
  <c r="Q1139" i="8"/>
  <c r="Q1138" i="8"/>
  <c r="Q1137" i="8"/>
  <c r="Q1136" i="8"/>
  <c r="Q1135" i="8"/>
  <c r="Q1134" i="8"/>
  <c r="Q1133" i="8"/>
  <c r="Q1132" i="8"/>
  <c r="Q1131" i="8"/>
  <c r="Q1130" i="8"/>
  <c r="Q1129" i="8"/>
  <c r="Q1128" i="8"/>
  <c r="Q1127" i="8"/>
  <c r="Q1126" i="8"/>
  <c r="Q1125" i="8"/>
  <c r="Q1124" i="8"/>
  <c r="Q1123" i="8"/>
  <c r="Q1122" i="8"/>
  <c r="Q1121" i="8"/>
  <c r="Q1120" i="8"/>
  <c r="Q1119" i="8"/>
  <c r="Q1118" i="8"/>
  <c r="Q1117" i="8"/>
  <c r="Q1116" i="8"/>
  <c r="Q1115" i="8"/>
  <c r="Q1114" i="8"/>
  <c r="Q1113" i="8"/>
  <c r="Q1112" i="8"/>
  <c r="Q1111" i="8"/>
  <c r="Q1110" i="8"/>
  <c r="Q1109" i="8"/>
  <c r="Q1108" i="8"/>
  <c r="Q1107" i="8"/>
  <c r="Q1106" i="8"/>
  <c r="Q1105" i="8"/>
  <c r="Q1104" i="8"/>
  <c r="Q1103" i="8"/>
  <c r="Q1102" i="8"/>
  <c r="Q1101" i="8"/>
  <c r="Q1100" i="8"/>
  <c r="Q1099" i="8"/>
  <c r="Q1098" i="8"/>
  <c r="Q1097" i="8"/>
  <c r="Q1096" i="8"/>
  <c r="Q1095" i="8"/>
  <c r="Q1094" i="8"/>
  <c r="Q1093" i="8"/>
  <c r="Q1092" i="8"/>
  <c r="Q1091" i="8"/>
  <c r="Q1090" i="8"/>
  <c r="Q1089" i="8"/>
  <c r="Q1088" i="8"/>
  <c r="Q1087" i="8"/>
  <c r="Q1086" i="8"/>
  <c r="Q1085" i="8"/>
  <c r="Q1084" i="8"/>
  <c r="Q1083" i="8"/>
  <c r="Q1082" i="8"/>
  <c r="Q1081" i="8"/>
  <c r="Q1080" i="8"/>
  <c r="Q1079" i="8"/>
  <c r="Q1078" i="8"/>
  <c r="Q1077" i="8"/>
  <c r="Q1076" i="8"/>
  <c r="Q1075" i="8"/>
  <c r="Q1074" i="8"/>
  <c r="Q1073" i="8"/>
  <c r="Q1072" i="8"/>
  <c r="Q1071" i="8"/>
  <c r="Q1070" i="8"/>
  <c r="Q1069" i="8"/>
  <c r="Q1068" i="8"/>
  <c r="Q1067" i="8"/>
  <c r="Q1066" i="8"/>
  <c r="Q1065" i="8"/>
  <c r="Q1064" i="8"/>
  <c r="Q1063" i="8"/>
  <c r="Q1062" i="8"/>
  <c r="Q1061" i="8"/>
  <c r="Q1060" i="8"/>
  <c r="Q1059" i="8"/>
  <c r="Q1058" i="8"/>
  <c r="Q1057" i="8"/>
  <c r="Q1056" i="8"/>
  <c r="Q1055" i="8"/>
  <c r="Q1054" i="8"/>
  <c r="Q1053" i="8"/>
  <c r="Q1052" i="8"/>
  <c r="Q1051" i="8"/>
  <c r="Q1050" i="8"/>
  <c r="Q1049" i="8"/>
  <c r="Q1048" i="8"/>
  <c r="Q1047" i="8"/>
  <c r="Q1046" i="8"/>
  <c r="Q1045" i="8"/>
  <c r="Q1044" i="8"/>
  <c r="Q1043" i="8"/>
  <c r="Q1042" i="8"/>
  <c r="Q1041" i="8"/>
  <c r="Q1040" i="8"/>
  <c r="Q1039" i="8"/>
  <c r="Q1038" i="8"/>
  <c r="Q1037" i="8"/>
  <c r="Q1036" i="8"/>
  <c r="Q1035" i="8"/>
  <c r="Q1034" i="8"/>
  <c r="Q1033" i="8"/>
  <c r="Q1032" i="8"/>
  <c r="Q1031" i="8"/>
  <c r="Q1030" i="8"/>
  <c r="Q1029" i="8"/>
  <c r="Q1028" i="8"/>
  <c r="Q1027" i="8"/>
  <c r="Q1026" i="8"/>
  <c r="Q1025" i="8"/>
  <c r="Q1024" i="8"/>
  <c r="Q1023" i="8"/>
  <c r="Q1022" i="8"/>
  <c r="Q1021" i="8"/>
  <c r="Q1020" i="8"/>
  <c r="Q1019" i="8"/>
  <c r="Q1018" i="8"/>
  <c r="Q1017" i="8"/>
  <c r="Q1016" i="8"/>
  <c r="Q1015" i="8"/>
  <c r="Q1014" i="8"/>
  <c r="Q1013" i="8"/>
  <c r="Q1012" i="8"/>
  <c r="Q1011" i="8"/>
  <c r="Q1010" i="8"/>
  <c r="Q1009" i="8"/>
  <c r="Q1008" i="8"/>
  <c r="Q1007" i="8"/>
  <c r="Q1006" i="8"/>
  <c r="Q1005" i="8"/>
  <c r="Q1004" i="8"/>
  <c r="Q1003" i="8"/>
  <c r="Q1002" i="8"/>
  <c r="Q1001" i="8"/>
  <c r="Q1000" i="8"/>
  <c r="Q999" i="8"/>
  <c r="Q998" i="8"/>
  <c r="Q997" i="8"/>
  <c r="Q996" i="8"/>
  <c r="Q995" i="8"/>
  <c r="Q994" i="8"/>
  <c r="Q993" i="8"/>
  <c r="Q992" i="8"/>
  <c r="Q991" i="8"/>
  <c r="Q990" i="8"/>
  <c r="Q989" i="8"/>
  <c r="Q988" i="8"/>
  <c r="Q987" i="8"/>
  <c r="Q986" i="8"/>
  <c r="Q985" i="8"/>
  <c r="Q984" i="8"/>
  <c r="Q983" i="8"/>
  <c r="Q982" i="8"/>
  <c r="Q981" i="8"/>
  <c r="Q980" i="8"/>
  <c r="Q979" i="8"/>
  <c r="Q978" i="8"/>
  <c r="Q977" i="8"/>
  <c r="Q976" i="8"/>
  <c r="Q975" i="8"/>
  <c r="Q974" i="8"/>
  <c r="Q973" i="8"/>
  <c r="Q972" i="8"/>
  <c r="Q971" i="8"/>
  <c r="Q970" i="8"/>
  <c r="Q969" i="8"/>
  <c r="Q968" i="8"/>
  <c r="Q967" i="8"/>
  <c r="Q966" i="8"/>
  <c r="Q965" i="8"/>
  <c r="Q964" i="8"/>
  <c r="Q963" i="8"/>
  <c r="Q962" i="8"/>
  <c r="Q961" i="8"/>
  <c r="Q960" i="8"/>
  <c r="Q959" i="8"/>
  <c r="Q958" i="8"/>
  <c r="Q957" i="8"/>
  <c r="Q956" i="8"/>
  <c r="Q955" i="8"/>
  <c r="Q954" i="8"/>
  <c r="Q953" i="8"/>
  <c r="Q952" i="8"/>
  <c r="Q951" i="8"/>
  <c r="Q950" i="8"/>
  <c r="Q949" i="8"/>
  <c r="Q948" i="8"/>
  <c r="Q947" i="8"/>
  <c r="Q946" i="8"/>
  <c r="Q945" i="8"/>
  <c r="Q944" i="8"/>
  <c r="Q943" i="8"/>
  <c r="Q942" i="8"/>
  <c r="Q941" i="8"/>
  <c r="Q940" i="8"/>
  <c r="Q939" i="8"/>
  <c r="Q938" i="8"/>
  <c r="Q937" i="8"/>
  <c r="Q936" i="8"/>
  <c r="Q935" i="8"/>
  <c r="Q934" i="8"/>
  <c r="Q933" i="8"/>
  <c r="Q932" i="8"/>
  <c r="Q931" i="8"/>
  <c r="Q930" i="8"/>
  <c r="Q929" i="8"/>
  <c r="Q928" i="8"/>
  <c r="Q927" i="8"/>
  <c r="Q926" i="8"/>
  <c r="Q925" i="8"/>
  <c r="Q924" i="8"/>
  <c r="Q923" i="8"/>
  <c r="Q922" i="8"/>
  <c r="Q921" i="8"/>
  <c r="Q920" i="8"/>
  <c r="Q919" i="8"/>
  <c r="Q918" i="8"/>
  <c r="Q917" i="8"/>
  <c r="Q916" i="8"/>
  <c r="Q915" i="8"/>
  <c r="Q914" i="8"/>
  <c r="Q913" i="8"/>
  <c r="Q912" i="8"/>
  <c r="Q911" i="8"/>
  <c r="Q910" i="8"/>
  <c r="Q909" i="8"/>
  <c r="Q908" i="8"/>
  <c r="Q907" i="8"/>
  <c r="Q906" i="8"/>
  <c r="Q905" i="8"/>
  <c r="Q904" i="8"/>
  <c r="Q903" i="8"/>
  <c r="Q902" i="8"/>
  <c r="Q901" i="8"/>
  <c r="Q900" i="8"/>
  <c r="Q899" i="8"/>
  <c r="Q898" i="8"/>
  <c r="Q897" i="8"/>
  <c r="Q896" i="8"/>
  <c r="Q895" i="8"/>
  <c r="Q894" i="8"/>
  <c r="Q893" i="8"/>
  <c r="Q892" i="8"/>
  <c r="Q891" i="8"/>
  <c r="Q890" i="8"/>
  <c r="Q889" i="8"/>
  <c r="Q888" i="8"/>
  <c r="Q887" i="8"/>
  <c r="Q886" i="8"/>
  <c r="Q885" i="8"/>
  <c r="Q884" i="8"/>
  <c r="Q883" i="8"/>
  <c r="Q882" i="8"/>
  <c r="Q881" i="8"/>
  <c r="Q880" i="8"/>
  <c r="Q879" i="8"/>
  <c r="Q878" i="8"/>
  <c r="Q877" i="8"/>
  <c r="Q876" i="8"/>
  <c r="Q875" i="8"/>
  <c r="Q874" i="8"/>
  <c r="Q873" i="8"/>
  <c r="Q872" i="8"/>
  <c r="Q871" i="8"/>
  <c r="Q870" i="8"/>
  <c r="Q869" i="8"/>
  <c r="Q868" i="8"/>
  <c r="Q867" i="8"/>
  <c r="Q866" i="8"/>
  <c r="Q865" i="8"/>
  <c r="Q864" i="8"/>
  <c r="Q863" i="8"/>
  <c r="Q862" i="8"/>
  <c r="Q861" i="8"/>
  <c r="Q860" i="8"/>
  <c r="Q859" i="8"/>
  <c r="Q858" i="8"/>
  <c r="Q857" i="8"/>
  <c r="Q856" i="8"/>
  <c r="Q855" i="8"/>
  <c r="Q854" i="8"/>
  <c r="Q853" i="8"/>
  <c r="Q852" i="8"/>
  <c r="Q851" i="8"/>
  <c r="Q850" i="8"/>
  <c r="Q849" i="8"/>
  <c r="Q848" i="8"/>
  <c r="Q847" i="8"/>
  <c r="Q846" i="8"/>
  <c r="Q845" i="8"/>
  <c r="Q844" i="8"/>
  <c r="Q843" i="8"/>
  <c r="Q842" i="8"/>
  <c r="Q841" i="8"/>
  <c r="Q840" i="8"/>
  <c r="Q839" i="8"/>
  <c r="Q838" i="8"/>
  <c r="Q837" i="8"/>
  <c r="Q836" i="8"/>
  <c r="Q835" i="8"/>
  <c r="Q834" i="8"/>
  <c r="Q833" i="8"/>
  <c r="Q832" i="8"/>
  <c r="Q831" i="8"/>
  <c r="Q830" i="8"/>
  <c r="Q829" i="8"/>
  <c r="Q828" i="8"/>
  <c r="Q827" i="8"/>
  <c r="Q826" i="8"/>
  <c r="Q825" i="8"/>
  <c r="Q824" i="8"/>
  <c r="Q823" i="8"/>
  <c r="Q822" i="8"/>
  <c r="Q821" i="8"/>
  <c r="Q820" i="8"/>
  <c r="Q819" i="8"/>
  <c r="Q818" i="8"/>
  <c r="Q817" i="8"/>
  <c r="Q816" i="8"/>
  <c r="Q815" i="8"/>
  <c r="Q814" i="8"/>
  <c r="Q813" i="8"/>
  <c r="Q812" i="8"/>
  <c r="Q811" i="8"/>
  <c r="Q810" i="8"/>
  <c r="Q809" i="8"/>
  <c r="Q808" i="8"/>
  <c r="Q807" i="8"/>
  <c r="Q806" i="8"/>
  <c r="Q805" i="8"/>
  <c r="Q804" i="8"/>
  <c r="Q803" i="8"/>
  <c r="Q802" i="8"/>
  <c r="Q801" i="8"/>
  <c r="Q800" i="8"/>
  <c r="Q799" i="8"/>
  <c r="Q798" i="8"/>
  <c r="Q797" i="8"/>
  <c r="Q796" i="8"/>
  <c r="Q795" i="8"/>
  <c r="Q794" i="8"/>
  <c r="Q793" i="8"/>
  <c r="Q792" i="8"/>
  <c r="Q791" i="8"/>
  <c r="Q790" i="8"/>
  <c r="Q789" i="8"/>
  <c r="Q788" i="8"/>
  <c r="Q787" i="8"/>
  <c r="Q786" i="8"/>
  <c r="Q785" i="8"/>
  <c r="Q784" i="8"/>
  <c r="Q783" i="8"/>
  <c r="Q782" i="8"/>
  <c r="Q781" i="8"/>
  <c r="Q780" i="8"/>
  <c r="Q779" i="8"/>
  <c r="Q778" i="8"/>
  <c r="Q777" i="8"/>
  <c r="Q776" i="8"/>
  <c r="Q775" i="8"/>
  <c r="Q774" i="8"/>
  <c r="Q773" i="8"/>
  <c r="Q772" i="8"/>
  <c r="Q771" i="8"/>
  <c r="Q770" i="8"/>
  <c r="Q769" i="8"/>
  <c r="Q768" i="8"/>
  <c r="Q767" i="8"/>
  <c r="Q766" i="8"/>
  <c r="Q765" i="8"/>
  <c r="Q764" i="8"/>
  <c r="Q763" i="8"/>
  <c r="Q762" i="8"/>
  <c r="Q761" i="8"/>
  <c r="Q760" i="8"/>
  <c r="Q759" i="8"/>
  <c r="Q758" i="8"/>
  <c r="Q757" i="8"/>
  <c r="Q756" i="8"/>
  <c r="Q755" i="8"/>
  <c r="Q754" i="8"/>
  <c r="Q753" i="8"/>
  <c r="Q752" i="8"/>
  <c r="Q751" i="8"/>
  <c r="Q750" i="8"/>
  <c r="Q749" i="8"/>
  <c r="Q748" i="8"/>
  <c r="Q747" i="8"/>
  <c r="Q746" i="8"/>
  <c r="Q745" i="8"/>
  <c r="Q744" i="8"/>
  <c r="Q743" i="8"/>
  <c r="Q742" i="8"/>
  <c r="Q741" i="8"/>
  <c r="Q740" i="8"/>
  <c r="Q739" i="8"/>
  <c r="Q738" i="8"/>
  <c r="Q737" i="8"/>
  <c r="Q736" i="8"/>
  <c r="Q735" i="8"/>
  <c r="Q734" i="8"/>
  <c r="Q733" i="8"/>
  <c r="Q732" i="8"/>
  <c r="Q731" i="8"/>
  <c r="Q730" i="8"/>
  <c r="Q729" i="8"/>
  <c r="Q728" i="8"/>
  <c r="Q727" i="8"/>
  <c r="Q726" i="8"/>
  <c r="Q725" i="8"/>
  <c r="Q724" i="8"/>
  <c r="Q723" i="8"/>
  <c r="Q722" i="8"/>
  <c r="Q721" i="8"/>
  <c r="Q720" i="8"/>
  <c r="Q719" i="8"/>
  <c r="Q718" i="8"/>
  <c r="Q717" i="8"/>
  <c r="Q716" i="8"/>
  <c r="Q715" i="8"/>
  <c r="Q714" i="8"/>
  <c r="Q713" i="8"/>
  <c r="Q712" i="8"/>
  <c r="Q711" i="8"/>
  <c r="Q710" i="8"/>
  <c r="Q709" i="8"/>
  <c r="Q708" i="8"/>
  <c r="Q707" i="8"/>
  <c r="Q706" i="8"/>
  <c r="Q705" i="8"/>
  <c r="Q704" i="8"/>
  <c r="Q703" i="8"/>
  <c r="Q702" i="8"/>
  <c r="Q701" i="8"/>
  <c r="Q700" i="8"/>
  <c r="Q699" i="8"/>
  <c r="Q698" i="8"/>
  <c r="Q697" i="8"/>
  <c r="Q696" i="8"/>
  <c r="Q695" i="8"/>
  <c r="Q694" i="8"/>
  <c r="Q693" i="8"/>
  <c r="Q692" i="8"/>
  <c r="Q691" i="8"/>
  <c r="Q690" i="8"/>
  <c r="Q689" i="8"/>
  <c r="Q688" i="8"/>
  <c r="Q687" i="8"/>
  <c r="Q686" i="8"/>
  <c r="Q685" i="8"/>
  <c r="Q684" i="8"/>
  <c r="Q683" i="8"/>
  <c r="Q682" i="8"/>
  <c r="Q681" i="8"/>
  <c r="Q680" i="8"/>
  <c r="Q679" i="8"/>
  <c r="Q678" i="8"/>
  <c r="Q677" i="8"/>
  <c r="Q676" i="8"/>
  <c r="Q675" i="8"/>
  <c r="Q674" i="8"/>
  <c r="Q673" i="8"/>
  <c r="Q672" i="8"/>
  <c r="Q671" i="8"/>
  <c r="Q670" i="8"/>
  <c r="Q669" i="8"/>
  <c r="Q668" i="8"/>
  <c r="Q667" i="8"/>
  <c r="Q666" i="8"/>
  <c r="Q665" i="8"/>
  <c r="Q664" i="8"/>
  <c r="Q663" i="8"/>
  <c r="Q662" i="8"/>
  <c r="Q661" i="8"/>
  <c r="Q660" i="8"/>
  <c r="Q659" i="8"/>
  <c r="Q658" i="8"/>
  <c r="Q657" i="8"/>
  <c r="Q656" i="8"/>
  <c r="Q655" i="8"/>
  <c r="Q654" i="8"/>
  <c r="Q653" i="8"/>
  <c r="Q652" i="8"/>
  <c r="Q651" i="8"/>
  <c r="Q650" i="8"/>
  <c r="Q649" i="8"/>
  <c r="Q648" i="8"/>
  <c r="Q647" i="8"/>
  <c r="Q646" i="8"/>
  <c r="Q645" i="8"/>
  <c r="Q644" i="8"/>
  <c r="Q643" i="8"/>
  <c r="Q642" i="8"/>
  <c r="Q641" i="8"/>
  <c r="Q640" i="8"/>
  <c r="Q639" i="8"/>
  <c r="Q638" i="8"/>
  <c r="Q637" i="8"/>
  <c r="Q636" i="8"/>
  <c r="Q635" i="8"/>
  <c r="Q634" i="8"/>
  <c r="Q633" i="8"/>
  <c r="Q632" i="8"/>
  <c r="Q631" i="8"/>
  <c r="Q630" i="8"/>
  <c r="Q629" i="8"/>
  <c r="Q628" i="8"/>
  <c r="Q627" i="8"/>
  <c r="Q626" i="8"/>
  <c r="Q625" i="8"/>
  <c r="Q624" i="8"/>
  <c r="Q623" i="8"/>
  <c r="Q622" i="8"/>
  <c r="Q621" i="8"/>
  <c r="Q620" i="8"/>
  <c r="Q619" i="8"/>
  <c r="Q618" i="8"/>
  <c r="Q617" i="8"/>
  <c r="Q616" i="8"/>
  <c r="Q615" i="8"/>
  <c r="Q614" i="8"/>
  <c r="Q613" i="8"/>
  <c r="Q612" i="8"/>
  <c r="Q611" i="8"/>
  <c r="Q610" i="8"/>
  <c r="Q609" i="8"/>
  <c r="Q608" i="8"/>
  <c r="Q607" i="8"/>
  <c r="Q606" i="8"/>
  <c r="Q605" i="8"/>
  <c r="Q604" i="8"/>
  <c r="Q603" i="8"/>
  <c r="Q602" i="8"/>
  <c r="Q601" i="8"/>
  <c r="Q600" i="8"/>
  <c r="Q599" i="8"/>
  <c r="Q598" i="8"/>
  <c r="Q597" i="8"/>
  <c r="Q596" i="8"/>
  <c r="Q595" i="8"/>
  <c r="Q594" i="8"/>
  <c r="Q593" i="8"/>
  <c r="Q592" i="8"/>
  <c r="Q591" i="8"/>
  <c r="Q590" i="8"/>
  <c r="Q589" i="8"/>
  <c r="Q588" i="8"/>
  <c r="Q587" i="8"/>
  <c r="Q586" i="8"/>
  <c r="Q585" i="8"/>
  <c r="Q584" i="8"/>
  <c r="Q583" i="8"/>
  <c r="Q582" i="8"/>
  <c r="Q581" i="8"/>
  <c r="Q580" i="8"/>
  <c r="Q579" i="8"/>
  <c r="Q578" i="8"/>
  <c r="Q577" i="8"/>
  <c r="Q576" i="8"/>
  <c r="Q575" i="8"/>
  <c r="Q574" i="8"/>
  <c r="Q573" i="8"/>
  <c r="Q572" i="8"/>
  <c r="Q571" i="8"/>
  <c r="Q570" i="8"/>
  <c r="Q569" i="8"/>
  <c r="Q568" i="8"/>
  <c r="Q567" i="8"/>
  <c r="Q566" i="8"/>
  <c r="Q565" i="8"/>
  <c r="Q564" i="8"/>
  <c r="Q563" i="8"/>
  <c r="Q562" i="8"/>
  <c r="Q561" i="8"/>
  <c r="Q560" i="8"/>
  <c r="Q559" i="8"/>
  <c r="Q558" i="8"/>
  <c r="Q557" i="8"/>
  <c r="Q556" i="8"/>
  <c r="Q555" i="8"/>
  <c r="Q554" i="8"/>
  <c r="Q553" i="8"/>
  <c r="Q552" i="8"/>
  <c r="Q551" i="8"/>
  <c r="Q550" i="8"/>
  <c r="Q549" i="8"/>
  <c r="Q548" i="8"/>
  <c r="Q547" i="8"/>
  <c r="Q546" i="8"/>
  <c r="Q545" i="8"/>
  <c r="Q544" i="8"/>
  <c r="Q543" i="8"/>
  <c r="Q542" i="8"/>
  <c r="Q541" i="8"/>
  <c r="Q540" i="8"/>
  <c r="Q539" i="8"/>
  <c r="Q538" i="8"/>
  <c r="Q537" i="8"/>
  <c r="Q536" i="8"/>
  <c r="Q535" i="8"/>
  <c r="Q534" i="8"/>
  <c r="Q533" i="8"/>
  <c r="Q532" i="8"/>
  <c r="Q531" i="8"/>
  <c r="Q530" i="8"/>
  <c r="Q529" i="8"/>
  <c r="Q528" i="8"/>
  <c r="Q527" i="8"/>
  <c r="Q526" i="8"/>
  <c r="Q525" i="8"/>
  <c r="Q524" i="8"/>
  <c r="Q523" i="8"/>
  <c r="Q522" i="8"/>
  <c r="Q521" i="8"/>
  <c r="Q520" i="8"/>
  <c r="Q519" i="8"/>
  <c r="Q518" i="8"/>
  <c r="Q517" i="8"/>
  <c r="Q516" i="8"/>
  <c r="Q515" i="8"/>
  <c r="Q514" i="8"/>
  <c r="Q513" i="8"/>
  <c r="Q512" i="8"/>
  <c r="Q511" i="8"/>
  <c r="Q510" i="8"/>
  <c r="Q509" i="8"/>
  <c r="Q508" i="8"/>
  <c r="Q507" i="8"/>
  <c r="Q506" i="8"/>
  <c r="Q505" i="8"/>
  <c r="Q504" i="8"/>
  <c r="Q503" i="8"/>
  <c r="Q502" i="8"/>
  <c r="Q501" i="8"/>
  <c r="Q500" i="8"/>
  <c r="Q499" i="8"/>
  <c r="Q498" i="8"/>
  <c r="Q497" i="8"/>
  <c r="Q496" i="8"/>
  <c r="Q495" i="8"/>
  <c r="Q494" i="8"/>
  <c r="Q493" i="8"/>
  <c r="Q492" i="8"/>
  <c r="Q491" i="8"/>
  <c r="Q490" i="8"/>
  <c r="Q489" i="8"/>
  <c r="Q488" i="8"/>
  <c r="Q487" i="8"/>
  <c r="Q486" i="8"/>
  <c r="Q485" i="8"/>
  <c r="Q484" i="8"/>
  <c r="Q483" i="8"/>
  <c r="Q482" i="8"/>
  <c r="Q481" i="8"/>
  <c r="Q480" i="8"/>
  <c r="Q479" i="8"/>
  <c r="Q478" i="8"/>
  <c r="Q477" i="8"/>
  <c r="Q476" i="8"/>
  <c r="Q475" i="8"/>
  <c r="Q474" i="8"/>
  <c r="Q473" i="8"/>
  <c r="Q472" i="8"/>
  <c r="Q471" i="8"/>
  <c r="Q470" i="8"/>
  <c r="Q469" i="8"/>
  <c r="Q468" i="8"/>
  <c r="Q467" i="8"/>
  <c r="Q466" i="8"/>
  <c r="Q465" i="8"/>
  <c r="Q464" i="8"/>
  <c r="Q463" i="8"/>
  <c r="Q462" i="8"/>
  <c r="Q461" i="8"/>
  <c r="Q460" i="8"/>
  <c r="Q459" i="8"/>
  <c r="Q458" i="8"/>
  <c r="Q457" i="8"/>
  <c r="Q456" i="8"/>
  <c r="Q455" i="8"/>
  <c r="Q454" i="8"/>
  <c r="Q453" i="8"/>
  <c r="Q452" i="8"/>
  <c r="Q451" i="8"/>
  <c r="Q450" i="8"/>
  <c r="Q449" i="8"/>
  <c r="Q448" i="8"/>
  <c r="Q447" i="8"/>
  <c r="Q446" i="8"/>
  <c r="Q445" i="8"/>
  <c r="Q444" i="8"/>
  <c r="Q443" i="8"/>
  <c r="Q442" i="8"/>
  <c r="Q441" i="8"/>
  <c r="Q440" i="8"/>
  <c r="Q439" i="8"/>
  <c r="Q438" i="8"/>
  <c r="Q437" i="8"/>
  <c r="Q436" i="8"/>
  <c r="Q435" i="8"/>
  <c r="Q434" i="8"/>
  <c r="Q433" i="8"/>
  <c r="Q432" i="8"/>
  <c r="Q431" i="8"/>
  <c r="Q430" i="8"/>
  <c r="Q429" i="8"/>
  <c r="Q428" i="8"/>
  <c r="Q427" i="8"/>
  <c r="Q426" i="8"/>
  <c r="Q425" i="8"/>
  <c r="Q424" i="8"/>
  <c r="Q423" i="8"/>
  <c r="Q422" i="8"/>
  <c r="Q421" i="8"/>
  <c r="Q420" i="8"/>
  <c r="Q419" i="8"/>
  <c r="Q418" i="8"/>
  <c r="Q417" i="8"/>
  <c r="Q416" i="8"/>
  <c r="Q415" i="8"/>
  <c r="Q414" i="8"/>
  <c r="Q413" i="8"/>
  <c r="Q412" i="8"/>
  <c r="Q411" i="8"/>
  <c r="Q410" i="8"/>
  <c r="Q409" i="8"/>
  <c r="Q408" i="8"/>
  <c r="Q407" i="8"/>
  <c r="Q406" i="8"/>
  <c r="Q405" i="8"/>
  <c r="Q404" i="8"/>
  <c r="Q403" i="8"/>
  <c r="Q402" i="8"/>
  <c r="Q401" i="8"/>
  <c r="Q400" i="8"/>
  <c r="Q399" i="8"/>
  <c r="Q398" i="8"/>
  <c r="Q397" i="8"/>
  <c r="Q396" i="8"/>
  <c r="Q395" i="8"/>
  <c r="Q394" i="8"/>
  <c r="Q393" i="8"/>
  <c r="Q392" i="8"/>
  <c r="Q391" i="8"/>
  <c r="Q390" i="8"/>
  <c r="Q389" i="8"/>
  <c r="Q388" i="8"/>
  <c r="Q387" i="8"/>
  <c r="Q386" i="8"/>
  <c r="Q385" i="8"/>
  <c r="Q384" i="8"/>
  <c r="Q383" i="8"/>
  <c r="Q382" i="8"/>
  <c r="Q381" i="8"/>
  <c r="Q380" i="8"/>
  <c r="Q379" i="8"/>
  <c r="Q378" i="8"/>
  <c r="Q377" i="8"/>
  <c r="Q376" i="8"/>
  <c r="Q375" i="8"/>
  <c r="Q374" i="8"/>
  <c r="Q373" i="8"/>
  <c r="Q372" i="8"/>
  <c r="Q371" i="8"/>
  <c r="Q370" i="8"/>
  <c r="Q369" i="8"/>
  <c r="Q368" i="8"/>
  <c r="Q367" i="8"/>
  <c r="Q366" i="8"/>
  <c r="Q365" i="8"/>
  <c r="Q364" i="8"/>
  <c r="Q363" i="8"/>
  <c r="Q362" i="8"/>
  <c r="Q361" i="8"/>
  <c r="Q360" i="8"/>
  <c r="Q359" i="8"/>
  <c r="Q358" i="8"/>
  <c r="Q357" i="8"/>
  <c r="Q356" i="8"/>
  <c r="Q355" i="8"/>
  <c r="Q354" i="8"/>
  <c r="Q353" i="8"/>
  <c r="Q352" i="8"/>
  <c r="Q351" i="8"/>
  <c r="Q350" i="8"/>
  <c r="Q349" i="8"/>
  <c r="Q348" i="8"/>
  <c r="Q347" i="8"/>
  <c r="Q346" i="8"/>
  <c r="Q345" i="8"/>
  <c r="Q344" i="8"/>
  <c r="Q343" i="8"/>
  <c r="Q342" i="8"/>
  <c r="Q341" i="8"/>
  <c r="Q340" i="8"/>
  <c r="Q339" i="8"/>
  <c r="Q338" i="8"/>
  <c r="Q337" i="8"/>
  <c r="Q336" i="8"/>
  <c r="Q335" i="8"/>
  <c r="Q334" i="8"/>
  <c r="Q333" i="8"/>
  <c r="Q332" i="8"/>
  <c r="Q331" i="8"/>
  <c r="Q330" i="8"/>
  <c r="Q329" i="8"/>
  <c r="Q328" i="8"/>
  <c r="Q327" i="8"/>
  <c r="Q326" i="8"/>
  <c r="Q325" i="8"/>
  <c r="Q324" i="8"/>
  <c r="Q323" i="8"/>
  <c r="Q322" i="8"/>
  <c r="Q321" i="8"/>
  <c r="Q320" i="8"/>
  <c r="Q319" i="8"/>
  <c r="Q318" i="8"/>
  <c r="Q317" i="8"/>
  <c r="Q316" i="8"/>
  <c r="Q315" i="8"/>
  <c r="Q314" i="8"/>
  <c r="Q313" i="8"/>
  <c r="Q312" i="8"/>
  <c r="Q311" i="8"/>
  <c r="Q310" i="8"/>
  <c r="Q309" i="8"/>
  <c r="Q308" i="8"/>
  <c r="Q307" i="8"/>
  <c r="Q306" i="8"/>
  <c r="Q305" i="8"/>
  <c r="Q304" i="8"/>
  <c r="Q303" i="8"/>
  <c r="Q302" i="8"/>
  <c r="Q301" i="8"/>
  <c r="Q300" i="8"/>
  <c r="Q299" i="8"/>
  <c r="Q298" i="8"/>
  <c r="Q297" i="8"/>
  <c r="Q296" i="8"/>
  <c r="Q295" i="8"/>
  <c r="Q294" i="8"/>
  <c r="Q293" i="8"/>
  <c r="Q292" i="8"/>
  <c r="Q291" i="8"/>
  <c r="Q290" i="8"/>
  <c r="Q289" i="8"/>
  <c r="Q288" i="8"/>
  <c r="Q287" i="8"/>
  <c r="Q286" i="8"/>
  <c r="Q285" i="8"/>
  <c r="Q284" i="8"/>
  <c r="Q283" i="8"/>
  <c r="Q282" i="8"/>
  <c r="Q281" i="8"/>
  <c r="Q280" i="8"/>
  <c r="Q279" i="8"/>
  <c r="Q278" i="8"/>
  <c r="Q277" i="8"/>
  <c r="Q276" i="8"/>
  <c r="Q275" i="8"/>
  <c r="Q274" i="8"/>
  <c r="Q273" i="8"/>
  <c r="Q272" i="8"/>
  <c r="Q271" i="8"/>
  <c r="Q270" i="8"/>
  <c r="Q269" i="8"/>
  <c r="Q268" i="8"/>
  <c r="Q267" i="8"/>
  <c r="Q266" i="8"/>
  <c r="Q265" i="8"/>
  <c r="Q264" i="8"/>
  <c r="Q263" i="8"/>
  <c r="Q262" i="8"/>
  <c r="Q261" i="8"/>
  <c r="Q260" i="8"/>
  <c r="Q259" i="8"/>
  <c r="Q258" i="8"/>
  <c r="Q257" i="8"/>
  <c r="Q256" i="8"/>
  <c r="Q255" i="8"/>
  <c r="Q254" i="8"/>
  <c r="Q253" i="8"/>
  <c r="Q252" i="8"/>
  <c r="Q251" i="8"/>
  <c r="Q250" i="8"/>
  <c r="Q249" i="8"/>
  <c r="Q248" i="8"/>
  <c r="Q247" i="8"/>
  <c r="Q246" i="8"/>
  <c r="Q245" i="8"/>
  <c r="Q244" i="8"/>
  <c r="Q243" i="8"/>
  <c r="Q242" i="8"/>
  <c r="Q241" i="8"/>
  <c r="Q240" i="8"/>
  <c r="Q239" i="8"/>
  <c r="Q238" i="8"/>
  <c r="Q237" i="8"/>
  <c r="Q236" i="8"/>
  <c r="Q235" i="8"/>
  <c r="Q234" i="8"/>
  <c r="Q233" i="8"/>
  <c r="Q232" i="8"/>
  <c r="Q231" i="8"/>
  <c r="Q230" i="8"/>
  <c r="Q229" i="8"/>
  <c r="Q228" i="8"/>
  <c r="Q227" i="8"/>
  <c r="Q226" i="8"/>
  <c r="Q225" i="8"/>
  <c r="Q224" i="8"/>
  <c r="Q223" i="8"/>
  <c r="Q222" i="8"/>
  <c r="Q221" i="8"/>
  <c r="Q220" i="8"/>
  <c r="Q219" i="8"/>
  <c r="Q218" i="8"/>
  <c r="Q217" i="8"/>
  <c r="Q216" i="8"/>
  <c r="Q215" i="8"/>
  <c r="Q214" i="8"/>
  <c r="Q213" i="8"/>
  <c r="Q212" i="8"/>
  <c r="Q211" i="8"/>
  <c r="Q210" i="8"/>
  <c r="Q209" i="8"/>
  <c r="Q208" i="8"/>
  <c r="Q207" i="8"/>
  <c r="Q206" i="8"/>
  <c r="Q205" i="8"/>
  <c r="Q204" i="8"/>
  <c r="Q203" i="8"/>
  <c r="Q202" i="8"/>
  <c r="Q201" i="8"/>
  <c r="Q200" i="8"/>
  <c r="Q199" i="8"/>
  <c r="Q198" i="8"/>
  <c r="Q197" i="8"/>
  <c r="Q196" i="8"/>
  <c r="Q195" i="8"/>
  <c r="Q194" i="8"/>
  <c r="Q193" i="8"/>
  <c r="Q192" i="8"/>
  <c r="Q191" i="8"/>
  <c r="Q190" i="8"/>
  <c r="Q189" i="8"/>
  <c r="Q188" i="8"/>
  <c r="Q187" i="8"/>
  <c r="Q186" i="8"/>
  <c r="Q185" i="8"/>
  <c r="Q184" i="8"/>
  <c r="Q183" i="8"/>
  <c r="Q182" i="8"/>
  <c r="Q181" i="8"/>
  <c r="Q180" i="8"/>
  <c r="Q179" i="8"/>
  <c r="Q178" i="8"/>
  <c r="Q177" i="8"/>
  <c r="Q176" i="8"/>
  <c r="Q175" i="8"/>
  <c r="Q174" i="8"/>
  <c r="Q173" i="8"/>
  <c r="Q172" i="8"/>
  <c r="Q171" i="8"/>
  <c r="Q170" i="8"/>
  <c r="Q169" i="8"/>
  <c r="Q168" i="8"/>
  <c r="Q167" i="8"/>
  <c r="Q166" i="8"/>
  <c r="Q165" i="8"/>
  <c r="Q164" i="8"/>
  <c r="Q163" i="8"/>
  <c r="Q162" i="8"/>
  <c r="Q161" i="8"/>
  <c r="Q160" i="8"/>
  <c r="Q159" i="8"/>
  <c r="Q158" i="8"/>
  <c r="Q157" i="8"/>
  <c r="Q156" i="8"/>
  <c r="Q155" i="8"/>
  <c r="Q154" i="8"/>
  <c r="Q153" i="8"/>
  <c r="Q152" i="8"/>
  <c r="Q151" i="8"/>
  <c r="Q150" i="8"/>
  <c r="Q149" i="8"/>
  <c r="Q148" i="8"/>
  <c r="Q147" i="8"/>
  <c r="Q146" i="8"/>
  <c r="Q145" i="8"/>
  <c r="Q144" i="8"/>
  <c r="Q143" i="8"/>
  <c r="Q142" i="8"/>
  <c r="Q141" i="8"/>
  <c r="Q140" i="8"/>
  <c r="Q139" i="8"/>
  <c r="Q138" i="8"/>
  <c r="Q137" i="8"/>
  <c r="Q136" i="8"/>
  <c r="Q135" i="8"/>
  <c r="Q134" i="8"/>
  <c r="Q133" i="8"/>
  <c r="Q132" i="8"/>
  <c r="Q131" i="8"/>
  <c r="Q130" i="8"/>
  <c r="Q129" i="8"/>
  <c r="Q128" i="8"/>
  <c r="Q127" i="8"/>
  <c r="Q126" i="8"/>
  <c r="Q125" i="8"/>
  <c r="Q124" i="8"/>
  <c r="Q123" i="8"/>
  <c r="Q122" i="8"/>
  <c r="Q121" i="8"/>
  <c r="Q120" i="8"/>
  <c r="Q119" i="8"/>
  <c r="Q118" i="8"/>
  <c r="Q117" i="8"/>
  <c r="Q116" i="8"/>
  <c r="Q115" i="8"/>
  <c r="Q114" i="8"/>
  <c r="Q113" i="8"/>
  <c r="Q112" i="8"/>
  <c r="Q111" i="8"/>
  <c r="Q110" i="8"/>
  <c r="Q109" i="8"/>
  <c r="Q108" i="8"/>
  <c r="Q107" i="8"/>
  <c r="Q106" i="8"/>
  <c r="Q105" i="8"/>
  <c r="Q104" i="8"/>
  <c r="Q103" i="8"/>
  <c r="Q102" i="8"/>
  <c r="Q101" i="8"/>
  <c r="Q100" i="8"/>
  <c r="Q99" i="8"/>
  <c r="Q98" i="8"/>
  <c r="Q97" i="8"/>
  <c r="Q96" i="8"/>
  <c r="Q95" i="8"/>
  <c r="Q94" i="8"/>
  <c r="Q93" i="8"/>
  <c r="Q92" i="8"/>
  <c r="Q91" i="8"/>
  <c r="Q90" i="8"/>
  <c r="Q89" i="8"/>
  <c r="Q88" i="8"/>
  <c r="Q87" i="8"/>
  <c r="Q86" i="8"/>
  <c r="Q85" i="8"/>
  <c r="Q84" i="8"/>
  <c r="Q83" i="8"/>
  <c r="Q82" i="8"/>
  <c r="Q81" i="8"/>
  <c r="Q80" i="8"/>
  <c r="Q79" i="8"/>
  <c r="Q78" i="8"/>
  <c r="Q77" i="8"/>
  <c r="Q76" i="8"/>
  <c r="Q75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6" i="8"/>
  <c r="Q55" i="8"/>
  <c r="Q54" i="8"/>
  <c r="Q53" i="8"/>
  <c r="Q52" i="8"/>
  <c r="Q51" i="8"/>
  <c r="Q50" i="8"/>
  <c r="Q49" i="8"/>
  <c r="Q48" i="8"/>
  <c r="Q47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Q3" i="8"/>
  <c r="Q2" i="8"/>
  <c r="D36" i="7"/>
  <c r="C36" i="7"/>
  <c r="D35" i="7"/>
  <c r="C35" i="7"/>
  <c r="D34" i="7"/>
  <c r="C34" i="7"/>
  <c r="D33" i="7"/>
  <c r="C33" i="7"/>
  <c r="D32" i="7"/>
  <c r="C32" i="7"/>
  <c r="D31" i="7"/>
  <c r="C31" i="7"/>
  <c r="T237" i="12" l="1"/>
  <c r="T813" i="12"/>
  <c r="T661" i="12"/>
  <c r="T613" i="12"/>
  <c r="T133" i="12"/>
  <c r="T253" i="12"/>
  <c r="T893" i="12"/>
  <c r="T13" i="12"/>
  <c r="T85" i="12"/>
  <c r="T269" i="12"/>
  <c r="T205" i="12"/>
  <c r="T669" i="12"/>
  <c r="T869" i="12"/>
  <c r="T853" i="12"/>
  <c r="T829" i="12"/>
  <c r="T741" i="12"/>
  <c r="T685" i="12"/>
  <c r="T389" i="12"/>
  <c r="T341" i="12"/>
  <c r="T293" i="12"/>
  <c r="T213" i="12"/>
  <c r="T173" i="12"/>
  <c r="T157" i="12"/>
  <c r="T429" i="12"/>
  <c r="T1612" i="12"/>
  <c r="T1556" i="12"/>
  <c r="T181" i="12"/>
  <c r="T1532" i="12"/>
  <c r="T589" i="12"/>
  <c r="T29" i="12"/>
  <c r="T357" i="12"/>
  <c r="T877" i="12"/>
  <c r="T1652" i="12"/>
  <c r="T1157" i="12"/>
  <c r="T717" i="12"/>
  <c r="T573" i="12"/>
  <c r="T77" i="12"/>
  <c r="T1628" i="12"/>
  <c r="T1516" i="12"/>
  <c r="T1492" i="12"/>
  <c r="T909" i="12"/>
  <c r="T149" i="12"/>
  <c r="T309" i="12"/>
  <c r="T365" i="12"/>
  <c r="T53" i="12"/>
  <c r="T773" i="12"/>
  <c r="T1629" i="12"/>
  <c r="T421" i="12"/>
  <c r="T61" i="12"/>
  <c r="T749" i="12"/>
  <c r="T901" i="12"/>
  <c r="T229" i="12"/>
  <c r="T677" i="12"/>
  <c r="T5" i="12"/>
  <c r="T605" i="12"/>
  <c r="T1549" i="12"/>
  <c r="T997" i="12"/>
  <c r="T861" i="12"/>
  <c r="T693" i="12"/>
  <c r="T245" i="12"/>
  <c r="T221" i="12"/>
  <c r="T109" i="12"/>
  <c r="T789" i="12"/>
  <c r="T93" i="12"/>
  <c r="T1524" i="12"/>
  <c r="T1580" i="12"/>
  <c r="T765" i="12"/>
  <c r="T984" i="12"/>
  <c r="T1619" i="12"/>
  <c r="T1515" i="12"/>
  <c r="T1331" i="12"/>
  <c r="T867" i="12"/>
  <c r="T763" i="12"/>
  <c r="T908" i="12"/>
  <c r="T1228" i="12"/>
  <c r="T122" i="12"/>
  <c r="T114" i="12"/>
  <c r="T106" i="12"/>
  <c r="T98" i="12"/>
  <c r="T90" i="12"/>
  <c r="T82" i="12"/>
  <c r="T74" i="12"/>
  <c r="T66" i="12"/>
  <c r="T58" i="12"/>
  <c r="T50" i="12"/>
  <c r="T42" i="12"/>
  <c r="T34" i="12"/>
  <c r="T26" i="12"/>
  <c r="T18" i="12"/>
  <c r="T10" i="12"/>
  <c r="T367" i="12"/>
  <c r="T95" i="12"/>
  <c r="T671" i="12"/>
  <c r="T279" i="12"/>
  <c r="T647" i="12"/>
  <c r="T879" i="12"/>
  <c r="T311" i="12"/>
  <c r="T931" i="12"/>
  <c r="T823" i="12"/>
  <c r="T319" i="12"/>
  <c r="T143" i="12"/>
  <c r="T863" i="12"/>
  <c r="T751" i="12"/>
  <c r="T1479" i="12"/>
  <c r="T7" i="12"/>
  <c r="T1575" i="12"/>
  <c r="T39" i="12"/>
  <c r="T711" i="12"/>
  <c r="T1596" i="12"/>
  <c r="T715" i="12"/>
  <c r="T375" i="12"/>
  <c r="T659" i="12"/>
  <c r="T183" i="12"/>
  <c r="T603" i="12"/>
  <c r="T531" i="12"/>
  <c r="T791" i="12"/>
  <c r="T239" i="12"/>
  <c r="T1599" i="12"/>
  <c r="T775" i="12"/>
  <c r="T335" i="12"/>
  <c r="T1071" i="12"/>
  <c r="T815" i="12"/>
  <c r="T447" i="12"/>
  <c r="T511" i="12"/>
  <c r="T1319" i="12"/>
  <c r="T615" i="12"/>
  <c r="T991" i="12"/>
  <c r="T543" i="12"/>
  <c r="T695" i="12"/>
  <c r="T271" i="12"/>
  <c r="T999" i="12"/>
  <c r="T943" i="12"/>
  <c r="T1583" i="12"/>
  <c r="T1287" i="12"/>
  <c r="T87" i="12"/>
  <c r="T583" i="12"/>
  <c r="T1207" i="12"/>
  <c r="T535" i="12"/>
  <c r="T783" i="12"/>
  <c r="T487" i="12"/>
  <c r="T1271" i="12"/>
  <c r="T1351" i="12"/>
  <c r="T927" i="12"/>
  <c r="T1279" i="12"/>
  <c r="T2" i="12"/>
  <c r="T1238" i="12"/>
  <c r="T1198" i="12"/>
  <c r="T918" i="12"/>
  <c r="T1415" i="12"/>
  <c r="T1087" i="12"/>
  <c r="T663" i="12"/>
  <c r="T295" i="12"/>
  <c r="T1511" i="12"/>
  <c r="T1533" i="12"/>
  <c r="T1173" i="12"/>
  <c r="T1149" i="12"/>
  <c r="T1109" i="12"/>
  <c r="T1029" i="12"/>
  <c r="T973" i="12"/>
  <c r="T1111" i="12"/>
  <c r="T1423" i="12"/>
  <c r="T687" i="12"/>
  <c r="T1191" i="12"/>
  <c r="T551" i="12"/>
  <c r="T1103" i="12"/>
  <c r="T599" i="12"/>
  <c r="T1327" i="12"/>
  <c r="T431" i="12"/>
  <c r="T1613" i="12"/>
  <c r="T439" i="12"/>
  <c r="T1637" i="12"/>
  <c r="T1631" i="12"/>
  <c r="T839" i="12"/>
  <c r="T351" i="12"/>
  <c r="T1343" i="12"/>
  <c r="T1095" i="12"/>
  <c r="T1335" i="12"/>
  <c r="T479" i="12"/>
  <c r="T655" i="12"/>
  <c r="T895" i="12"/>
  <c r="T1263" i="12"/>
  <c r="T1623" i="12"/>
  <c r="T1543" i="12"/>
  <c r="T607" i="12"/>
  <c r="T1519" i="12"/>
  <c r="T287" i="12"/>
  <c r="T1572" i="12"/>
  <c r="T1639" i="12"/>
  <c r="T1359" i="12"/>
  <c r="T975" i="12"/>
  <c r="T255" i="12"/>
  <c r="T207" i="12"/>
  <c r="T71" i="12"/>
  <c r="T1581" i="12"/>
  <c r="T135" i="12"/>
  <c r="T1454" i="12"/>
  <c r="T1398" i="12"/>
  <c r="T263" i="12"/>
  <c r="T1469" i="12"/>
  <c r="T1143" i="12"/>
  <c r="T1598" i="12"/>
  <c r="T1438" i="12"/>
  <c r="T1167" i="12"/>
  <c r="T191" i="12"/>
  <c r="T1023" i="12"/>
  <c r="T767" i="12"/>
  <c r="T15" i="12"/>
  <c r="T1303" i="12"/>
  <c r="T1421" i="12"/>
  <c r="T1239" i="12"/>
  <c r="T471" i="12"/>
  <c r="T343" i="12"/>
  <c r="T1358" i="12"/>
  <c r="T1159" i="12"/>
  <c r="T1127" i="12"/>
  <c r="T527" i="12"/>
  <c r="T1007" i="12"/>
  <c r="T1375" i="12"/>
  <c r="T935" i="12"/>
  <c r="T359" i="12"/>
  <c r="T1326" i="12"/>
  <c r="T1477" i="12"/>
  <c r="T919" i="12"/>
  <c r="T1015" i="12"/>
  <c r="T503" i="12"/>
  <c r="T807" i="12"/>
  <c r="T1447" i="12"/>
  <c r="T399" i="12"/>
  <c r="T831" i="12"/>
  <c r="T911" i="12"/>
  <c r="T1181" i="12"/>
  <c r="T951" i="12"/>
  <c r="T735" i="12"/>
  <c r="T679" i="12"/>
  <c r="T415" i="12"/>
  <c r="T1655" i="12"/>
  <c r="T1517" i="12"/>
  <c r="T231" i="12"/>
  <c r="T1509" i="12"/>
  <c r="T1573" i="12"/>
  <c r="T719" i="12"/>
  <c r="T391" i="12"/>
  <c r="T1590" i="12"/>
  <c r="T567" i="12"/>
  <c r="T1589" i="12"/>
  <c r="T743" i="12"/>
  <c r="T1485" i="12"/>
  <c r="T1255" i="12"/>
  <c r="T215" i="12"/>
  <c r="T1047" i="12"/>
  <c r="T1647" i="12"/>
  <c r="T1383" i="12"/>
  <c r="T151" i="12"/>
  <c r="T1407" i="12"/>
  <c r="T1557" i="12"/>
  <c r="T575" i="12"/>
  <c r="T31" i="12"/>
  <c r="T1374" i="12"/>
  <c r="T111" i="12"/>
  <c r="T639" i="12"/>
  <c r="T1311" i="12"/>
  <c r="T1439" i="12"/>
  <c r="T383" i="12"/>
  <c r="T871" i="12"/>
  <c r="T1621" i="12"/>
  <c r="T1486" i="12"/>
  <c r="T1389" i="12"/>
  <c r="T1551" i="12"/>
  <c r="T175" i="12"/>
  <c r="T1501" i="12"/>
  <c r="T1182" i="12"/>
  <c r="T1126" i="12"/>
  <c r="T631" i="12"/>
  <c r="T1222" i="12"/>
  <c r="T1397" i="12"/>
  <c r="T463" i="12"/>
  <c r="T1614" i="12"/>
  <c r="T1069" i="12"/>
  <c r="T1237" i="12"/>
  <c r="T1166" i="12"/>
  <c r="T55" i="12"/>
  <c r="T774" i="12"/>
  <c r="T622" i="12"/>
  <c r="T593" i="12"/>
  <c r="T1659" i="12"/>
  <c r="T1651" i="12"/>
  <c r="T1635" i="12"/>
  <c r="T1627" i="12"/>
  <c r="T1603" i="12"/>
  <c r="T1595" i="12"/>
  <c r="T1579" i="12"/>
  <c r="T1571" i="12"/>
  <c r="T1563" i="12"/>
  <c r="T1555" i="12"/>
  <c r="T1547" i="12"/>
  <c r="T1539" i="12"/>
  <c r="T1531" i="12"/>
  <c r="T1523" i="12"/>
  <c r="T1507" i="12"/>
  <c r="T1499" i="12"/>
  <c r="T1491" i="12"/>
  <c r="T1483" i="12"/>
  <c r="T1475" i="12"/>
  <c r="T1467" i="12"/>
  <c r="T1459" i="12"/>
  <c r="T1443" i="12"/>
  <c r="T1435" i="12"/>
  <c r="T1427" i="12"/>
  <c r="T1419" i="12"/>
  <c r="T1411" i="12"/>
  <c r="T1403" i="12"/>
  <c r="T1387" i="12"/>
  <c r="T1379" i="12"/>
  <c r="T1371" i="12"/>
  <c r="T1363" i="12"/>
  <c r="T1355" i="12"/>
  <c r="T1347" i="12"/>
  <c r="T1339" i="12"/>
  <c r="T1323" i="12"/>
  <c r="T1315" i="12"/>
  <c r="T1299" i="12"/>
  <c r="T1291" i="12"/>
  <c r="T1283" i="12"/>
  <c r="T1275" i="12"/>
  <c r="T1259" i="12"/>
  <c r="T1251" i="12"/>
  <c r="T1235" i="12"/>
  <c r="T1227" i="12"/>
  <c r="T1211" i="12"/>
  <c r="T1195" i="12"/>
  <c r="T1187" i="12"/>
  <c r="T1179" i="12"/>
  <c r="T1163" i="12"/>
  <c r="T1155" i="12"/>
  <c r="T1147" i="12"/>
  <c r="T1139" i="12"/>
  <c r="T1131" i="12"/>
  <c r="T1123" i="12"/>
  <c r="T1115" i="12"/>
  <c r="T1107" i="12"/>
  <c r="T1099" i="12"/>
  <c r="T1091" i="12"/>
  <c r="T1083" i="12"/>
  <c r="T1059" i="12"/>
  <c r="T1553" i="12"/>
  <c r="T1545" i="12"/>
  <c r="T1449" i="12"/>
  <c r="T1393" i="12"/>
  <c r="T1121" i="12"/>
  <c r="T841" i="12"/>
  <c r="T625" i="12"/>
  <c r="T569" i="12"/>
  <c r="T497" i="12"/>
  <c r="T433" i="12"/>
  <c r="T393" i="12"/>
  <c r="T217" i="12"/>
  <c r="T185" i="12"/>
  <c r="T1384" i="12"/>
  <c r="T1312" i="12"/>
  <c r="T1096" i="12"/>
  <c r="T1032" i="12"/>
  <c r="T880" i="12"/>
  <c r="T176" i="12"/>
  <c r="T1605" i="12"/>
  <c r="T1597" i="12"/>
  <c r="T1565" i="12"/>
  <c r="T1541" i="12"/>
  <c r="T1525" i="12"/>
  <c r="T1493" i="12"/>
  <c r="T1461" i="12"/>
  <c r="T1453" i="12"/>
  <c r="T1413" i="12"/>
  <c r="T1405" i="12"/>
  <c r="T1381" i="12"/>
  <c r="T1365" i="12"/>
  <c r="T1349" i="12"/>
  <c r="T1301" i="12"/>
  <c r="T1293" i="12"/>
  <c r="T1253" i="12"/>
  <c r="T1245" i="12"/>
  <c r="T1229" i="12"/>
  <c r="T1197" i="12"/>
  <c r="T1125" i="12"/>
  <c r="T1117" i="12"/>
  <c r="T1085" i="12"/>
  <c r="T1077" i="12"/>
  <c r="T1021" i="12"/>
  <c r="T1013" i="12"/>
  <c r="T941" i="12"/>
  <c r="T917" i="12"/>
  <c r="T885" i="12"/>
  <c r="T845" i="12"/>
  <c r="T837" i="12"/>
  <c r="T805" i="12"/>
  <c r="T733" i="12"/>
  <c r="T725" i="12"/>
  <c r="T709" i="12"/>
  <c r="T701" i="12"/>
  <c r="T645" i="12"/>
  <c r="T637" i="12"/>
  <c r="T621" i="12"/>
  <c r="T557" i="12"/>
  <c r="T549" i="12"/>
  <c r="T533" i="12"/>
  <c r="T525" i="12"/>
  <c r="T509" i="12"/>
  <c r="T501" i="12"/>
  <c r="T493" i="12"/>
  <c r="T461" i="12"/>
  <c r="T437" i="12"/>
  <c r="T405" i="12"/>
  <c r="T381" i="12"/>
  <c r="T349" i="12"/>
  <c r="T333" i="12"/>
  <c r="T1051" i="12"/>
  <c r="T1027" i="12"/>
  <c r="T1019" i="12"/>
  <c r="T1003" i="12"/>
  <c r="T995" i="12"/>
  <c r="T979" i="12"/>
  <c r="T971" i="12"/>
  <c r="T963" i="12"/>
  <c r="T955" i="12"/>
  <c r="T947" i="12"/>
  <c r="T939" i="12"/>
  <c r="T923" i="12"/>
  <c r="T915" i="12"/>
  <c r="T899" i="12"/>
  <c r="T891" i="12"/>
  <c r="T883" i="12"/>
  <c r="T875" i="12"/>
  <c r="T859" i="12"/>
  <c r="T851" i="12"/>
  <c r="T819" i="12"/>
  <c r="T803" i="12"/>
  <c r="T795" i="12"/>
  <c r="T787" i="12"/>
  <c r="T771" i="12"/>
  <c r="T755" i="12"/>
  <c r="T747" i="12"/>
  <c r="T739" i="12"/>
  <c r="T731" i="12"/>
  <c r="T723" i="12"/>
  <c r="T699" i="12"/>
  <c r="T691" i="12"/>
  <c r="T643" i="12"/>
  <c r="T635" i="12"/>
  <c r="T627" i="12"/>
  <c r="T619" i="12"/>
  <c r="T611" i="12"/>
  <c r="T587" i="12"/>
  <c r="T571" i="12"/>
  <c r="T555" i="12"/>
  <c r="T547" i="12"/>
  <c r="T539" i="12"/>
  <c r="T499" i="12"/>
  <c r="T491" i="12"/>
  <c r="T483" i="12"/>
  <c r="T475" i="12"/>
  <c r="T467" i="12"/>
  <c r="T459" i="12"/>
  <c r="T451" i="12"/>
  <c r="T443" i="12"/>
  <c r="T427" i="12"/>
  <c r="T395" i="12"/>
  <c r="T387" i="12"/>
  <c r="T371" i="12"/>
  <c r="T363" i="12"/>
  <c r="T347" i="12"/>
  <c r="T339" i="12"/>
  <c r="T331" i="12"/>
  <c r="T323" i="12"/>
  <c r="T307" i="12"/>
  <c r="T299" i="12"/>
  <c r="T275" i="12"/>
  <c r="T267" i="12"/>
  <c r="T251" i="12"/>
  <c r="T227" i="12"/>
  <c r="T219" i="12"/>
  <c r="T211" i="12"/>
  <c r="T195" i="12"/>
  <c r="T171" i="12"/>
  <c r="T155" i="12"/>
  <c r="T147" i="12"/>
  <c r="T123" i="12"/>
  <c r="T1643" i="12"/>
  <c r="T1587" i="12"/>
  <c r="T1395" i="12"/>
  <c r="T1267" i="12"/>
  <c r="T1243" i="12"/>
  <c r="T1219" i="12"/>
  <c r="T1203" i="12"/>
  <c r="T1075" i="12"/>
  <c r="T1011" i="12"/>
  <c r="T987" i="12"/>
  <c r="T835" i="12"/>
  <c r="T827" i="12"/>
  <c r="T811" i="12"/>
  <c r="T683" i="12"/>
  <c r="T1658" i="12"/>
  <c r="T1562" i="12"/>
  <c r="T1434" i="12"/>
  <c r="T1418" i="12"/>
  <c r="T1354" i="12"/>
  <c r="T1306" i="12"/>
  <c r="T1290" i="12"/>
  <c r="T1138" i="12"/>
  <c r="T1122" i="12"/>
  <c r="T1010" i="12"/>
  <c r="T994" i="12"/>
  <c r="T802" i="12"/>
  <c r="T610" i="12"/>
  <c r="T450" i="12"/>
  <c r="T154" i="12"/>
  <c r="T1561" i="12"/>
  <c r="T1369" i="12"/>
  <c r="T1321" i="12"/>
  <c r="T1257" i="12"/>
  <c r="T1033" i="12"/>
  <c r="T1657" i="12"/>
  <c r="T1609" i="12"/>
  <c r="T1417" i="12"/>
  <c r="T1305" i="12"/>
  <c r="T1241" i="12"/>
  <c r="T1065" i="12"/>
  <c r="T1049" i="12"/>
  <c r="T1656" i="12"/>
  <c r="T1464" i="12"/>
  <c r="T1416" i="12"/>
  <c r="T1400" i="12"/>
  <c r="T1272" i="12"/>
  <c r="T1224" i="12"/>
  <c r="T1080" i="12"/>
  <c r="T904" i="12"/>
  <c r="T800" i="12"/>
  <c r="T1458" i="12"/>
  <c r="T1450" i="12"/>
  <c r="T1442" i="12"/>
  <c r="T1426" i="12"/>
  <c r="T1410" i="12"/>
  <c r="T1386" i="12"/>
  <c r="T1378" i="12"/>
  <c r="T1370" i="12"/>
  <c r="T1346" i="12"/>
  <c r="T1314" i="12"/>
  <c r="T1274" i="12"/>
  <c r="T1266" i="12"/>
  <c r="T1258" i="12"/>
  <c r="T1242" i="12"/>
  <c r="T1234" i="12"/>
  <c r="T1218" i="12"/>
  <c r="T1210" i="12"/>
  <c r="T1202" i="12"/>
  <c r="T1194" i="12"/>
  <c r="T1186" i="12"/>
  <c r="T1178" i="12"/>
  <c r="T1170" i="12"/>
  <c r="T1154" i="12"/>
  <c r="T1146" i="12"/>
  <c r="T1130" i="12"/>
  <c r="T1114" i="12"/>
  <c r="T1098" i="12"/>
  <c r="T1090" i="12"/>
  <c r="T1082" i="12"/>
  <c r="T1074" i="12"/>
  <c r="T1066" i="12"/>
  <c r="T1050" i="12"/>
  <c r="T1042" i="12"/>
  <c r="T1034" i="12"/>
  <c r="T1026" i="12"/>
  <c r="T1018" i="12"/>
  <c r="T1002" i="12"/>
  <c r="T986" i="12"/>
  <c r="T978" i="12"/>
  <c r="T962" i="12"/>
  <c r="T954" i="12"/>
  <c r="T946" i="12"/>
  <c r="T938" i="12"/>
  <c r="T930" i="12"/>
  <c r="T922" i="12"/>
  <c r="T914" i="12"/>
  <c r="T898" i="12"/>
  <c r="T882" i="12"/>
  <c r="T866" i="12"/>
  <c r="T850" i="12"/>
  <c r="T842" i="12"/>
  <c r="T834" i="12"/>
  <c r="T826" i="12"/>
  <c r="T818" i="12"/>
  <c r="T810" i="12"/>
  <c r="T786" i="12"/>
  <c r="T778" i="12"/>
  <c r="T762" i="12"/>
  <c r="T746" i="12"/>
  <c r="T738" i="12"/>
  <c r="T722" i="12"/>
  <c r="T690" i="12"/>
  <c r="T682" i="12"/>
  <c r="T674" i="12"/>
  <c r="T658" i="12"/>
  <c r="T650" i="12"/>
  <c r="T642" i="12"/>
  <c r="T634" i="12"/>
  <c r="T626" i="12"/>
  <c r="T602" i="12"/>
  <c r="T594" i="12"/>
  <c r="T586" i="12"/>
  <c r="T578" i="12"/>
  <c r="T570" i="12"/>
  <c r="T562" i="12"/>
  <c r="T554" i="12"/>
  <c r="T546" i="12"/>
  <c r="T530" i="12"/>
  <c r="T514" i="12"/>
  <c r="T506" i="12"/>
  <c r="T490" i="12"/>
  <c r="T474" i="12"/>
  <c r="T466" i="12"/>
  <c r="T458" i="12"/>
  <c r="T442" i="12"/>
  <c r="T434" i="12"/>
  <c r="T418" i="12"/>
  <c r="T410" i="12"/>
  <c r="T394" i="12"/>
  <c r="T386" i="12"/>
  <c r="T370" i="12"/>
  <c r="T362" i="12"/>
  <c r="T338" i="12"/>
  <c r="T330" i="12"/>
  <c r="T314" i="12"/>
  <c r="T306" i="12"/>
  <c r="T298" i="12"/>
  <c r="T290" i="12"/>
  <c r="T282" i="12"/>
  <c r="T274" i="12"/>
  <c r="T266" i="12"/>
  <c r="T258" i="12"/>
  <c r="T242" i="12"/>
  <c r="T234" i="12"/>
  <c r="T210" i="12"/>
  <c r="T202" i="12"/>
  <c r="T194" i="12"/>
  <c r="T186" i="12"/>
  <c r="T178" i="12"/>
  <c r="T162" i="12"/>
  <c r="T146" i="12"/>
  <c r="T138" i="12"/>
  <c r="T1594" i="12"/>
  <c r="T1538" i="12"/>
  <c r="T1482" i="12"/>
  <c r="T1282" i="12"/>
  <c r="T1618" i="12"/>
  <c r="T1633" i="12"/>
  <c r="T1617" i="12"/>
  <c r="T1601" i="12"/>
  <c r="T1593" i="12"/>
  <c r="T1585" i="12"/>
  <c r="T1577" i="12"/>
  <c r="T1569" i="12"/>
  <c r="T1537" i="12"/>
  <c r="T1529" i="12"/>
  <c r="T1521" i="12"/>
  <c r="T1513" i="12"/>
  <c r="T1505" i="12"/>
  <c r="T1489" i="12"/>
  <c r="T1481" i="12"/>
  <c r="T1473" i="12"/>
  <c r="T1465" i="12"/>
  <c r="T1441" i="12"/>
  <c r="T1425" i="12"/>
  <c r="T1401" i="12"/>
  <c r="T1361" i="12"/>
  <c r="T1353" i="12"/>
  <c r="T1337" i="12"/>
  <c r="T1329" i="12"/>
  <c r="T1313" i="12"/>
  <c r="T1297" i="12"/>
  <c r="T1289" i="12"/>
  <c r="T1265" i="12"/>
  <c r="T1233" i="12"/>
  <c r="T1225" i="12"/>
  <c r="T1217" i="12"/>
  <c r="T1209" i="12"/>
  <c r="T1201" i="12"/>
  <c r="T1193" i="12"/>
  <c r="T1185" i="12"/>
  <c r="T1177" i="12"/>
  <c r="T1161" i="12"/>
  <c r="T1153" i="12"/>
  <c r="T1137" i="12"/>
  <c r="T1105" i="12"/>
  <c r="T1097" i="12"/>
  <c r="T1089" i="12"/>
  <c r="T1041" i="12"/>
  <c r="T1025" i="12"/>
  <c r="T1017" i="12"/>
  <c r="T1001" i="12"/>
  <c r="T993" i="12"/>
  <c r="T977" i="12"/>
  <c r="T969" i="12"/>
  <c r="T953" i="12"/>
  <c r="T945" i="12"/>
  <c r="T929" i="12"/>
  <c r="T921" i="12"/>
  <c r="T905" i="12"/>
  <c r="T897" i="12"/>
  <c r="T889" i="12"/>
  <c r="T881" i="12"/>
  <c r="T873" i="12"/>
  <c r="T857" i="12"/>
  <c r="T833" i="12"/>
  <c r="T825" i="12"/>
  <c r="T817" i="12"/>
  <c r="T809" i="12"/>
  <c r="T801" i="12"/>
  <c r="T793" i="12"/>
  <c r="T777" i="12"/>
  <c r="T1650" i="12"/>
  <c r="T1226" i="12"/>
  <c r="T1640" i="12"/>
  <c r="T1608" i="12"/>
  <c r="T1568" i="12"/>
  <c r="T1528" i="12"/>
  <c r="T1496" i="12"/>
  <c r="T1440" i="12"/>
  <c r="T1344" i="12"/>
  <c r="T1264" i="12"/>
  <c r="T1152" i="12"/>
  <c r="T1112" i="12"/>
  <c r="T1000" i="12"/>
  <c r="T960" i="12"/>
  <c r="T920" i="12"/>
  <c r="T840" i="12"/>
  <c r="T664" i="12"/>
  <c r="T576" i="12"/>
  <c r="T536" i="12"/>
  <c r="T496" i="12"/>
  <c r="T456" i="12"/>
  <c r="T416" i="12"/>
  <c r="T400" i="12"/>
  <c r="T352" i="12"/>
  <c r="T320" i="12"/>
  <c r="T288" i="12"/>
  <c r="T272" i="12"/>
  <c r="T936" i="12"/>
  <c r="T1625" i="12"/>
  <c r="T1208" i="12"/>
  <c r="T1433" i="12"/>
  <c r="T848" i="12"/>
  <c r="T1385" i="12"/>
  <c r="T1472" i="12"/>
  <c r="T1392" i="12"/>
  <c r="T1081" i="12"/>
  <c r="T1113" i="12"/>
  <c r="T1560" i="12"/>
  <c r="T522" i="12"/>
  <c r="T1530" i="12"/>
  <c r="T752" i="12"/>
  <c r="T1642" i="12"/>
  <c r="T1578" i="12"/>
  <c r="T1474" i="12"/>
  <c r="T1330" i="12"/>
  <c r="T1632" i="12"/>
  <c r="T1584" i="12"/>
  <c r="T1536" i="12"/>
  <c r="T1480" i="12"/>
  <c r="T1456" i="12"/>
  <c r="T1368" i="12"/>
  <c r="T1336" i="12"/>
  <c r="T1296" i="12"/>
  <c r="T1248" i="12"/>
  <c r="T1216" i="12"/>
  <c r="T1136" i="12"/>
  <c r="T1104" i="12"/>
  <c r="T1072" i="12"/>
  <c r="T1024" i="12"/>
  <c r="T976" i="12"/>
  <c r="T896" i="12"/>
  <c r="T792" i="12"/>
  <c r="T768" i="12"/>
  <c r="T720" i="12"/>
  <c r="T656" i="12"/>
  <c r="T616" i="12"/>
  <c r="T592" i="12"/>
  <c r="T528" i="12"/>
  <c r="T480" i="12"/>
  <c r="T432" i="12"/>
  <c r="T384" i="12"/>
  <c r="T344" i="12"/>
  <c r="T304" i="12"/>
  <c r="T256" i="12"/>
  <c r="T624" i="12"/>
  <c r="T1377" i="12"/>
  <c r="T688" i="12"/>
  <c r="T1073" i="12"/>
  <c r="T538" i="12"/>
  <c r="T906" i="12"/>
  <c r="T1184" i="12"/>
  <c r="T1168" i="12"/>
  <c r="T1362" i="12"/>
  <c r="T1394" i="12"/>
  <c r="T1145" i="12"/>
  <c r="T1520" i="12"/>
  <c r="T856" i="12"/>
  <c r="T1554" i="12"/>
  <c r="T874" i="12"/>
  <c r="T1634" i="12"/>
  <c r="T1586" i="12"/>
  <c r="T1522" i="12"/>
  <c r="T1490" i="12"/>
  <c r="T1322" i="12"/>
  <c r="T1648" i="12"/>
  <c r="T1616" i="12"/>
  <c r="T1576" i="12"/>
  <c r="T1544" i="12"/>
  <c r="T1504" i="12"/>
  <c r="T1432" i="12"/>
  <c r="T1360" i="12"/>
  <c r="T1120" i="12"/>
  <c r="T1040" i="12"/>
  <c r="T1016" i="12"/>
  <c r="T888" i="12"/>
  <c r="T816" i="12"/>
  <c r="T696" i="12"/>
  <c r="T648" i="12"/>
  <c r="T504" i="12"/>
  <c r="T464" i="12"/>
  <c r="T392" i="12"/>
  <c r="T360" i="12"/>
  <c r="T312" i="12"/>
  <c r="T560" i="12"/>
  <c r="T784" i="12"/>
  <c r="T961" i="12"/>
  <c r="T1169" i="12"/>
  <c r="T1498" i="12"/>
  <c r="T865" i="12"/>
  <c r="T402" i="12"/>
  <c r="T296" i="12"/>
  <c r="T1320" i="12"/>
  <c r="T1409" i="12"/>
  <c r="T498" i="12"/>
  <c r="T354" i="12"/>
  <c r="T1546" i="12"/>
  <c r="T1506" i="12"/>
  <c r="T1338" i="12"/>
  <c r="T1624" i="12"/>
  <c r="T1488" i="12"/>
  <c r="T1448" i="12"/>
  <c r="T1408" i="12"/>
  <c r="T1376" i="12"/>
  <c r="T1328" i="12"/>
  <c r="T1280" i="12"/>
  <c r="T1240" i="12"/>
  <c r="T1200" i="12"/>
  <c r="T1144" i="12"/>
  <c r="T1056" i="12"/>
  <c r="T992" i="12"/>
  <c r="T952" i="12"/>
  <c r="T872" i="12"/>
  <c r="T832" i="12"/>
  <c r="T808" i="12"/>
  <c r="T760" i="12"/>
  <c r="T728" i="12"/>
  <c r="T640" i="12"/>
  <c r="T600" i="12"/>
  <c r="T544" i="12"/>
  <c r="T520" i="12"/>
  <c r="T488" i="12"/>
  <c r="T448" i="12"/>
  <c r="T408" i="12"/>
  <c r="T376" i="12"/>
  <c r="T336" i="12"/>
  <c r="T248" i="12"/>
  <c r="T1250" i="12"/>
  <c r="T858" i="12"/>
  <c r="T890" i="12"/>
  <c r="T1641" i="12"/>
  <c r="T1106" i="12"/>
  <c r="T666" i="12"/>
  <c r="T440" i="12"/>
  <c r="T322" i="12"/>
  <c r="T1058" i="12"/>
  <c r="T730" i="12"/>
  <c r="T346" i="12"/>
  <c r="T698" i="12"/>
  <c r="T672" i="12"/>
  <c r="T1064" i="12"/>
  <c r="T1162" i="12"/>
  <c r="T1626" i="12"/>
  <c r="T1570" i="12"/>
  <c r="T1514" i="12"/>
  <c r="T1466" i="12"/>
  <c r="T1298" i="12"/>
  <c r="T1600" i="12"/>
  <c r="T1592" i="12"/>
  <c r="T1552" i="12"/>
  <c r="T1512" i="12"/>
  <c r="T1424" i="12"/>
  <c r="T1304" i="12"/>
  <c r="T1288" i="12"/>
  <c r="T1256" i="12"/>
  <c r="T1192" i="12"/>
  <c r="T1160" i="12"/>
  <c r="T1128" i="12"/>
  <c r="T1088" i="12"/>
  <c r="T1048" i="12"/>
  <c r="T968" i="12"/>
  <c r="T944" i="12"/>
  <c r="T912" i="12"/>
  <c r="T864" i="12"/>
  <c r="T824" i="12"/>
  <c r="T776" i="12"/>
  <c r="T744" i="12"/>
  <c r="T704" i="12"/>
  <c r="T632" i="12"/>
  <c r="T584" i="12"/>
  <c r="T552" i="12"/>
  <c r="T512" i="12"/>
  <c r="T472" i="12"/>
  <c r="T424" i="12"/>
  <c r="T368" i="12"/>
  <c r="T328" i="12"/>
  <c r="T280" i="12"/>
  <c r="T1602" i="12"/>
  <c r="T218" i="12"/>
  <c r="T1273" i="12"/>
  <c r="T985" i="12"/>
  <c r="T1249" i="12"/>
  <c r="T794" i="12"/>
  <c r="T1402" i="12"/>
  <c r="T1497" i="12"/>
  <c r="T736" i="12"/>
  <c r="T712" i="12"/>
  <c r="T1281" i="12"/>
  <c r="T970" i="12"/>
  <c r="T761" i="12"/>
  <c r="T753" i="12"/>
  <c r="T729" i="12"/>
  <c r="T697" i="12"/>
  <c r="T681" i="12"/>
  <c r="T673" i="12"/>
  <c r="T657" i="12"/>
  <c r="T577" i="12"/>
  <c r="T545" i="12"/>
  <c r="T521" i="12"/>
  <c r="T505" i="12"/>
  <c r="T489" i="12"/>
  <c r="T481" i="12"/>
  <c r="T473" i="12"/>
  <c r="T465" i="12"/>
  <c r="T417" i="12"/>
  <c r="T385" i="12"/>
  <c r="T353" i="12"/>
  <c r="T345" i="12"/>
  <c r="T329" i="12"/>
  <c r="T321" i="12"/>
  <c r="T289" i="12"/>
  <c r="T281" i="12"/>
  <c r="T265" i="12"/>
  <c r="T249" i="12"/>
  <c r="T241" i="12"/>
  <c r="T209" i="12"/>
  <c r="T201" i="12"/>
  <c r="T169" i="12"/>
  <c r="T200" i="12"/>
  <c r="T152" i="12"/>
  <c r="T144" i="12"/>
  <c r="T128" i="12"/>
  <c r="T441" i="12"/>
  <c r="T537" i="12"/>
  <c r="T224" i="12"/>
  <c r="T1422" i="12"/>
  <c r="T377" i="12"/>
  <c r="T609" i="12"/>
  <c r="T633" i="12"/>
  <c r="T401" i="12"/>
  <c r="T665" i="12"/>
  <c r="T1646" i="12"/>
  <c r="T1478" i="12"/>
  <c r="T1622" i="12"/>
  <c r="T233" i="12"/>
  <c r="T1630" i="12"/>
  <c r="T1558" i="12"/>
  <c r="T1542" i="12"/>
  <c r="T1502" i="12"/>
  <c r="T1470" i="12"/>
  <c r="T1462" i="12"/>
  <c r="T1414" i="12"/>
  <c r="T1382" i="12"/>
  <c r="T1342" i="12"/>
  <c r="T1302" i="12"/>
  <c r="T120" i="12"/>
  <c r="T689" i="12"/>
  <c r="T1606" i="12"/>
  <c r="T273" i="12"/>
  <c r="T585" i="12"/>
  <c r="T192" i="12"/>
  <c r="T745" i="12"/>
  <c r="T425" i="12"/>
  <c r="T1566" i="12"/>
  <c r="T457" i="12"/>
  <c r="T649" i="12"/>
  <c r="T232" i="12"/>
  <c r="T513" i="12"/>
  <c r="T769" i="12"/>
  <c r="T1518" i="12"/>
  <c r="T1654" i="12"/>
  <c r="T705" i="12"/>
  <c r="T168" i="12"/>
  <c r="T1582" i="12"/>
  <c r="T361" i="12"/>
  <c r="T112" i="12"/>
  <c r="T1494" i="12"/>
  <c r="T1638" i="12"/>
  <c r="T721" i="12"/>
  <c r="T104" i="12"/>
  <c r="T737" i="12"/>
  <c r="T208" i="12"/>
  <c r="T160" i="12"/>
  <c r="T1246" i="12"/>
  <c r="T96" i="12"/>
  <c r="T565" i="12"/>
  <c r="T1037" i="12"/>
  <c r="T781" i="12"/>
  <c r="T957" i="12"/>
  <c r="T1445" i="12"/>
  <c r="T981" i="12"/>
  <c r="T1341" i="12"/>
  <c r="T1035" i="12"/>
  <c r="T1357" i="12"/>
  <c r="T821" i="12"/>
  <c r="T757" i="12"/>
  <c r="T1133" i="12"/>
  <c r="T797" i="12"/>
  <c r="T48" i="12"/>
  <c r="T597" i="12"/>
  <c r="T1063" i="12"/>
  <c r="T1373" i="12"/>
  <c r="T1333" i="12"/>
  <c r="T1325" i="12"/>
  <c r="T933" i="12"/>
  <c r="T1611" i="12"/>
  <c r="T1437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Sanket Mehta</author>
  </authors>
  <commentList>
    <comment ref="I1" authorId="0" shapeId="0" xr:uid="{14E0F14C-1B63-4770-BDB7-71FA985F454D}">
      <text>
        <r>
          <rPr>
            <b/>
            <sz val="9"/>
            <color indexed="81"/>
            <rFont val="Tahoma"/>
            <family val="2"/>
          </rPr>
          <t>Sanket Mehta:</t>
        </r>
        <r>
          <rPr>
            <sz val="9"/>
            <color indexed="81"/>
            <rFont val="Tahoma"/>
            <family val="2"/>
          </rPr>
          <t xml:space="preserve">
This is a corrected date now, for actual dates visit Raw data final PQ</t>
        </r>
      </text>
    </comment>
    <comment ref="J1" authorId="0" shapeId="0" xr:uid="{499984E6-DD3F-4714-9D32-F438C94ECAAD}">
      <text>
        <r>
          <rPr>
            <b/>
            <sz val="9"/>
            <color indexed="81"/>
            <rFont val="Tahoma"/>
            <charset val="1"/>
          </rPr>
          <t>Sanket Mehta:</t>
        </r>
        <r>
          <rPr>
            <sz val="9"/>
            <color indexed="81"/>
            <rFont val="Tahoma"/>
            <charset val="1"/>
          </rPr>
          <t xml:space="preserve">
This is a corrected date now, for actual dates visit Raw data final PQ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D08B69-4074-4194-8A1D-419B2EF0CAB3}" keepAlive="1" name="Query - Raw Data Final" description="Connection to the 'Raw Data Final' query in the workbook." type="5" refreshedVersion="8" background="1" saveData="1">
    <dbPr connection="Provider=Microsoft.Mashup.OleDb.1;Data Source=$Workbook$;Location=&quot;Raw Data Final&quot;;Extended Properties=&quot;&quot;" command="SELECT * FROM [Raw Data Final]"/>
  </connection>
</connections>
</file>

<file path=xl/sharedStrings.xml><?xml version="1.0" encoding="utf-8"?>
<sst xmlns="http://schemas.openxmlformats.org/spreadsheetml/2006/main" count="36397" uniqueCount="4780">
  <si>
    <t>Opportunity ID</t>
  </si>
  <si>
    <t>Opportunity Name</t>
  </si>
  <si>
    <t>Revenue Type</t>
  </si>
  <si>
    <t>Product Line</t>
  </si>
  <si>
    <t>Funnel Stage</t>
  </si>
  <si>
    <t>Opportunity Value (converted)</t>
  </si>
  <si>
    <t>Status</t>
  </si>
  <si>
    <t>Probability (%)</t>
  </si>
  <si>
    <t>Weighted Amount (converted)</t>
  </si>
  <si>
    <t>Segment</t>
  </si>
  <si>
    <t>Created Date</t>
  </si>
  <si>
    <t>Close Date/Expected Close Date</t>
  </si>
  <si>
    <t>Date Won / Lost</t>
  </si>
  <si>
    <t>Reason Won / Lost</t>
  </si>
  <si>
    <t>Country</t>
  </si>
  <si>
    <t>Region</t>
  </si>
  <si>
    <t>Duplicate OID</t>
  </si>
  <si>
    <t>CA-2016-103366</t>
  </si>
  <si>
    <t>Logitech 910-002974 M325 Wireless Mouse for Web Scrolling-103366</t>
  </si>
  <si>
    <t>New</t>
  </si>
  <si>
    <t>Product D</t>
  </si>
  <si>
    <t>Unsuccessful</t>
  </si>
  <si>
    <t>Lost</t>
  </si>
  <si>
    <t>Alpha</t>
  </si>
  <si>
    <t>Competition</t>
  </si>
  <si>
    <t>Germany</t>
  </si>
  <si>
    <t>Europe</t>
  </si>
  <si>
    <t>Logitech 910-002974 M325 Wireless Mouse for Web Scrolling</t>
  </si>
  <si>
    <t>CA-2016-152618</t>
  </si>
  <si>
    <t>Hewlett-Packard Deskjet 6540 Color Inkjet Printer-152618</t>
  </si>
  <si>
    <t>Expanded</t>
  </si>
  <si>
    <t>Product G</t>
  </si>
  <si>
    <t>Account Team</t>
  </si>
  <si>
    <t>Australia</t>
  </si>
  <si>
    <t>Pacific</t>
  </si>
  <si>
    <t>Hewlett-Packard Deskjet 6540 Color Inkjet Printer</t>
  </si>
  <si>
    <t>US-2016-112564</t>
  </si>
  <si>
    <t>Wilson Jones Suede Grain Vinyl Binders-112564</t>
  </si>
  <si>
    <t>Product K</t>
  </si>
  <si>
    <t>Analytics Capabilities &amp; Technological Platforms</t>
  </si>
  <si>
    <t>New Zealand</t>
  </si>
  <si>
    <t>Wilson Jones Suede Grain Vinyl Binders</t>
  </si>
  <si>
    <t>CA-2016-160094</t>
  </si>
  <si>
    <t>Hunt Boston Vacuum Mount KS Pencil Sharpener-160094</t>
  </si>
  <si>
    <t>Product H</t>
  </si>
  <si>
    <t>Buyer Cancelled</t>
  </si>
  <si>
    <t>China</t>
  </si>
  <si>
    <t>Asia</t>
  </si>
  <si>
    <t>Hunt Boston Vacuum Mount KS Pencil Sharpener</t>
  </si>
  <si>
    <t>CA-2016-101931</t>
  </si>
  <si>
    <t>Avery Non-Stick Binders-101931</t>
  </si>
  <si>
    <t>Product Q</t>
  </si>
  <si>
    <t>Beta</t>
  </si>
  <si>
    <t>Abandoned</t>
  </si>
  <si>
    <t>Poland</t>
  </si>
  <si>
    <t>Avery Non-Stick Binders</t>
  </si>
  <si>
    <t>CA-2016-103317</t>
  </si>
  <si>
    <t>Advantus Panel Wall Certificate Holder - 8.5x11-103317</t>
  </si>
  <si>
    <t>Product I</t>
  </si>
  <si>
    <t>Advantus Panel Wall Certificate Holder - 8.5x11</t>
  </si>
  <si>
    <t>CA-2016-141726</t>
  </si>
  <si>
    <t>Xerox 189-141726</t>
  </si>
  <si>
    <t>Product T</t>
  </si>
  <si>
    <t>Alternative solution arranged (Self-insurance, Other)</t>
  </si>
  <si>
    <t>Xerox 189</t>
  </si>
  <si>
    <t>CA-2016-165428</t>
  </si>
  <si>
    <t>Prestige Round Ring Binders-165428</t>
  </si>
  <si>
    <t>United Arab Emirates</t>
  </si>
  <si>
    <t>Middle East</t>
  </si>
  <si>
    <t>Prestige Round Ring Binders</t>
  </si>
  <si>
    <t>US-2016-138828</t>
  </si>
  <si>
    <t>Newell 324-138828</t>
  </si>
  <si>
    <t>United States</t>
  </si>
  <si>
    <t>USA &amp; Canada</t>
  </si>
  <si>
    <t>Newell 324</t>
  </si>
  <si>
    <t>CA-2016-127936</t>
  </si>
  <si>
    <t>SANFORD Major Accent Highlighters-127936</t>
  </si>
  <si>
    <t>Product X</t>
  </si>
  <si>
    <t>SANFORD Major Accent Highlighters</t>
  </si>
  <si>
    <t>CA-2016-136861</t>
  </si>
  <si>
    <t>Telescoping Adjustable Floor Lamp-136861</t>
  </si>
  <si>
    <t>Product R</t>
  </si>
  <si>
    <t>India</t>
  </si>
  <si>
    <t>Telescoping Adjustable Floor Lamp</t>
  </si>
  <si>
    <t>CA-2016-101476</t>
  </si>
  <si>
    <t>Epson WorkForce WF-2530 All-in-One Printer, Copier Scanner-101476</t>
  </si>
  <si>
    <t>Product L</t>
  </si>
  <si>
    <t>Epson WorkForce WF-2530 All-in-One Printer, Copier Scanner</t>
  </si>
  <si>
    <t>CA-2016-125997</t>
  </si>
  <si>
    <t>Ooma Telo VoIP Home Phone System-125997</t>
  </si>
  <si>
    <t>Ooma Telo VoIP Home Phone System</t>
  </si>
  <si>
    <t>CA-2016-168823</t>
  </si>
  <si>
    <t>While You Were Out Pads, 50 per Pad, 4 x 5 1/4, Green Cycle-168823</t>
  </si>
  <si>
    <t>While You Were Out Pads, 50 per Pad, 4 x 5 1/4, Green Cycle</t>
  </si>
  <si>
    <t>CA-2016-163650</t>
  </si>
  <si>
    <t>Newell 351-163650</t>
  </si>
  <si>
    <t>Product S</t>
  </si>
  <si>
    <t>Bahrain</t>
  </si>
  <si>
    <t>Newell 351</t>
  </si>
  <si>
    <t>CA-2016-107916</t>
  </si>
  <si>
    <t>G.E. Longer-Life Indoor Recessed Floodlight Bulbs-107916</t>
  </si>
  <si>
    <t>Delta</t>
  </si>
  <si>
    <t>G.E. Longer-Life Indoor Recessed Floodlight Bulbs</t>
  </si>
  <si>
    <t>CA-2016-151554</t>
  </si>
  <si>
    <t>Xerox 221-151554</t>
  </si>
  <si>
    <t>Product B</t>
  </si>
  <si>
    <t>Xerox 221</t>
  </si>
  <si>
    <t>CA-2016-125682</t>
  </si>
  <si>
    <t>Hammermill CopyPlus Copy Paper (20Lb. and 84 Bright)-125682</t>
  </si>
  <si>
    <t>Hammermill CopyPlus Copy Paper (20Lb. and 84 Bright)</t>
  </si>
  <si>
    <t>US-2016-157385</t>
  </si>
  <si>
    <t>Novimex Swivel Fabric Task Chair-157385</t>
  </si>
  <si>
    <t>Novimex Swivel Fabric Task Chair</t>
  </si>
  <si>
    <t>CA-2016-159800</t>
  </si>
  <si>
    <t>Acco 6 Outlet Guardian Premium Surge Suppressor-159800</t>
  </si>
  <si>
    <t>Product C</t>
  </si>
  <si>
    <t>Acco 6 Outlet Guardian Premium Surge Suppressor</t>
  </si>
  <si>
    <t>CA-2016-138737</t>
  </si>
  <si>
    <t>Newell 32-138737</t>
  </si>
  <si>
    <t>Product N</t>
  </si>
  <si>
    <t>Newell 32</t>
  </si>
  <si>
    <t>CA-2016-109932</t>
  </si>
  <si>
    <t>Xerox 195-109932</t>
  </si>
  <si>
    <t>Xerox 195</t>
  </si>
  <si>
    <t>CA-2016-162992</t>
  </si>
  <si>
    <t>Avery 516-162992</t>
  </si>
  <si>
    <t>Product O</t>
  </si>
  <si>
    <t>Avery 516</t>
  </si>
  <si>
    <t>CA-2016-138681</t>
  </si>
  <si>
    <t>Computer Room Manger, 14"-138681</t>
  </si>
  <si>
    <t>Computer Room Manger, 14"</t>
  </si>
  <si>
    <t>CA-2016-156314</t>
  </si>
  <si>
    <t>Master Giant Foot Doorstop, Safety Yellow-156314</t>
  </si>
  <si>
    <t>Master Giant Foot Doorstop, Safety Yellow</t>
  </si>
  <si>
    <t>CA-2016-165393</t>
  </si>
  <si>
    <t>GBC Standard Therm-A-Bind Covers-165393</t>
  </si>
  <si>
    <t>GBC Standard Therm-A-Bind Covers</t>
  </si>
  <si>
    <t>US-2016-143231</t>
  </si>
  <si>
    <t>Nu-Dell Executive Frame-143231</t>
  </si>
  <si>
    <t>Product V</t>
  </si>
  <si>
    <t>Nu-Dell Executive Frame</t>
  </si>
  <si>
    <t>CA-2017-111325</t>
  </si>
  <si>
    <t>Pressboard Covers with Storage Hooks, 9 1/2" x 11", Light Blue-111325</t>
  </si>
  <si>
    <t>Pressboard Covers with Storage Hooks, 9 1/2" x 11", Light Blue</t>
  </si>
  <si>
    <t>CA-2017-133585</t>
  </si>
  <si>
    <t>Panasonic KP-350BK Electric Pencil Sharpener with Auto Stop-133585</t>
  </si>
  <si>
    <t>Canada</t>
  </si>
  <si>
    <t>Panasonic KP-350BK Electric Pencil Sharpener with Auto Stop</t>
  </si>
  <si>
    <t>CA-2017-168088</t>
  </si>
  <si>
    <t>Xerox 1919-168088</t>
  </si>
  <si>
    <t>Product M</t>
  </si>
  <si>
    <t>Xerox 1919</t>
  </si>
  <si>
    <t>CA-2017-159534</t>
  </si>
  <si>
    <t>Wilson Jones Century Plastic Molded Ring Binders-159534</t>
  </si>
  <si>
    <t>Product F</t>
  </si>
  <si>
    <t>Wilson Jones Century Plastic Molded Ring Binders</t>
  </si>
  <si>
    <t>CA-2017-150770</t>
  </si>
  <si>
    <t>Newell 317-150770</t>
  </si>
  <si>
    <t>Newell 317</t>
  </si>
  <si>
    <t>CA-2017-119291</t>
  </si>
  <si>
    <t>Boston School Pro Electric Pencil Sharpener, 1670-119291</t>
  </si>
  <si>
    <t>Boston School Pro Electric Pencil Sharpener, 1670</t>
  </si>
  <si>
    <t>CA-2017-132941</t>
  </si>
  <si>
    <t>Fiskars Spring-Action Scissors-132941</t>
  </si>
  <si>
    <t>Product E</t>
  </si>
  <si>
    <t>Fiskars Spring-Action Scissors</t>
  </si>
  <si>
    <t>CA-2017-119690</t>
  </si>
  <si>
    <t>Xerox 1884-119690</t>
  </si>
  <si>
    <t>Xerox 1884</t>
  </si>
  <si>
    <t>US-2017-153500</t>
  </si>
  <si>
    <t>Eldon Antistatic Chair Mats for Low to Medium Pile Carpets-153500</t>
  </si>
  <si>
    <t>Eldon Antistatic Chair Mats for Low to Medium Pile Carpets</t>
  </si>
  <si>
    <t>CA-2017-136469</t>
  </si>
  <si>
    <t>Lesro Sheffield Collection Coffee Table, End Table, Center Table, Corner Table-136469</t>
  </si>
  <si>
    <t>Lesro Sheffield Collection Coffee Table, End Table, Center Table, Corner Table</t>
  </si>
  <si>
    <t>US-2017-166520</t>
  </si>
  <si>
    <t>Petty Cash Envelope-166520</t>
  </si>
  <si>
    <t>Petty Cash Envelope</t>
  </si>
  <si>
    <t>CA-2017-121608</t>
  </si>
  <si>
    <t>Holmes Replacement Filter for HEPA Air Cleaner, Very Large Room, HEPA Filter-121608</t>
  </si>
  <si>
    <t>Holmes Replacement Filter for HEPA Air Cleaner, Very Large Room, HEPA Filter</t>
  </si>
  <si>
    <t>CA-2017-162166</t>
  </si>
  <si>
    <t>Xerox 1928-162166</t>
  </si>
  <si>
    <t>Xerox 1928</t>
  </si>
  <si>
    <t>CA-2017-154746</t>
  </si>
  <si>
    <t>Brown Kraft Recycled Envelopes-154746</t>
  </si>
  <si>
    <t>Product A</t>
  </si>
  <si>
    <t>Brown Kraft Recycled Envelopes</t>
  </si>
  <si>
    <t>CA-2017-138954</t>
  </si>
  <si>
    <t>Eldon Mobile Mega Data Cart  Mega Stackable  Add-On Trays-138954</t>
  </si>
  <si>
    <t>Eldon Mobile Mega Data Cart  Mega Stackable  Add-On Trays</t>
  </si>
  <si>
    <t>CA-2017-165050</t>
  </si>
  <si>
    <t>Pressboard Data Binders by Wilson Jones-165050</t>
  </si>
  <si>
    <t>Pressboard Data Binders by Wilson Jones</t>
  </si>
  <si>
    <t>CA-2017-145065</t>
  </si>
  <si>
    <t>Staples-145065</t>
  </si>
  <si>
    <t>Staples</t>
  </si>
  <si>
    <t>CA-2017-127453</t>
  </si>
  <si>
    <t>Avanti 4.4 Cu. Ft. Refrigerator-127453</t>
  </si>
  <si>
    <t>Avanti 4.4 Cu. Ft. Refrigerator</t>
  </si>
  <si>
    <t>CA-2017-157287</t>
  </si>
  <si>
    <t>Tennsco Lockers, Sand-157287</t>
  </si>
  <si>
    <t>Tennsco Lockers, Sand</t>
  </si>
  <si>
    <t>CA-2016-150245</t>
  </si>
  <si>
    <t>Avery Hi-Liter Fluorescent Desk Style Markers-150245</t>
  </si>
  <si>
    <t>Booked</t>
  </si>
  <si>
    <t>Won</t>
  </si>
  <si>
    <t>Pricing</t>
  </si>
  <si>
    <t>Avery Hi-Liter Fluorescent Desk Style Markers</t>
  </si>
  <si>
    <t>CA-2017-156755</t>
  </si>
  <si>
    <t>SanDisk Cruzer 32 GB USB Flash Drive-101126</t>
  </si>
  <si>
    <t>Product P</t>
  </si>
  <si>
    <t>Sold Not Booked</t>
  </si>
  <si>
    <t>Price - Fee/Commission</t>
  </si>
  <si>
    <t>SanDisk Cruzer 32 GB USB Flash Drive</t>
  </si>
  <si>
    <t>CA-2017-169677</t>
  </si>
  <si>
    <t>Xerox 23-101154</t>
  </si>
  <si>
    <t>Xerox 23</t>
  </si>
  <si>
    <t>CA-2017-103093</t>
  </si>
  <si>
    <t>Acco Hot Clips Clips to Go-103205</t>
  </si>
  <si>
    <t>Specialities Capabilities</t>
  </si>
  <si>
    <t>Acco Hot Clips Clips to Go</t>
  </si>
  <si>
    <t>CA-2017-114923</t>
  </si>
  <si>
    <t>Padded Folding Chairs, Black, 4/Carton-103961</t>
  </si>
  <si>
    <t>Padded Folding Chairs, Black, 4/Carton</t>
  </si>
  <si>
    <t>CA-2017-111234</t>
  </si>
  <si>
    <t>Boston 16701 Slimline Battery Pencil Sharpener-104493</t>
  </si>
  <si>
    <t>Boston 16701 Slimline Battery Pencil Sharpener</t>
  </si>
  <si>
    <t>CA-2017-129770</t>
  </si>
  <si>
    <t>Ibico Plastic and Wire Spiral Binding Combs-105508</t>
  </si>
  <si>
    <t>Product W</t>
  </si>
  <si>
    <t>Ibico Plastic and Wire Spiral Binding Combs</t>
  </si>
  <si>
    <t>CA-2017-107741</t>
  </si>
  <si>
    <t>Tennsco Single-Tier Lockers-107741</t>
  </si>
  <si>
    <t>Terms &amp; Conditions</t>
  </si>
  <si>
    <t>Tennsco Single-Tier Lockers</t>
  </si>
  <si>
    <t>CA-2017-132136</t>
  </si>
  <si>
    <t>Hon 4060 Series Tables-107902</t>
  </si>
  <si>
    <t>Level of Service/Support</t>
  </si>
  <si>
    <t>Hon 4060 Series Tables</t>
  </si>
  <si>
    <t>CA-2017-118423</t>
  </si>
  <si>
    <t>Panasonic KX-TG9471B-111206</t>
  </si>
  <si>
    <t>Panasonic KX-TG9471B</t>
  </si>
  <si>
    <t>US-2017-112508</t>
  </si>
  <si>
    <t>Acco Pressboard Covers with Storage Hooks, 14 7/8" x 11", Light Blue-111297</t>
  </si>
  <si>
    <t>Acco Pressboard Covers with Storage Hooks, 14 7/8" x 11", Light Blue</t>
  </si>
  <si>
    <t>CA-2017-164301</t>
  </si>
  <si>
    <t>Multi-Use Personal File Cart and Caster Set, Three Stacking Bins-111507</t>
  </si>
  <si>
    <t>Price - Premium</t>
  </si>
  <si>
    <t>Multi-Use Personal File Cart and Caster Set, Three Stacking Bins</t>
  </si>
  <si>
    <t>CA-2017-132948</t>
  </si>
  <si>
    <t>Tenex Antistatic Computer Chair Mats-111864</t>
  </si>
  <si>
    <t>Tenex Antistatic Computer Chair Mats</t>
  </si>
  <si>
    <t>CA-2017-105361</t>
  </si>
  <si>
    <t>Memorex Micro Travel Drive 32 GB-112014</t>
  </si>
  <si>
    <t>Memorex Micro Travel Drive 32 GB</t>
  </si>
  <si>
    <t>CA-2017-119942</t>
  </si>
  <si>
    <t>Southworth 100% RÃ©sumÃ© Paper, 24lb.-112823</t>
  </si>
  <si>
    <t>Southworth 100% RÃ©sumÃ© Paper, 24lb.</t>
  </si>
  <si>
    <t>CA-2017-100888</t>
  </si>
  <si>
    <t>50 Colored Long Pencils-113222</t>
  </si>
  <si>
    <t>50 Colored Long Pencils</t>
  </si>
  <si>
    <t>CA-2017-142027</t>
  </si>
  <si>
    <t>File Shuttle II and Handi-File, Black-114048</t>
  </si>
  <si>
    <t>File Shuttle II and Handi-File, Black</t>
  </si>
  <si>
    <t>CA-2017-145415</t>
  </si>
  <si>
    <t>Permanent Self-Adhesive File Folder Labels for Typewriters by Universal-114503</t>
  </si>
  <si>
    <t>Permanent Self-Adhesive File Folder Labels for Typewriters by Universal</t>
  </si>
  <si>
    <t>CA-2017-120551</t>
  </si>
  <si>
    <t>Hon Every-Day Series Multi-Task Chairs-114923</t>
  </si>
  <si>
    <t>Hon Every-Day Series Multi-Task Chairs</t>
  </si>
  <si>
    <t>CA-2017-143602</t>
  </si>
  <si>
    <t>Wilson Jones Easy Flow II Sheet Lifters-117898</t>
  </si>
  <si>
    <t>Wilson Jones Easy Flow II Sheet Lifters</t>
  </si>
  <si>
    <t>CA-2017-107937</t>
  </si>
  <si>
    <t>Lunatik TT5L-002 Taktik Strike Impact Protection System for iPhone 5-119550</t>
  </si>
  <si>
    <t>Lunatik TT5L-002 Taktik Strike Impact Protection System for iPhone 5</t>
  </si>
  <si>
    <t>CA-2017-110548</t>
  </si>
  <si>
    <t>Bionaire 99.97% HEPA Air Cleaner-119634</t>
  </si>
  <si>
    <t>Bionaire 99.97% HEPA Air Cleaner</t>
  </si>
  <si>
    <t>CA-2017-129700</t>
  </si>
  <si>
    <t>Rogers Deluxe File Chest-119697</t>
  </si>
  <si>
    <t>Rogers Deluxe File Chest</t>
  </si>
  <si>
    <t>CA-2017-147879</t>
  </si>
  <si>
    <t>Acco PRESSTEX Data Binder with Storage Hooks, Dark Blue, 9 1/2" X 11"-120320</t>
  </si>
  <si>
    <t>Acco PRESSTEX Data Binder with Storage Hooks, Dark Blue, 9 1/2" X 11"</t>
  </si>
  <si>
    <t>CA-2017-113971</t>
  </si>
  <si>
    <t>Avery 492-120397</t>
  </si>
  <si>
    <t>Avery 492</t>
  </si>
  <si>
    <t>CA-2017-135727</t>
  </si>
  <si>
    <t>Advantus Rolling Drawer Organizers-120551</t>
  </si>
  <si>
    <t>Advantus Rolling Drawer Organizers</t>
  </si>
  <si>
    <t>CA-2017-166604</t>
  </si>
  <si>
    <t>Belkin QODE FastFit Bluetooth Keyboard-121552</t>
  </si>
  <si>
    <t>Belkin QODE FastFit Bluetooth Keyboard</t>
  </si>
  <si>
    <t>CA-2017-165554</t>
  </si>
  <si>
    <t>Acme Rosewood Handle Letter Opener-122259</t>
  </si>
  <si>
    <t>Acme Rosewood Handle Letter Opener</t>
  </si>
  <si>
    <t>CA-2017-169278</t>
  </si>
  <si>
    <t>Hoover Upright Vacuum With Dirt Cup-122826</t>
  </si>
  <si>
    <t>Hoover Upright Vacuum With Dirt Cup</t>
  </si>
  <si>
    <t>CA-2017-118948</t>
  </si>
  <si>
    <t>Deflect-o EconoMat Nonstudded, No Bevel Mat-124933</t>
  </si>
  <si>
    <t>Deflect-o EconoMat Nonstudded, No Bevel Mat</t>
  </si>
  <si>
    <t>CA-2017-104297</t>
  </si>
  <si>
    <t>BIC Brite Liner Highlighters, Chisel Tip-124975</t>
  </si>
  <si>
    <t>BIC Brite Liner Highlighters, Chisel Tip</t>
  </si>
  <si>
    <t>CA-2017-133627</t>
  </si>
  <si>
    <t>Eldon ClusterMat Chair Mat with Cordless Antistatic Protection-125423</t>
  </si>
  <si>
    <t>Eldon ClusterMat Chair Mat with Cordless Antistatic Protection</t>
  </si>
  <si>
    <t>CA-2017-136224</t>
  </si>
  <si>
    <t>Crayola Colored Pencils-125696</t>
  </si>
  <si>
    <t>Crayola Colored Pencils</t>
  </si>
  <si>
    <t>CA-2017-142041</t>
  </si>
  <si>
    <t>Hon Metal Bookcases, Putty-126445</t>
  </si>
  <si>
    <t>Hon Metal Bookcases, Putty</t>
  </si>
  <si>
    <t>CA-2017-136105</t>
  </si>
  <si>
    <t>Anker Ultrathin Bluetooth Wireless Keyboard Aluminum Cover with Stand-127019</t>
  </si>
  <si>
    <t>Anker Ultrathin Bluetooth Wireless Keyboard Aluminum Cover with Stand</t>
  </si>
  <si>
    <t>CA-2017-104115</t>
  </si>
  <si>
    <t>Avery 4027 File Folder Labels for Dot Matrix Printers, 5000 Labels per Box, White-126739</t>
  </si>
  <si>
    <t>Avery 4027 File Folder Labels for Dot Matrix Printers, 5000 Labels per Box, White</t>
  </si>
  <si>
    <t>CA-2017-164567</t>
  </si>
  <si>
    <t>Cisco SPA525G2 IP Phone - Wireless-127593</t>
  </si>
  <si>
    <t>Product Z</t>
  </si>
  <si>
    <t>Cisco SPA525G2 IP Phone - Wireless</t>
  </si>
  <si>
    <t>CA-2017-167269</t>
  </si>
  <si>
    <t>Avery Premier Heavy-Duty Binder with Round Locking Rings-128027</t>
  </si>
  <si>
    <t>Avery Premier Heavy-Duty Binder with Round Locking Rings</t>
  </si>
  <si>
    <t>CA-2017-154200</t>
  </si>
  <si>
    <t>Plantronics MX500i Earset-128356</t>
  </si>
  <si>
    <t>Plantronics MX500i Earset</t>
  </si>
  <si>
    <t>CA-2017-158351</t>
  </si>
  <si>
    <t>Wirebound Message Books, 5-1/2 x 4 Forms, 2 or 4 Forms per Page-129042</t>
  </si>
  <si>
    <t>Wirebound Message Books, 5-1/2 x 4 Forms, 2 or 4 Forms per Page</t>
  </si>
  <si>
    <t>US-2017-136427</t>
  </si>
  <si>
    <t>Howard Miller 11-1/2" Diameter Brentwood Wall Clock-129098</t>
  </si>
  <si>
    <t>Howard Miller 11-1/2" Diameter Brentwood Wall Clock</t>
  </si>
  <si>
    <t>CA-2017-166583</t>
  </si>
  <si>
    <t>Vtech AT&amp;T CL2940 Corded Speakerphone, Black-130554</t>
  </si>
  <si>
    <t>Vtech AT&amp;T CL2940 Corded Speakerphone, Black</t>
  </si>
  <si>
    <t>CA-2017-146087</t>
  </si>
  <si>
    <t>Crayola Colored Pencils-131597</t>
  </si>
  <si>
    <t>CA-2017-129392</t>
  </si>
  <si>
    <t>Novimex Turbo Task Chair-132080</t>
  </si>
  <si>
    <t>Product Y</t>
  </si>
  <si>
    <t>Novimex Turbo Task Chair</t>
  </si>
  <si>
    <t>CA-2017-123456</t>
  </si>
  <si>
    <t>C-Line Peel &amp; Stick Add-On Filing Pockets, 8-3/4 x 5-1/8, 10/Pack-132101</t>
  </si>
  <si>
    <t>C-Line Peel &amp; Stick Add-On Filing Pockets, 8-3/4 x 5-1/8, 10/Pack</t>
  </si>
  <si>
    <t>CA-2017-107020</t>
  </si>
  <si>
    <t>DXL Angle-View Binders with Locking Rings, Black-132374</t>
  </si>
  <si>
    <t>DXL Angle-View Binders with Locking Rings, Black</t>
  </si>
  <si>
    <t>CA-2017-138534</t>
  </si>
  <si>
    <t>Acme Value Line Scissors-132948</t>
  </si>
  <si>
    <t>Acme Value Line Scissors</t>
  </si>
  <si>
    <t>US-2017-149629</t>
  </si>
  <si>
    <t>Laser &amp; Ink Jet Business Envelopes-133025</t>
  </si>
  <si>
    <t>Laser &amp; Ink Jet Business Envelopes</t>
  </si>
  <si>
    <t>US-2017-164966</t>
  </si>
  <si>
    <t>VTech DS6151-135272</t>
  </si>
  <si>
    <t>VTech DS6151</t>
  </si>
  <si>
    <t>CA-2017-112767</t>
  </si>
  <si>
    <t>Novimex Fabric Task Chair-135510</t>
  </si>
  <si>
    <t>Novimex Fabric Task Chair</t>
  </si>
  <si>
    <t>CA-2017-127544</t>
  </si>
  <si>
    <t>Hot File 7-Pocket, Floor Stand-136378</t>
  </si>
  <si>
    <t>Hot File 7-Pocket, Floor Stand</t>
  </si>
  <si>
    <t>CA-2017-112014</t>
  </si>
  <si>
    <t>Avery 491-137106</t>
  </si>
  <si>
    <t>Product U</t>
  </si>
  <si>
    <t>Avery 491</t>
  </si>
  <si>
    <t>CA-2017-169656</t>
  </si>
  <si>
    <t>Lenovo 17-Key USB Numeric Keypad-138219</t>
  </si>
  <si>
    <t>Lenovo 17-Key USB Numeric Keypad</t>
  </si>
  <si>
    <t>CA-2017-107902</t>
  </si>
  <si>
    <t>Cameo Buff Policy Envelopes-139248</t>
  </si>
  <si>
    <t>Cameo Buff Policy Envelopes</t>
  </si>
  <si>
    <t>CA-2017-142139</t>
  </si>
  <si>
    <t>Recycled Steel Personal File for Hanging File Folders-139738</t>
  </si>
  <si>
    <t>Recycled Steel Personal File for Hanging File Folders</t>
  </si>
  <si>
    <t>CA-2017-112319</t>
  </si>
  <si>
    <t>Seth Thomas 8 1/2" Cubicle Clock-139374</t>
  </si>
  <si>
    <t>Seth Thomas 8 1/2" Cubicle Clock</t>
  </si>
  <si>
    <t>CA-2017-113523</t>
  </si>
  <si>
    <t>Advantus Map Pennant Flags and Round Head Tacks-141936</t>
  </si>
  <si>
    <t>Advantus Map Pennant Flags and Round Head Tacks</t>
  </si>
  <si>
    <t>CA-2017-159863</t>
  </si>
  <si>
    <t>Fellowes Powershred HS-440 4-Sheet High Security Shredder-142027</t>
  </si>
  <si>
    <t>Fellowes Powershred HS-440 4-Sheet High Security Shredder</t>
  </si>
  <si>
    <t>CA-2017-135510</t>
  </si>
  <si>
    <t>Eldon ClusterMat Chair Mat with Cordless Antistatic Protection-142041</t>
  </si>
  <si>
    <t>CA-2017-160696</t>
  </si>
  <si>
    <t>White Envelopes, White Envelopes with Clear Poly Window-142377</t>
  </si>
  <si>
    <t>White Envelopes, White Envelopes with Clear Poly Window</t>
  </si>
  <si>
    <t>CA-2017-133977</t>
  </si>
  <si>
    <t>Avery 05222 Permanent Self-Adhesive File Folder Labels for Typewriters, on Rolls, White, 250/Roll-142055</t>
  </si>
  <si>
    <t>Avery 05222 Permanent Self-Adhesive File Folder Labels for Typewriters, on Rolls, White, 250/Roll</t>
  </si>
  <si>
    <t>CA-2017-117772</t>
  </si>
  <si>
    <t>Stiletto Hand Letter Openers-143532</t>
  </si>
  <si>
    <t>Stiletto Hand Letter Openers</t>
  </si>
  <si>
    <t>CA-2017-108672</t>
  </si>
  <si>
    <t>Hon 2111 Invitation Series Corner Table-143238</t>
  </si>
  <si>
    <t>Hon 2111 Invitation Series Corner Table</t>
  </si>
  <si>
    <t>US-2017-161347</t>
  </si>
  <si>
    <t>AT&amp;T 841000 Phone-144253</t>
  </si>
  <si>
    <t>AT&amp;T 841000 Phone</t>
  </si>
  <si>
    <t>CA-2017-120362</t>
  </si>
  <si>
    <t>3-ring staple pack-144386</t>
  </si>
  <si>
    <t>3-ring staple pack</t>
  </si>
  <si>
    <t>CA-2017-101154</t>
  </si>
  <si>
    <t>Staple remover-145485</t>
  </si>
  <si>
    <t>Staple remover</t>
  </si>
  <si>
    <t>CA-2017-132815</t>
  </si>
  <si>
    <t>Hot File 7-Pocket, Floor Stand-146038</t>
  </si>
  <si>
    <t>CA-2017-151470</t>
  </si>
  <si>
    <t>SAFCO Mobile Desk Side File, Wire Frame-147011</t>
  </si>
  <si>
    <t>SAFCO Mobile Desk Side File, Wire Frame</t>
  </si>
  <si>
    <t>CA-2017-127593</t>
  </si>
  <si>
    <t>Eldon Gobal File Keepers-147816</t>
  </si>
  <si>
    <t>Eldon Gobal File Keepers</t>
  </si>
  <si>
    <t>CA-2017-147816</t>
  </si>
  <si>
    <t>Acco Flexible ACCOHIDE Square Ring Data Binder, Dark Blue, 11 1/2" X 14" 7/8"-148705</t>
  </si>
  <si>
    <t>Acco Flexible ACCOHIDE Square Ring Data Binder, Dark Blue, 11 1/2" X 14" 7/8"</t>
  </si>
  <si>
    <t>CA-2017-111458</t>
  </si>
  <si>
    <t>OIC Binder Clips, Mini, 1/4" Capacity, Black-149993</t>
  </si>
  <si>
    <t>OIC Binder Clips, Mini, 1/4" Capacity, Black</t>
  </si>
  <si>
    <t>CA-2017-166135</t>
  </si>
  <si>
    <t>Tyvek  Top-Opening Peel &amp; Seel Envelopes, Plain White-150413</t>
  </si>
  <si>
    <t>Tyvek  Top-Opening Peel &amp; Seel Envelopes, Plain White</t>
  </si>
  <si>
    <t>CA-2017-125696</t>
  </si>
  <si>
    <t>Eldon Pizzaz Desk Accessories-150511</t>
  </si>
  <si>
    <t>Eldon Pizzaz Desk Accessories</t>
  </si>
  <si>
    <t>CA-2017-126137</t>
  </si>
  <si>
    <t>Acco Pressboard Covers with Storage Hooks, 14 7/8" x 11", Executive Red-151470</t>
  </si>
  <si>
    <t>Acco Pressboard Covers with Storage Hooks, 14 7/8" x 11", Executive Red</t>
  </si>
  <si>
    <t>CA-2017-161214</t>
  </si>
  <si>
    <t>Acco Perma 3000 Stacking Storage Drawers-151785</t>
  </si>
  <si>
    <t>Acco Perma 3000 Stacking Storage Drawers</t>
  </si>
  <si>
    <t>CA-2017-131352</t>
  </si>
  <si>
    <t>Elite 5" Scissors-152527</t>
  </si>
  <si>
    <t>Elite 5" Scissors</t>
  </si>
  <si>
    <t>CA-2017-134719</t>
  </si>
  <si>
    <t>Seth Thomas 8 1/2" Cubicle Clock-153325</t>
  </si>
  <si>
    <t>CA-2017-131128</t>
  </si>
  <si>
    <t>Newell 310-153794</t>
  </si>
  <si>
    <t>Newell 310</t>
  </si>
  <si>
    <t>CA-2017-149650</t>
  </si>
  <si>
    <t>Samsung Rugby III-154886</t>
  </si>
  <si>
    <t>Samsung Rugby III</t>
  </si>
  <si>
    <t>CA-2017-123673</t>
  </si>
  <si>
    <t>Xerox 1988-155124</t>
  </si>
  <si>
    <t>Xerox 1988</t>
  </si>
  <si>
    <t>CA-2017-145758</t>
  </si>
  <si>
    <t>Wilson Jones Easy Flow II Sheet Lifters-155453</t>
  </si>
  <si>
    <t>CA-2017-131457</t>
  </si>
  <si>
    <t>Acme Design Line 8" Stainless Steel Bent Scissors w/Champagne Handles, 3-1/8" Cut-156104</t>
  </si>
  <si>
    <t>Acme Design Line 8" Stainless Steel Bent Scissors w/Champagne Handles, 3-1/8" Cut</t>
  </si>
  <si>
    <t>CA-2017-141740</t>
  </si>
  <si>
    <t>Bush Cubix Collection Bookcases, Fully Assembled-156440</t>
  </si>
  <si>
    <t>Bush Cubix Collection Bookcases, Fully Assembled</t>
  </si>
  <si>
    <t>CA-2017-138625</t>
  </si>
  <si>
    <t>Global Deluxe Office Fabric Chairs-156853</t>
  </si>
  <si>
    <t>Global Deluxe Office Fabric Chairs</t>
  </si>
  <si>
    <t>CA-2017-130890</t>
  </si>
  <si>
    <t>I Need's 3d Hello Kitty Hybrid Silicone Case Cover for HTC One X 4g with 3d Hello Kitty Stylus Pen Green/pink-156755</t>
  </si>
  <si>
    <t>I Need's 3d Hello Kitty Hybrid Silicone Case Cover for HTC One X 4g with 3d Hello Kitty Stylus Pen Green/pink</t>
  </si>
  <si>
    <t>CA-2017-131072</t>
  </si>
  <si>
    <t>GBC Instant Report Kit-157805</t>
  </si>
  <si>
    <t>GBC Instant Report Kit</t>
  </si>
  <si>
    <t>CA-2017-118444</t>
  </si>
  <si>
    <t>NETGEAR N750 Dual Band Wi-Fi Gigabit Router-157434</t>
  </si>
  <si>
    <t>NETGEAR N750 Dual Band Wi-Fi Gigabit Router</t>
  </si>
  <si>
    <t>CA-2017-134922</t>
  </si>
  <si>
    <t>Portable Personal File Box-158659</t>
  </si>
  <si>
    <t>Portable Personal File Box</t>
  </si>
  <si>
    <t>CA-2017-102848</t>
  </si>
  <si>
    <t>Boston 19500 Mighty Mite Electric Pencil Sharpener-158351</t>
  </si>
  <si>
    <t>Boston 19500 Mighty Mite Electric Pencil Sharpener</t>
  </si>
  <si>
    <t>CA-2017-158554</t>
  </si>
  <si>
    <t>Global Armless Task Chair, Royal Blue-160213</t>
  </si>
  <si>
    <t>Global Armless Task Chair, Royal Blue</t>
  </si>
  <si>
    <t>CA-2017-130183</t>
  </si>
  <si>
    <t>Riverside Palais Royal Lawyers Bookcase, Royale Cherry Finish-161445</t>
  </si>
  <si>
    <t>Riverside Palais Royal Lawyers Bookcase, Royale Cherry Finish</t>
  </si>
  <si>
    <t>CA-2017-114503</t>
  </si>
  <si>
    <t>Cisco SPA508G-161242</t>
  </si>
  <si>
    <t>Cisco SPA508G</t>
  </si>
  <si>
    <t>CA-2017-161767</t>
  </si>
  <si>
    <t>Global Deluxe Office Fabric Chairs-163734</t>
  </si>
  <si>
    <t>US-2017-165449</t>
  </si>
  <si>
    <t>Accohide Poly Flexible Ring Binders-164539</t>
  </si>
  <si>
    <t>Accohide Poly Flexible Ring Binders</t>
  </si>
  <si>
    <t>CA-2017-163762</t>
  </si>
  <si>
    <t>Belkin 19" Center-Weighted Shelf, Gray-165554</t>
  </si>
  <si>
    <t>Belkin 19" Center-Weighted Shelf, Gray</t>
  </si>
  <si>
    <t>CA-2017-156328</t>
  </si>
  <si>
    <t>Avery Premier Heavy-Duty Binder with Round Locking Rings-166975</t>
  </si>
  <si>
    <t>CA-2017-158323</t>
  </si>
  <si>
    <t>Sony 64GB Class 10 Micro SDHC R40 Memory Card-167269</t>
  </si>
  <si>
    <t>Sony 64GB Class 10 Micro SDHC R40 Memory Card</t>
  </si>
  <si>
    <t>US-2017-145422</t>
  </si>
  <si>
    <t>Avaya 4621SW VoIP phone-168767</t>
  </si>
  <si>
    <t>Avaya 4621SW VoIP phone</t>
  </si>
  <si>
    <t>US-2017-149692</t>
  </si>
  <si>
    <t>Xerox 1960-100671</t>
  </si>
  <si>
    <t>Xerox 1960</t>
  </si>
  <si>
    <t>CA-2017-148628</t>
  </si>
  <si>
    <t>Xerox 219-100083</t>
  </si>
  <si>
    <t>Xerox 219</t>
  </si>
  <si>
    <t>CA-2017-156118</t>
  </si>
  <si>
    <t>Staples in misc. colors-101343</t>
  </si>
  <si>
    <t>Staples in misc. colors</t>
  </si>
  <si>
    <t>CA-2017-157035</t>
  </si>
  <si>
    <t>Xerox 201-101378</t>
  </si>
  <si>
    <t>Xerox 201</t>
  </si>
  <si>
    <t>CA-2017-150560</t>
  </si>
  <si>
    <t>GBC Recycled Grain Textured Covers-101938</t>
  </si>
  <si>
    <t>GBC Recycled Grain Textured Covers</t>
  </si>
  <si>
    <t>US-2017-120572</t>
  </si>
  <si>
    <t>Stackable Trays-101966</t>
  </si>
  <si>
    <t>Stackable Trays</t>
  </si>
  <si>
    <t>CA-2017-119592</t>
  </si>
  <si>
    <t>Maxell 4.7GB DVD+RW 3/Pack-102596</t>
  </si>
  <si>
    <t>Maxell 4.7GB DVD+RW 3/Pack</t>
  </si>
  <si>
    <t>CA-2017-107468</t>
  </si>
  <si>
    <t>Xerox 227-104689</t>
  </si>
  <si>
    <t>Xerox 227</t>
  </si>
  <si>
    <t>US-2017-120161</t>
  </si>
  <si>
    <t>Staple envelope-104983-104983</t>
  </si>
  <si>
    <t>Staple envelope-104983</t>
  </si>
  <si>
    <t>US-2017-137533</t>
  </si>
  <si>
    <t>Maxell CD-R Discs-105018</t>
  </si>
  <si>
    <t>Maxell CD-R Discs</t>
  </si>
  <si>
    <t>US-2017-137960</t>
  </si>
  <si>
    <t>Fellowes Super Stor/Drawer Files-105256</t>
  </si>
  <si>
    <t>Fellowes Super Stor/Drawer Files</t>
  </si>
  <si>
    <t>US-2017-110261</t>
  </si>
  <si>
    <t>Tenex Personal Filing Tote With Secure Closure Lid, Black/Frost-105284</t>
  </si>
  <si>
    <t>Tenex Personal Filing Tote With Secure Closure Lid, Black/Frost</t>
  </si>
  <si>
    <t>CA-2017-141754</t>
  </si>
  <si>
    <t>Rush Hierlooms Collection Rich Wood Bookcases-105354</t>
  </si>
  <si>
    <t>Rush Hierlooms Collection Rich Wood Bookcases</t>
  </si>
  <si>
    <t>CA-2017-158148</t>
  </si>
  <si>
    <t>ImationÂ Clip USBÂ flash driveÂ - 8 GB-105746</t>
  </si>
  <si>
    <t>ImationÂ Clip USBÂ flash driveÂ - 8 GB</t>
  </si>
  <si>
    <t>CA-2017-165414</t>
  </si>
  <si>
    <t>Atlantic Metals Mobile 3-Shelf Bookcases, Custom Colors-106075</t>
  </si>
  <si>
    <t>Atlantic Metals Mobile 3-Shelf Bookcases, Custom Colors</t>
  </si>
  <si>
    <t>CA-2017-127019</t>
  </si>
  <si>
    <t>Xerox 212-105900</t>
  </si>
  <si>
    <t>Xerox 212</t>
  </si>
  <si>
    <t>CA-2017-130855</t>
  </si>
  <si>
    <t>Logitech 910-002974 M325 Wireless Mouse for Web Scrolling-108364</t>
  </si>
  <si>
    <t>CA-2019-141887</t>
  </si>
  <si>
    <t>Carina Double Wide Media Storage Towers in Natural &amp; Black-108959</t>
  </si>
  <si>
    <t>Carina Double Wide Media Storage Towers in Natural &amp; Black</t>
  </si>
  <si>
    <t>CA-2019-166912</t>
  </si>
  <si>
    <t>Memorex Mini Travel Drive 64 GB USB 2.0 Flash Drive-109344</t>
  </si>
  <si>
    <t>Memorex Mini Travel Drive 64 GB USB 2.0 Flash Drive</t>
  </si>
  <si>
    <t>US-2019-155180</t>
  </si>
  <si>
    <t>Tyvek Interoffice Envelopes, 9 1/2" x 12 1/2", 100/Box-109925</t>
  </si>
  <si>
    <t>Tyvek Interoffice Envelopes, 9 1/2" x 12 1/2", 100/Box</t>
  </si>
  <si>
    <t>CA-2019-146437</t>
  </si>
  <si>
    <t>Honeywell Enviracaire Portable Air Cleaner for up to 8 x 10 Room-110086</t>
  </si>
  <si>
    <t>Honeywell Enviracaire Portable Air Cleaner for up to 8 x 10 Room</t>
  </si>
  <si>
    <t>CA-2019-164483</t>
  </si>
  <si>
    <t>Xerox 218-110499</t>
  </si>
  <si>
    <t>Xerox 218</t>
  </si>
  <si>
    <t>CA-2019-114944</t>
  </si>
  <si>
    <t>Iceberg Mobile Mega Data/Printer Cart-110366</t>
  </si>
  <si>
    <t>Iceberg Mobile Mega Data/Printer Cart</t>
  </si>
  <si>
    <t>CA-2019-158043</t>
  </si>
  <si>
    <t>GBC Pre-Punched Binding Paper, Plastic, White, 8-1/2" x 11"-111010</t>
  </si>
  <si>
    <t>GBC Pre-Punched Binding Paper, Plastic, White, 8-1/2" x 11"</t>
  </si>
  <si>
    <t>CA-2019-154067</t>
  </si>
  <si>
    <t>Wilson Jones Leather-Like Binders with DublLock Round Rings-111115</t>
  </si>
  <si>
    <t>Wilson Jones Leather-Like Binders with DublLock Round Rings</t>
  </si>
  <si>
    <t>CA-2019-161662</t>
  </si>
  <si>
    <t>Hon Deluxe Fabric Upholstered Stacking Chairs, Rounded Back-112025</t>
  </si>
  <si>
    <t>Hon Deluxe Fabric Upholstered Stacking Chairs, Rounded Back</t>
  </si>
  <si>
    <t>CA-2019-109344</t>
  </si>
  <si>
    <t>Staple remover-112060</t>
  </si>
  <si>
    <t>CA-2019-119025</t>
  </si>
  <si>
    <t>BIC Brite Liner Grip Highlighters, Assorted, 5/Pack-113082</t>
  </si>
  <si>
    <t>BIC Brite Liner Grip Highlighters, Assorted, 5/Pack</t>
  </si>
  <si>
    <t>CA-2019-165015</t>
  </si>
  <si>
    <t>Xerox 1945-113117</t>
  </si>
  <si>
    <t>Xerox 1945</t>
  </si>
  <si>
    <t>CA-2019-128706</t>
  </si>
  <si>
    <t>TOPS "Important Message" Pads, Canary, 4-1/4 x 5-1/2, 50 Sheets per Pad-113425</t>
  </si>
  <si>
    <t>TOPS "Important Message" Pads, Canary, 4-1/4 x 5-1/2, 50 Sheets per Pad</t>
  </si>
  <si>
    <t>CA-2019-164637</t>
  </si>
  <si>
    <t>Bush Advantage Collection Racetrack Conference Table-114713</t>
  </si>
  <si>
    <t>Bush Advantage Collection Racetrack Conference Table</t>
  </si>
  <si>
    <t>CA-2019-158358</t>
  </si>
  <si>
    <t>Recycled Interoffice Envelopes with String and Button Closure, 10 x 13-114538</t>
  </si>
  <si>
    <t>Recycled Interoffice Envelopes with String and Button Closure, 10 x 13</t>
  </si>
  <si>
    <t>CA-2019-154053</t>
  </si>
  <si>
    <t>SKILCRAFT Telephone Shoulder Rest, 2" x 6.5" x 2.5", Black-113817</t>
  </si>
  <si>
    <t>SKILCRAFT Telephone Shoulder Rest, 2" x 6.5" x 2.5", Black</t>
  </si>
  <si>
    <t>CA-2019-106306</t>
  </si>
  <si>
    <t>Sterilite Show Offs Storage Containers-114944</t>
  </si>
  <si>
    <t>Sterilite Show Offs Storage Containers</t>
  </si>
  <si>
    <t>CA-2019-153269</t>
  </si>
  <si>
    <t>Personal Folder Holder, Ebony-153269</t>
  </si>
  <si>
    <t>Personal Folder Holder, Ebony</t>
  </si>
  <si>
    <t>CA-2019-169663</t>
  </si>
  <si>
    <t>Kingston Digital DataTraveler 16GB USB 2.0-169663</t>
  </si>
  <si>
    <t>Kingston Digital DataTraveler 16GB USB 2.0</t>
  </si>
  <si>
    <t>CA-2019-108959</t>
  </si>
  <si>
    <t>Heavy-Duty E-Z-D Binders-115378</t>
  </si>
  <si>
    <t>Heavy-Duty E-Z-D Binders</t>
  </si>
  <si>
    <t>US-2019-128902</t>
  </si>
  <si>
    <t>Eldon Image Series Desk Accessories, Burgundy-115574</t>
  </si>
  <si>
    <t>Eldon Image Series Desk Accessories, Burgundy</t>
  </si>
  <si>
    <t>CA-2019-124793</t>
  </si>
  <si>
    <t>SAFCO Commercial Wire Shelving, Black-117121</t>
  </si>
  <si>
    <t>SAFCO Commercial Wire Shelving, Black</t>
  </si>
  <si>
    <t>CA-2019-133802</t>
  </si>
  <si>
    <t>Newell 341-117226</t>
  </si>
  <si>
    <t>Newell 341</t>
  </si>
  <si>
    <t>CA-2019-162082</t>
  </si>
  <si>
    <t>Safco Value Mate Series Steel Bookcases, Baked Enamel Finish on Steel, Gray-162082</t>
  </si>
  <si>
    <t>Safco Value Mate Series Steel Bookcases, Baked Enamel Finish on Steel, Gray</t>
  </si>
  <si>
    <t>US-2019-120929</t>
  </si>
  <si>
    <t>Pressboard Covers with Storage Hooks, 9 1/2" x 11", Light Blue-117849</t>
  </si>
  <si>
    <t>CA-2019-106383</t>
  </si>
  <si>
    <t>Southworth 100% Cotton The Best Paper-117912</t>
  </si>
  <si>
    <t>Southworth 100% Cotton The Best Paper</t>
  </si>
  <si>
    <t>CA-2019-107615</t>
  </si>
  <si>
    <t>BIC Liqua Brite Liner-118332</t>
  </si>
  <si>
    <t>BIC Liqua Brite Liner</t>
  </si>
  <si>
    <t>US-2019-164189</t>
  </si>
  <si>
    <t>Eldon Expressions Mahogany Wood Desk Collection-118570</t>
  </si>
  <si>
    <t>Eldon Expressions Mahogany Wood Desk Collection</t>
  </si>
  <si>
    <t>CA-2019-162901</t>
  </si>
  <si>
    <t>Standard Rollaway File with Lock-118913</t>
  </si>
  <si>
    <t>Standard Rollaway File with Lock</t>
  </si>
  <si>
    <t>CA-2019-128258</t>
  </si>
  <si>
    <t>Telephone Message Books with Fax/Mobile Section, 5 1/2" x 3 3/16"-118969</t>
  </si>
  <si>
    <t>Telephone Message Books with Fax/Mobile Section, 5 1/2" x 3 3/16"</t>
  </si>
  <si>
    <t>CA-2019-149902</t>
  </si>
  <si>
    <t>Novimex Fabric Task Chair-119165</t>
  </si>
  <si>
    <t>CA-2019-162222</t>
  </si>
  <si>
    <t>Plantronics CS510 - Over-the-Head monaural Wireless Headset System-119683</t>
  </si>
  <si>
    <t>Plantronics CS510 - Over-the-Head monaural Wireless Headset System</t>
  </si>
  <si>
    <t>CA-2019-117681</t>
  </si>
  <si>
    <t>Avery 502-120859</t>
  </si>
  <si>
    <t>Avery 502</t>
  </si>
  <si>
    <t>CA-2019-109652</t>
  </si>
  <si>
    <t>Electrix Halogen Magnifier Lamp-121020</t>
  </si>
  <si>
    <t>Electrix Halogen Magnifier Lamp</t>
  </si>
  <si>
    <t>CA-2019-152800</t>
  </si>
  <si>
    <t>Rosewill 107 Normal Keys USB Wired Standard Keyboard-121377</t>
  </si>
  <si>
    <t>Rosewill 107 Normal Keys USB Wired Standard Keyboard</t>
  </si>
  <si>
    <t>CA-2019-166625</t>
  </si>
  <si>
    <t>Logitech G35 7.1-Channel Surround Sound Headset-121958</t>
  </si>
  <si>
    <t>Logitech G35 7.1-Channel Surround Sound Headset</t>
  </si>
  <si>
    <t>US-2019-164588</t>
  </si>
  <si>
    <t>IBM Multi-Purpose Copy Paper, 8 1/2 x 11", Case-122448</t>
  </si>
  <si>
    <t>IBM Multi-Purpose Copy Paper, 8 1/2 x 11", Case</t>
  </si>
  <si>
    <t>US-2019-159415</t>
  </si>
  <si>
    <t>Global Adaptabilities Conference Tables-122581</t>
  </si>
  <si>
    <t>Global Adaptabilities Conference Tables</t>
  </si>
  <si>
    <t>CA-2019-137204</t>
  </si>
  <si>
    <t>Howard Miller 11-1/2" Diameter Grantwood Wall Clock-124100</t>
  </si>
  <si>
    <t>Howard Miller 11-1/2" Diameter Grantwood Wall Clock</t>
  </si>
  <si>
    <t>CA-2019-161816</t>
  </si>
  <si>
    <t>Nortel Meridian M3904 Professional Digital phone-161816</t>
  </si>
  <si>
    <t>Nortel Meridian M3904 Professional Digital phone</t>
  </si>
  <si>
    <t>US-2019-120460</t>
  </si>
  <si>
    <t>GE 2-Jack Phone Line Splitter-124681</t>
  </si>
  <si>
    <t>GE 2-Jack Phone Line Splitter</t>
  </si>
  <si>
    <t>CA-2019-148698</t>
  </si>
  <si>
    <t>Kensington 4 Outlet MasterPiece Compact Power Control Center-124793</t>
  </si>
  <si>
    <t>Kensington 4 Outlet MasterPiece Compact Power Control Center</t>
  </si>
  <si>
    <t>CA-2019-154060</t>
  </si>
  <si>
    <t>Fiskars Home &amp; Office Scissors-125017</t>
  </si>
  <si>
    <t>Fiskars Home &amp; Office Scissors</t>
  </si>
  <si>
    <t>CA-2019-160500</t>
  </si>
  <si>
    <t>Computer Printout Index Tabs-160500</t>
  </si>
  <si>
    <t>Computer Printout Index Tabs</t>
  </si>
  <si>
    <t>CA-2019-169166</t>
  </si>
  <si>
    <t>Boston 16801 Nautilus Battery Pencil Sharpener-126284</t>
  </si>
  <si>
    <t>Boston 16801 Nautilus Battery Pencil Sharpener</t>
  </si>
  <si>
    <t>CA-2019-117625</t>
  </si>
  <si>
    <t>GBC Laser Imprintable Binding System Covers, Desert Sand-126613</t>
  </si>
  <si>
    <t>GBC Laser Imprintable Binding System Covers, Desert Sand</t>
  </si>
  <si>
    <t>CA-2019-162733</t>
  </si>
  <si>
    <t>Quality Park Security Envelopes-126858</t>
  </si>
  <si>
    <t>Quality Park Security Envelopes</t>
  </si>
  <si>
    <t>CA-2019-152408</t>
  </si>
  <si>
    <t>Polycom SoundPoint Pro SE-225 Corded phone-127670</t>
  </si>
  <si>
    <t>Polycom SoundPoint Pro SE-225 Corded phone</t>
  </si>
  <si>
    <t>CA-2019-141180</t>
  </si>
  <si>
    <t>ClearOne Communications CHAT 70 OCÂ Speaker Phone-127649</t>
  </si>
  <si>
    <t>ClearOne Communications CHAT 70 OCÂ Speaker Phone</t>
  </si>
  <si>
    <t>CA-2019-122133</t>
  </si>
  <si>
    <t>Advantus Panel Wall Certificate Holder - 8.5x11-127775</t>
  </si>
  <si>
    <t>US-2019-152835</t>
  </si>
  <si>
    <t>Alliance Super-Size Bands, Assorted Sizes-128307</t>
  </si>
  <si>
    <t>Alliance Super-Size Bands, Assorted Sizes</t>
  </si>
  <si>
    <t>CA-2019-105256</t>
  </si>
  <si>
    <t>Texas Instruments TI-34 Scientific Calculator-128594</t>
  </si>
  <si>
    <t>Texas Instruments TI-34 Scientific Calculator</t>
  </si>
  <si>
    <t>US-2019-139486</t>
  </si>
  <si>
    <t>Motorola HK250 Universal Bluetooth Headset-139486</t>
  </si>
  <si>
    <t>Motorola HK250 Universal Bluetooth Headset</t>
  </si>
  <si>
    <t>CA-2019-159653</t>
  </si>
  <si>
    <t>Samsung Replacement EH64AVFWE Premium Headset-129847</t>
  </si>
  <si>
    <t>Samsung Replacement EH64AVFWE Premium Headset</t>
  </si>
  <si>
    <t>CA-2019-149237</t>
  </si>
  <si>
    <t>Logitech Trackman Marble Mouse-130078</t>
  </si>
  <si>
    <t>Logitech Trackman Marble Mouse</t>
  </si>
  <si>
    <t>CA-2019-129728</t>
  </si>
  <si>
    <t>Eureka The Boss Plus 12-Amp Hard Box Upright Vacuum, Red-130484</t>
  </si>
  <si>
    <t>Eureka The Boss Plus 12-Amp Hard Box Upright Vacuum, Red</t>
  </si>
  <si>
    <t>CA-2019-108350</t>
  </si>
  <si>
    <t>Faber Castell Col-Erase Pencils-132066</t>
  </si>
  <si>
    <t>Faber Castell Col-Erase Pencils</t>
  </si>
  <si>
    <t>CA-2019-107475</t>
  </si>
  <si>
    <t>Xerox 1886-132479</t>
  </si>
  <si>
    <t>Xerox 1886</t>
  </si>
  <si>
    <t>CA-2019-147368</t>
  </si>
  <si>
    <t>HP Standard 104 key PS/2 Keyboard-132731</t>
  </si>
  <si>
    <t>HP Standard 104 key PS/2 Keyboard</t>
  </si>
  <si>
    <t>CA-2019-121993</t>
  </si>
  <si>
    <t>Belkin SportFit Armband For iPhone 5s/5c, Fuchsia-133144</t>
  </si>
  <si>
    <t>Belkin SportFit Armband For iPhone 5s/5c, Fuchsia</t>
  </si>
  <si>
    <t>CA-2019-127775</t>
  </si>
  <si>
    <t>JM Magazine Binder-133669</t>
  </si>
  <si>
    <t>JM Magazine Binder</t>
  </si>
  <si>
    <t>CA-2019-103730</t>
  </si>
  <si>
    <t>Artistic Insta-Plaque-103730</t>
  </si>
  <si>
    <t>Artistic Insta-Plaque</t>
  </si>
  <si>
    <t>CA-2019-107216</t>
  </si>
  <si>
    <t>Newell 326-107216</t>
  </si>
  <si>
    <t>Newell 326</t>
  </si>
  <si>
    <t>CA-2019-155747</t>
  </si>
  <si>
    <t>Electrix Architect's Clamp-On Swing Arm Lamp, Black-134376</t>
  </si>
  <si>
    <t>Electrix Architect's Clamp-On Swing Arm Lamp, Black</t>
  </si>
  <si>
    <t>US-2019-108497</t>
  </si>
  <si>
    <t>Mediabridge Sport Armband iPhone 5s-134425</t>
  </si>
  <si>
    <t>Mediabridge Sport Armband iPhone 5s</t>
  </si>
  <si>
    <t>CA-2019-152765</t>
  </si>
  <si>
    <t>Cardinal Slant-D Ring Binder, Heavy Gauge Vinyl-134544</t>
  </si>
  <si>
    <t>Cardinal Slant-D Ring Binder, Heavy Gauge Vinyl</t>
  </si>
  <si>
    <t>CA-2019-159345</t>
  </si>
  <si>
    <t>Letter Slitter-135965</t>
  </si>
  <si>
    <t>Letter Slitter</t>
  </si>
  <si>
    <t>CA-2019-129861</t>
  </si>
  <si>
    <t>C-Line Magnetic Cubicle Keepers, Clear Polypropylene-135594</t>
  </si>
  <si>
    <t>C-Line Magnetic Cubicle Keepers, Clear Polypropylene</t>
  </si>
  <si>
    <t>CA-2019-141397</t>
  </si>
  <si>
    <t>Xerox 1898-141397</t>
  </si>
  <si>
    <t>Xerox 1898</t>
  </si>
  <si>
    <t>CA-2019-118913</t>
  </si>
  <si>
    <t>Xerox 1895-136924</t>
  </si>
  <si>
    <t>Xerox 1895</t>
  </si>
  <si>
    <t>CA-2019-119445</t>
  </si>
  <si>
    <t>SAFCO Commercial Wire Shelving, Black-137127</t>
  </si>
  <si>
    <t>CA-2019-114951</t>
  </si>
  <si>
    <t>RSVP Cards &amp; Envelopes, Blank White, 8-1/2" X 11", 24 Cards/25 Envelopes/Set-136994</t>
  </si>
  <si>
    <t>RSVP Cards &amp; Envelopes, Blank White, 8-1/2" X 11", 24 Cards/25 Envelopes/Set</t>
  </si>
  <si>
    <t>CA-2019-149314</t>
  </si>
  <si>
    <t>Avery 513-138282</t>
  </si>
  <si>
    <t>Avery 513</t>
  </si>
  <si>
    <t>CA-2019-102813</t>
  </si>
  <si>
    <t>Global Airflow Leather Mesh Back Chair, Black-102813</t>
  </si>
  <si>
    <t>Global Airflow Leather Mesh Back Chair, Black</t>
  </si>
  <si>
    <t>CA-2019-100965</t>
  </si>
  <si>
    <t>Avery Self-Adhesive Photo Pockets for Polaroid Photos-138667</t>
  </si>
  <si>
    <t>Avery Self-Adhesive Photo Pockets for Polaroid Photos</t>
  </si>
  <si>
    <t>CA-2019-134222</t>
  </si>
  <si>
    <t>Bush Andora Conference Table, Maple/Graphite Gray Finish-139409</t>
  </si>
  <si>
    <t>Bush Andora Conference Table, Maple/Graphite Gray Finish</t>
  </si>
  <si>
    <t>CA-2019-120190</t>
  </si>
  <si>
    <t>Avery 50-139997</t>
  </si>
  <si>
    <t>Avery 50</t>
  </si>
  <si>
    <t>CA-2019-101343</t>
  </si>
  <si>
    <t>#10 Self-Seal White Envelopes-140438</t>
  </si>
  <si>
    <t>#10 Self-Seal White Envelopes</t>
  </si>
  <si>
    <t>CA-2019-137939</t>
  </si>
  <si>
    <t>Chromcraft Rectangular Conference Tables-140746</t>
  </si>
  <si>
    <t>Chromcraft Rectangular Conference Tables</t>
  </si>
  <si>
    <t>CA-2019-146521</t>
  </si>
  <si>
    <t>Xerox 1982-140774</t>
  </si>
  <si>
    <t>Xerox 1982</t>
  </si>
  <si>
    <t>CA-2019-112585</t>
  </si>
  <si>
    <t>Cherry 142-key Programmable Keyboard-144400</t>
  </si>
  <si>
    <t>Cherry 142-key Programmable Keyboard</t>
  </si>
  <si>
    <t>CA-2019-112025</t>
  </si>
  <si>
    <t>Storex Dura Pro Binders-144337</t>
  </si>
  <si>
    <t>Storex Dura Pro Binders</t>
  </si>
  <si>
    <t>US-2019-128195</t>
  </si>
  <si>
    <t>Plantronics Audio 478 Stereo USB Headset-144792</t>
  </si>
  <si>
    <t>Plantronics Audio 478 Stereo USB Headset</t>
  </si>
  <si>
    <t>CA-2019-158869</t>
  </si>
  <si>
    <t>3M Polarizing Light Filter Sleeves-145240</t>
  </si>
  <si>
    <t>3M Polarizing Light Filter Sleeves</t>
  </si>
  <si>
    <t>CA-2019-148516</t>
  </si>
  <si>
    <t>Wilson Jones Ledger-Size, Piano-Hinge Binder, 2", Blue-145247</t>
  </si>
  <si>
    <t>Wilson Jones Ledger-Size, Piano-Hinge Binder, 2", Blue</t>
  </si>
  <si>
    <t>CA-2019-169026</t>
  </si>
  <si>
    <t>Safco Steel Mobile File Cart-145499</t>
  </si>
  <si>
    <t>Safco Steel Mobile File Cart</t>
  </si>
  <si>
    <t>CA-2019-118073</t>
  </si>
  <si>
    <t>Hon Every-Day Series Multi-Task Chairs-145611</t>
  </si>
  <si>
    <t>CA-2019-125843</t>
  </si>
  <si>
    <t>Avery Heavy-Duty EZD  Binder With Locking Rings-125843</t>
  </si>
  <si>
    <t>Avery Heavy-Duty EZD  Binder With Locking Rings</t>
  </si>
  <si>
    <t>CA-2019-153353</t>
  </si>
  <si>
    <t>BIC Liqua Brite Liner-147368</t>
  </si>
  <si>
    <t>CA-2019-113551</t>
  </si>
  <si>
    <t>GBC Wire Binding Combs-113551</t>
  </si>
  <si>
    <t>GBC Wire Binding Combs</t>
  </si>
  <si>
    <t>US-2019-148334</t>
  </si>
  <si>
    <t>Samsung HM1900 Bluetooth Headset-148096</t>
  </si>
  <si>
    <t>Samsung HM1900 Bluetooth Headset</t>
  </si>
  <si>
    <t>CA-2019-152289</t>
  </si>
  <si>
    <t>Logitech G700s Rechargeable Gaming Mouse-152289</t>
  </si>
  <si>
    <t>Logitech G700s Rechargeable Gaming Mouse</t>
  </si>
  <si>
    <t>CA-2019-148201</t>
  </si>
  <si>
    <t>Newell 348-148516</t>
  </si>
  <si>
    <t>Newell 348</t>
  </si>
  <si>
    <t>CA-2019-163174</t>
  </si>
  <si>
    <t>Xerox 1975-148698</t>
  </si>
  <si>
    <t>Xerox 1975</t>
  </si>
  <si>
    <t>CA-2019-145303</t>
  </si>
  <si>
    <t>Angle-D Binders with Locking Rings, Label Holders-145303</t>
  </si>
  <si>
    <t>Angle-D Binders with Locking Rings, Label Holders</t>
  </si>
  <si>
    <t>US-2019-104815</t>
  </si>
  <si>
    <t>High-Back Leather Manager's Chair-150077</t>
  </si>
  <si>
    <t>High-Back Leather Manager's Chair</t>
  </si>
  <si>
    <t>CA-2019-158099</t>
  </si>
  <si>
    <t>GBC Ibimaster 500 Manual ProClick Binding System-158099</t>
  </si>
  <si>
    <t>GBC Ibimaster 500 Manual ProClick Binding System</t>
  </si>
  <si>
    <t>CA-2019-117604</t>
  </si>
  <si>
    <t>GBC White Gloss Covers, Plain Front-150343</t>
  </si>
  <si>
    <t>GBC White Gloss Covers, Plain Front</t>
  </si>
  <si>
    <t>CA-2019-139409</t>
  </si>
  <si>
    <t>GBC Clear Cover, 8-1/2 x 11, unpunched, 25 covers per pack-151169</t>
  </si>
  <si>
    <t>GBC Clear Cover, 8-1/2 x 11, unpunched, 25 covers per pack</t>
  </si>
  <si>
    <t>CA-2019-110366</t>
  </si>
  <si>
    <t>Rogers Handheld Barrel Pencil Sharpener-150889</t>
  </si>
  <si>
    <t>Rogers Handheld Barrel Pencil Sharpener</t>
  </si>
  <si>
    <t>CA-2019-153101</t>
  </si>
  <si>
    <t>Bush Westfield Collection Bookcases, Dark Cherry Finish-152520</t>
  </si>
  <si>
    <t>Bush Westfield Collection Bookcases, Dark Cherry Finish</t>
  </si>
  <si>
    <t>CA-2019-131499</t>
  </si>
  <si>
    <t>Ibico EB-19 Dual Function Manual Binding System-152457</t>
  </si>
  <si>
    <t>Ibico EB-19 Dual Function Manual Binding System</t>
  </si>
  <si>
    <t>CA-2019-164350</t>
  </si>
  <si>
    <t>Advantus Push Pins-152940</t>
  </si>
  <si>
    <t>Advantus Push Pins</t>
  </si>
  <si>
    <t>CA-2019-130225</t>
  </si>
  <si>
    <t>AT&amp;T CL83451 4-Handset Telephone-153101</t>
  </si>
  <si>
    <t>AT&amp;T CL83451 4-Handset Telephone</t>
  </si>
  <si>
    <t>CA-2019-113082</t>
  </si>
  <si>
    <t>Holmes HEPA Air Purifier-153185</t>
  </si>
  <si>
    <t>Holmes HEPA Air Purifier</t>
  </si>
  <si>
    <t>CA-2019-162159</t>
  </si>
  <si>
    <t>Bretford â€œJust In Timeâ€ Height-Adjustable Multi-Task Work Tables-154067</t>
  </si>
  <si>
    <t>Bretford â€œJust In Timeâ€ Height-Adjustable Multi-Task Work Tables</t>
  </si>
  <si>
    <t>CA-2019-134208</t>
  </si>
  <si>
    <t>GBC Ibimaster 500 Manual ProClick Binding System-154536</t>
  </si>
  <si>
    <t>US-2019-148957</t>
  </si>
  <si>
    <t>Eldon 200 Class Desk Accessories-154662</t>
  </si>
  <si>
    <t>Eldon 200 Class Desk Accessories</t>
  </si>
  <si>
    <t>CA-2019-157511</t>
  </si>
  <si>
    <t>Eldon Pizzaz Desk Accessories-157511</t>
  </si>
  <si>
    <t>CA-2019-168354</t>
  </si>
  <si>
    <t>Hot File 7-Pocket, Floor Stand-168354</t>
  </si>
  <si>
    <t>CA-2019-168557</t>
  </si>
  <si>
    <t>Avery 3 1/2" Diskette Storage Pages, 10/Pack-155439</t>
  </si>
  <si>
    <t>Avery 3 1/2" Diskette Storage Pages, 10/Pack</t>
  </si>
  <si>
    <t>CA-2019-145611</t>
  </si>
  <si>
    <t>Xerox 1952-155488</t>
  </si>
  <si>
    <t>Xerox 1952</t>
  </si>
  <si>
    <t>CA-2019-120257</t>
  </si>
  <si>
    <t>SAFCO Boltless Steel Shelving-155747</t>
  </si>
  <si>
    <t>SAFCO Boltless Steel Shelving</t>
  </si>
  <si>
    <t>CA-2019-135965</t>
  </si>
  <si>
    <t>SAFCO PlanMaster Heigh-Adjustable Drafting Table Base, 43w x 30d x 30-37h, Black-156139</t>
  </si>
  <si>
    <t>SAFCO PlanMaster Heigh-Adjustable Drafting Table Base, 43w x 30d x 30-37h, Black</t>
  </si>
  <si>
    <t>CA-2019-125724</t>
  </si>
  <si>
    <t>Xerox 1911-155845</t>
  </si>
  <si>
    <t>Xerox 1911</t>
  </si>
  <si>
    <t>US-2019-155404</t>
  </si>
  <si>
    <t>3M Hangers With Command Adhesive-157364</t>
  </si>
  <si>
    <t>3M Hangers With Command Adhesive</t>
  </si>
  <si>
    <t>CA-2019-106656</t>
  </si>
  <si>
    <t>Poly String Tie Envelopes-106656</t>
  </si>
  <si>
    <t>Poly String Tie Envelopes</t>
  </si>
  <si>
    <t>CA-2019-110730</t>
  </si>
  <si>
    <t>Hand-Finished Solid Wood Document Frame-157714</t>
  </si>
  <si>
    <t>Hand-Finished Solid Wood Document Frame</t>
  </si>
  <si>
    <t>CA-2019-132479</t>
  </si>
  <si>
    <t>Staples in misc. colors-157742</t>
  </si>
  <si>
    <t>CA-2019-154235</t>
  </si>
  <si>
    <t>Cardinal Slant-D Ring Binder, Heavy Gauge Vinyl-157763</t>
  </si>
  <si>
    <t>CA-2019-165820</t>
  </si>
  <si>
    <t>Fluorescent Highlighters by Dixon-158610</t>
  </si>
  <si>
    <t>Fluorescent Highlighters by Dixon</t>
  </si>
  <si>
    <t>US-2019-146794</t>
  </si>
  <si>
    <t>Staple envelope-158869-158869</t>
  </si>
  <si>
    <t>Staple envelope-158869</t>
  </si>
  <si>
    <t>CA-2019-163202</t>
  </si>
  <si>
    <t>Telephone Message Books with Fax/Mobile Section, 5 1/2" x 3 3/16"-159639</t>
  </si>
  <si>
    <t>US-2019-134656</t>
  </si>
  <si>
    <t>Xerox 19-159695</t>
  </si>
  <si>
    <t>Xerox 19</t>
  </si>
  <si>
    <t>CA-2019-161781</t>
  </si>
  <si>
    <t>Panasonic KX-TG9541B DECT 6.0 Digital 2-Line Expandable Cordless Phone With Digital Answering System-160241</t>
  </si>
  <si>
    <t>Panasonic KX-TG9541B DECT 6.0 Digital 2-Line Expandable Cordless Phone With Digital Answering System</t>
  </si>
  <si>
    <t>CA-2019-108644</t>
  </si>
  <si>
    <t>Tennsco Single-Tier Lockers-160598</t>
  </si>
  <si>
    <t>CA-2019-157686</t>
  </si>
  <si>
    <t>Xerox 192-161025</t>
  </si>
  <si>
    <t>Xerox 192</t>
  </si>
  <si>
    <t>CA-2019-140634</t>
  </si>
  <si>
    <t>DAX Executive Solid Wood Document Frame, Desktop or Hang, Mahogany, 5 x 7-161543</t>
  </si>
  <si>
    <t>DAX Executive Solid Wood Document Frame, Desktop or Hang, Mahogany, 5 x 7</t>
  </si>
  <si>
    <t>CA-2019-144939</t>
  </si>
  <si>
    <t>Newell 311-161662</t>
  </si>
  <si>
    <t>Newell 311</t>
  </si>
  <si>
    <t>CA-2019-103919</t>
  </si>
  <si>
    <t>JBL Micro Wireless Portable Bluetooth Speaker-161389</t>
  </si>
  <si>
    <t>JBL Micro Wireless Portable Bluetooth Speaker</t>
  </si>
  <si>
    <t>CA-2019-131296</t>
  </si>
  <si>
    <t>Plantronics Audio 478 Stereo USB Headset-161781</t>
  </si>
  <si>
    <t>CA-2019-163216</t>
  </si>
  <si>
    <t>Xerox 2-162348</t>
  </si>
  <si>
    <t>Xerox 2</t>
  </si>
  <si>
    <t>CA-2019-126627</t>
  </si>
  <si>
    <t>Eldon 400 Class Desk Accessories, Black Carbon-126627</t>
  </si>
  <si>
    <t>Eldon 400 Class Desk Accessories, Black Carbon</t>
  </si>
  <si>
    <t>CA-2019-125220</t>
  </si>
  <si>
    <t>Atlantic Metals Mobile 5-Shelf Bookcases, Custom Colors-162943</t>
  </si>
  <si>
    <t>Atlantic Metals Mobile 5-Shelf Bookcases, Custom Colors</t>
  </si>
  <si>
    <t>US-2019-108098</t>
  </si>
  <si>
    <t>Grandstream GXP1160 VoIP phone-163048</t>
  </si>
  <si>
    <t>Grandstream GXP1160 VoIP phone</t>
  </si>
  <si>
    <t>CA-2019-152688</t>
  </si>
  <si>
    <t>O'Sullivan Living Dimensions 2-Shelf Bookcases-152688</t>
  </si>
  <si>
    <t>O'Sullivan Living Dimensions 2-Shelf Bookcases</t>
  </si>
  <si>
    <t>US-2019-159856</t>
  </si>
  <si>
    <t>Barrel Sharpener-163573</t>
  </si>
  <si>
    <t>Barrel Sharpener</t>
  </si>
  <si>
    <t>CA-2019-106341</t>
  </si>
  <si>
    <t>Avery 493-163755</t>
  </si>
  <si>
    <t>Avery 493</t>
  </si>
  <si>
    <t>CA-2019-139549</t>
  </si>
  <si>
    <t>Rubber Band Ball-163937</t>
  </si>
  <si>
    <t>Rubber Band Ball</t>
  </si>
  <si>
    <t>US-2019-116400</t>
  </si>
  <si>
    <t>Tripp Lite TLP810NET Broadband Surge for Modem/Fax-164889</t>
  </si>
  <si>
    <t>Tripp Lite TLP810NET Broadband Surge for Modem/Fax</t>
  </si>
  <si>
    <t>CA-2019-121020</t>
  </si>
  <si>
    <t>Howard Miller 13-3/4" Diameter Brushed Chrome Round Wall Clock-165015</t>
  </si>
  <si>
    <t>Howard Miller 13-3/4" Diameter Brushed Chrome Round Wall Clock</t>
  </si>
  <si>
    <t>CA-2019-118311</t>
  </si>
  <si>
    <t>It's Hot Message Books with Stickers, 2 3/4" x 5"-164938</t>
  </si>
  <si>
    <t>It's Hot Message Books with Stickers, 2 3/4" x 5"</t>
  </si>
  <si>
    <t>CA-2019-153318</t>
  </si>
  <si>
    <t>Logitech Wireless Marathon Mouse M705-165561</t>
  </si>
  <si>
    <t>Logitech Wireless Marathon Mouse M705</t>
  </si>
  <si>
    <t>CA-2019-125815</t>
  </si>
  <si>
    <t>Westinghouse Clip-On Gooseneck Lamps-166275</t>
  </si>
  <si>
    <t>Westinghouse Clip-On Gooseneck Lamps</t>
  </si>
  <si>
    <t>CA-2019-140641</t>
  </si>
  <si>
    <t>Green Canvas Binder for 8-1/2" x 14" Sheets-166373</t>
  </si>
  <si>
    <t>Green Canvas Binder for 8-1/2" x 14" Sheets</t>
  </si>
  <si>
    <t>CA-2019-144218</t>
  </si>
  <si>
    <t>Panasonic KX T7736-B Digital phone-166912</t>
  </si>
  <si>
    <t>Panasonic KX T7736-B Digital phone</t>
  </si>
  <si>
    <t>CA-2019-100671</t>
  </si>
  <si>
    <t>Logitech Wireless Headset H600 Over-The-Head Design-167416</t>
  </si>
  <si>
    <t>Logitech Wireless Headset H600 Over-The-Head Design</t>
  </si>
  <si>
    <t>CA-2019-129196</t>
  </si>
  <si>
    <t>GBC Plasticlear Binding Covers-167584</t>
  </si>
  <si>
    <t>GBC Plasticlear Binding Covers</t>
  </si>
  <si>
    <t>CA-2019-125094</t>
  </si>
  <si>
    <t>Howard Miller 13-1/2" Diameter Rosebrook Wall Clock-168774</t>
  </si>
  <si>
    <t>Howard Miller 13-1/2" Diameter Rosebrook Wall Clock</t>
  </si>
  <si>
    <t>CA-2019-157280</t>
  </si>
  <si>
    <t>3M Polarizing Task Lamp with Clamp Arm, Light Gray-157280</t>
  </si>
  <si>
    <t>3M Polarizing Task Lamp with Clamp Arm, Light Gray</t>
  </si>
  <si>
    <t>CA-2019-109925</t>
  </si>
  <si>
    <t>Eldon Expressions Wood Desk Accessories, Oak-169215</t>
  </si>
  <si>
    <t>Eldon Expressions Wood Desk Accessories, Oak</t>
  </si>
  <si>
    <t>CA-2019-168830</t>
  </si>
  <si>
    <t>GBC Plastic Binding Combs-104906</t>
  </si>
  <si>
    <t>Best Few</t>
  </si>
  <si>
    <t>Open</t>
  </si>
  <si>
    <t>GBC Plastic Binding Combs</t>
  </si>
  <si>
    <t>CA-2019-144554</t>
  </si>
  <si>
    <t>Eldon Expressions Punched Metal &amp; Wood Desk Accessories, Black &amp; Cherry-101077</t>
  </si>
  <si>
    <t>Eldon Expressions Punched Metal &amp; Wood Desk Accessories, Black &amp; Cherry</t>
  </si>
  <si>
    <t>CA-2019-147585</t>
  </si>
  <si>
    <t>Avery Durable Poly Binders-101637</t>
  </si>
  <si>
    <t>In the Funnel</t>
  </si>
  <si>
    <t>Avery Durable Poly Binders</t>
  </si>
  <si>
    <t>CA-2019-137736</t>
  </si>
  <si>
    <t>Acme Kleencut Forged Steel Scissors-105851</t>
  </si>
  <si>
    <t>Above the Funnel</t>
  </si>
  <si>
    <t>Acme Kleencut Forged Steel Scissors</t>
  </si>
  <si>
    <t>CA-2019-155488</t>
  </si>
  <si>
    <t>Global Ergonomic Managers Chair-118521</t>
  </si>
  <si>
    <t>Global Ergonomic Managers Chair</t>
  </si>
  <si>
    <t>CA-2019-128972</t>
  </si>
  <si>
    <t>Xerox 1977-116288</t>
  </si>
  <si>
    <t>Xerox 1977</t>
  </si>
  <si>
    <t>CA-2019-134691</t>
  </si>
  <si>
    <t>Bush Andora Conference Table, Maple/Graphite Gray Finish-119452</t>
  </si>
  <si>
    <t>US-2019-144351</t>
  </si>
  <si>
    <t>Eldon Cleatmat Plus Chair Mats for High Pile Carpets-121706</t>
  </si>
  <si>
    <t>Eldon Cleatmat Plus Chair Mats for High Pile Carpets</t>
  </si>
  <si>
    <t>US-2019-112970</t>
  </si>
  <si>
    <t>Newell 320-120719</t>
  </si>
  <si>
    <t>Newell 320</t>
  </si>
  <si>
    <t>CA-2019-148740</t>
  </si>
  <si>
    <t>Xerox 1896-122308</t>
  </si>
  <si>
    <t>Xerox 1896</t>
  </si>
  <si>
    <t>CA-2019-154508</t>
  </si>
  <si>
    <t>Staple envelope-122994-122994</t>
  </si>
  <si>
    <t>Staple envelope-122994</t>
  </si>
  <si>
    <t>CA-2019-103464</t>
  </si>
  <si>
    <t>GBC White Gloss Covers, Plain Front-124114</t>
  </si>
  <si>
    <t>CA-2019-115378</t>
  </si>
  <si>
    <t>LogitechÂ LS21 Speaker System - PC Multimedia - 2.1-CH - Wired-125101</t>
  </si>
  <si>
    <t>LogitechÂ LS21 Speaker System - PC Multimedia - 2.1-CH - Wired</t>
  </si>
  <si>
    <t>CA-2019-136812</t>
  </si>
  <si>
    <t>Office Star - Mid Back Dual function Ergonomic High Back Chair with 2-Way Adjustable Arms-125878</t>
  </si>
  <si>
    <t>Office Star - Mid Back Dual function Ergonomic High Back Chair with 2-Way Adjustable Arms</t>
  </si>
  <si>
    <t>CA-2019-121356</t>
  </si>
  <si>
    <t>Decoflex Hanging Personal Folder File, Blue-131653</t>
  </si>
  <si>
    <t>Decoflex Hanging Personal Folder File, Blue</t>
  </si>
  <si>
    <t>CA-2019-123806</t>
  </si>
  <si>
    <t>Prismacolor Color Pencil Set-144463</t>
  </si>
  <si>
    <t>Prismacolor Color Pencil Set</t>
  </si>
  <si>
    <t>CA-2019-124485</t>
  </si>
  <si>
    <t>Acco PRESSTEX Data Binder with Storage Hooks, Light Blue, 9 1/2" X 11"-124485</t>
  </si>
  <si>
    <t>Acco PRESSTEX Data Binder with Storage Hooks, Light Blue, 9 1/2" X 11"</t>
  </si>
  <si>
    <t>CA-2019-165470</t>
  </si>
  <si>
    <t>Bestar Classic Bookcase-147753</t>
  </si>
  <si>
    <t>Bestar Classic Bookcase</t>
  </si>
  <si>
    <t>CA-2019-106915</t>
  </si>
  <si>
    <t>GBC Twin Loop Wire Binding Elements-148999</t>
  </si>
  <si>
    <t>GBC Twin Loop Wire Binding Elements</t>
  </si>
  <si>
    <t>US-2019-126893</t>
  </si>
  <si>
    <t>Things To Do Today Spiral Book-150602</t>
  </si>
  <si>
    <t>Things To Do Today Spiral Book</t>
  </si>
  <si>
    <t>CA-2019-117583</t>
  </si>
  <si>
    <t>Xerox 215-117583</t>
  </si>
  <si>
    <t>Xerox 215</t>
  </si>
  <si>
    <t>US-2019-114230</t>
  </si>
  <si>
    <t>Acrylic Self-Standing Desk Frames-152961</t>
  </si>
  <si>
    <t>Acrylic Self-Standing Desk Frames</t>
  </si>
  <si>
    <t>CA-2019-144911</t>
  </si>
  <si>
    <t>Verbatim 25 GB 6x Blu-ray Single Layer Recordable Disc, 3/Pack-144911</t>
  </si>
  <si>
    <t>Verbatim 25 GB 6x Blu-ray Single Layer Recordable Disc, 3/Pack</t>
  </si>
  <si>
    <t>CA-2019-129903</t>
  </si>
  <si>
    <t>Dana Swing-Arm Lamps-155985</t>
  </si>
  <si>
    <t>Dana Swing-Arm Lamps</t>
  </si>
  <si>
    <t>CA-2019-104689</t>
  </si>
  <si>
    <t>Cisco Desktop Collaboration Experience DX650 IP Video Phone-154809</t>
  </si>
  <si>
    <t>Cisco Desktop Collaboration Experience DX650 IP Video Phone</t>
  </si>
  <si>
    <t>CA-2019-124772</t>
  </si>
  <si>
    <t>Xerox 216-164098</t>
  </si>
  <si>
    <t>Xerox 216</t>
  </si>
  <si>
    <t>CA-2019-146143</t>
  </si>
  <si>
    <t>Microsoft Wireless Mobile Mouse 4000-120161</t>
  </si>
  <si>
    <t>Microsoft Wireless Mobile Mouse 4000</t>
  </si>
  <si>
    <t>US-2019-116442</t>
  </si>
  <si>
    <t>Xerox 1940-120957</t>
  </si>
  <si>
    <t>Xerox 1940</t>
  </si>
  <si>
    <t>CA-2019-118332</t>
  </si>
  <si>
    <t>Xerox 1941-122910</t>
  </si>
  <si>
    <t>Xerox 1941</t>
  </si>
  <si>
    <t>CA-2019-155530</t>
  </si>
  <si>
    <t>Global Adaptabilities Conference Tables-136476</t>
  </si>
  <si>
    <t>CA-2019-139934</t>
  </si>
  <si>
    <t>Carina Media Storage Towers in Natural &amp; Black-138716</t>
  </si>
  <si>
    <t>Carina Media Storage Towers in Natural &amp; Black</t>
  </si>
  <si>
    <t>CA-2019-103359</t>
  </si>
  <si>
    <t>Eldon Image Series Desk Accessories, Ebony-145121</t>
  </si>
  <si>
    <t>Eldon Image Series Desk Accessories, Ebony</t>
  </si>
  <si>
    <t>CA-2019-123526</t>
  </si>
  <si>
    <t>Xerox 222-150161</t>
  </si>
  <si>
    <t>Xerox 222</t>
  </si>
  <si>
    <t>CA-2019-101168</t>
  </si>
  <si>
    <t>XtraLife ClearVue Slant-D Ring Binders by Cardinal-151435</t>
  </si>
  <si>
    <t>XtraLife ClearVue Slant-D Ring Binders by Cardinal</t>
  </si>
  <si>
    <t>CA-2019-111941</t>
  </si>
  <si>
    <t>Lesro Sheffield Collection Coffee Table, End Table, Center Table, Corner Table-153283</t>
  </si>
  <si>
    <t>US-2019-153129</t>
  </si>
  <si>
    <t>Staples-160150</t>
  </si>
  <si>
    <t>CA-2019-114538</t>
  </si>
  <si>
    <t>Micro Innovations USB RF Wireless Keyboard with Mouse-154389</t>
  </si>
  <si>
    <t>Micro Innovations USB RF Wireless Keyboard with Mouse</t>
  </si>
  <si>
    <t>CA-2019-151512</t>
  </si>
  <si>
    <t>Nu-Dell Leatherette Frames-159513</t>
  </si>
  <si>
    <t>Nu-Dell Leatherette Frames</t>
  </si>
  <si>
    <t>CA-2019-102596</t>
  </si>
  <si>
    <t>Xerox 1893-161347</t>
  </si>
  <si>
    <t>Xerox 1893</t>
  </si>
  <si>
    <t>CA-2019-156300</t>
  </si>
  <si>
    <t>Binding Machine Supplies-164966</t>
  </si>
  <si>
    <t>Binding Machine Supplies</t>
  </si>
  <si>
    <t>CA-2019-117226</t>
  </si>
  <si>
    <t>Avery 489-100405</t>
  </si>
  <si>
    <t>Avery 489</t>
  </si>
  <si>
    <t>CA-2019-160486</t>
  </si>
  <si>
    <t>C-Line Cubicle Keepers Polyproplyene Holder With Velcro Backings-100419</t>
  </si>
  <si>
    <t>C-Line Cubicle Keepers Polyproplyene Holder With Velcro Backings</t>
  </si>
  <si>
    <t>CA-2019-163951</t>
  </si>
  <si>
    <t>Panasonic KP-310 Heavy-Duty Electric Pencil Sharpener-100566</t>
  </si>
  <si>
    <t>Panasonic KP-310 Heavy-Duty Electric Pencil Sharpener</t>
  </si>
  <si>
    <t>CA-2020-113481</t>
  </si>
  <si>
    <t>Cisco CP-7937G Unified IP Conference Station Phone-113481</t>
  </si>
  <si>
    <t>Cisco CP-7937G Unified IP Conference Station Phone</t>
  </si>
  <si>
    <t>CA-2020-118668</t>
  </si>
  <si>
    <t>Xerox 220-104815</t>
  </si>
  <si>
    <t>Xerox 220</t>
  </si>
  <si>
    <t>CA-2020-150931</t>
  </si>
  <si>
    <t>Global Comet Stacking Armless Chair-106313</t>
  </si>
  <si>
    <t>Global Comet Stacking Armless Chair</t>
  </si>
  <si>
    <t>US-2020-148551</t>
  </si>
  <si>
    <t>Eldon Portable Mobile Manager-110170</t>
  </si>
  <si>
    <t>Eldon Portable Mobile Manager</t>
  </si>
  <si>
    <t>CA-2020-160934</t>
  </si>
  <si>
    <t>Great White Multi-Use Recycled Paper (20Lb. and 84 Bright)-113509</t>
  </si>
  <si>
    <t>Great White Multi-Use Recycled Paper (20Lb. and 84 Bright)</t>
  </si>
  <si>
    <t>CA-2020-167752</t>
  </si>
  <si>
    <t>Belkin F9M820V08 8 Outlet Surge-167752</t>
  </si>
  <si>
    <t>Belkin F9M820V08 8 Outlet Surge</t>
  </si>
  <si>
    <t>CA-2020-154718</t>
  </si>
  <si>
    <t>Xerox 1969-114230</t>
  </si>
  <si>
    <t>Xerox 1969</t>
  </si>
  <si>
    <t>CA-2020-141782</t>
  </si>
  <si>
    <t>Acme 10" Easy Grip Assistive Scissors-116400</t>
  </si>
  <si>
    <t>Acme 10" Easy Grip Assistive Scissors</t>
  </si>
  <si>
    <t>CA-2020-119669</t>
  </si>
  <si>
    <t>Bulldog Vacuum Base Pencil Sharpener-117387</t>
  </si>
  <si>
    <t>Bulldog Vacuum Base Pencil Sharpener</t>
  </si>
  <si>
    <t>CA-2020-150469</t>
  </si>
  <si>
    <t>Global Ergonomic Managers Chair-119270</t>
  </si>
  <si>
    <t>US-2020-147984</t>
  </si>
  <si>
    <t>GBC Standard Plastic Binding Systems' Combs-120929</t>
  </si>
  <si>
    <t>GBC Standard Plastic Binding Systems' Combs</t>
  </si>
  <si>
    <t>CA-2020-115105</t>
  </si>
  <si>
    <t>Binder Posts-131674</t>
  </si>
  <si>
    <t>Binder Posts</t>
  </si>
  <si>
    <t>CA-2020-150602</t>
  </si>
  <si>
    <t>3M Hangers With Command Adhesive-133508</t>
  </si>
  <si>
    <t>CA-2020-124086</t>
  </si>
  <si>
    <t>Adams Telephone Message Book W/Dividers/Space For Phone Numbers, 5 1/4"X8 1/2", 300/Messages-134488</t>
  </si>
  <si>
    <t>Adams Telephone Message Book W/Dividers/Space For Phone Numbers, 5 1/4"X8 1/2", 300/Messages</t>
  </si>
  <si>
    <t>CA-2020-116204</t>
  </si>
  <si>
    <t>Storex Dura Pro Binders-134656</t>
  </si>
  <si>
    <t>CA-2020-154809</t>
  </si>
  <si>
    <t>Carina 42"Hx23 3/4"W Media Storage Unit-138408</t>
  </si>
  <si>
    <t>Carina 42"Hx23 3/4"W Media Storage Unit</t>
  </si>
  <si>
    <t>US-2020-163195</t>
  </si>
  <si>
    <t>Career Cubicle Clock, 8 1/4", Black-139710</t>
  </si>
  <si>
    <t>Career Cubicle Clock, 8 1/4", Black</t>
  </si>
  <si>
    <t>CA-2020-109085</t>
  </si>
  <si>
    <t>SAFCO PlanMaster Boards, 60w x 37-1/2d, White Melamine-109085</t>
  </si>
  <si>
    <t>SAFCO PlanMaster Boards, 60w x 37-1/2d, White Melamine</t>
  </si>
  <si>
    <t>CA-2020-105809</t>
  </si>
  <si>
    <t>Executive Impressions 14" Contract Wall Clock-105809</t>
  </si>
  <si>
    <t>Executive Impressions 14" Contract Wall Clock</t>
  </si>
  <si>
    <t>CA-2020-124940</t>
  </si>
  <si>
    <t>Avery Durable Poly Binders-142685</t>
  </si>
  <si>
    <t>CA-2020-121706</t>
  </si>
  <si>
    <t>Eldon Executive Woodline II Cherry Finish Desk Accessories-144477</t>
  </si>
  <si>
    <t>Eldon Executive Woodline II Cherry Finish Desk Accessories</t>
  </si>
  <si>
    <t>CA-2020-155712</t>
  </si>
  <si>
    <t>Magna Visual Magnetic Picture Hangers-146794</t>
  </si>
  <si>
    <t>Magna Visual Magnetic Picture Hangers</t>
  </si>
  <si>
    <t>CA-2020-117513</t>
  </si>
  <si>
    <t>Hon 5100 Series Wood Tables-146857</t>
  </si>
  <si>
    <t>Hon 5100 Series Wood Tables</t>
  </si>
  <si>
    <t>CA-2020-161046</t>
  </si>
  <si>
    <t>Laser &amp; Ink Jet Business Envelopes-161046</t>
  </si>
  <si>
    <t>CA-2020-140494</t>
  </si>
  <si>
    <t>Avery Non-Stick Binders-151862</t>
  </si>
  <si>
    <t>CA-2020-152786</t>
  </si>
  <si>
    <t>Deflect-o EconoMat Nonstudded, No Bevel Mat-153129</t>
  </si>
  <si>
    <t>CA-2020-152135</t>
  </si>
  <si>
    <t>Xerox 1916-158309</t>
  </si>
  <si>
    <t>Xerox 1916</t>
  </si>
  <si>
    <t>CA-2020-148145</t>
  </si>
  <si>
    <t>Bush Westfield Collection Bookcases, Fully Assembled-159415</t>
  </si>
  <si>
    <t>Bush Westfield Collection Bookcases, Fully Assembled</t>
  </si>
  <si>
    <t>CA-2020-140515</t>
  </si>
  <si>
    <t>Tenex 46" x 60" Computer Anti-Static Chairmat, Rectangular Shaped-162026</t>
  </si>
  <si>
    <t>Tenex 46" x 60" Computer Anti-Static Chairmat, Rectangular Shaped</t>
  </si>
  <si>
    <t>CA-2020-122763</t>
  </si>
  <si>
    <t>Easy-staple paper-122763</t>
  </si>
  <si>
    <t>Easy-staple paper</t>
  </si>
  <si>
    <t>CA-2020-117156</t>
  </si>
  <si>
    <t>White Envelopes, White Envelopes with Clear Poly Window-163538</t>
  </si>
  <si>
    <t>CA-2020-155985</t>
  </si>
  <si>
    <t>Advantus T-Pin Paper Clips-104437</t>
  </si>
  <si>
    <t>Advantus T-Pin Paper Clips</t>
  </si>
  <si>
    <t>US-2020-140074</t>
  </si>
  <si>
    <t>Canvas Sectional Post Binders-104955</t>
  </si>
  <si>
    <t>Canvas Sectional Post Binders</t>
  </si>
  <si>
    <t>CA-2020-122308</t>
  </si>
  <si>
    <t>Fellowes Mobile File Cart, Black-118535</t>
  </si>
  <si>
    <t>Fellowes Mobile File Cart, Black</t>
  </si>
  <si>
    <t>CA-2020-143651</t>
  </si>
  <si>
    <t>Zipper Ring Binder Pockets-129224</t>
  </si>
  <si>
    <t>Zipper Ring Binder Pockets</t>
  </si>
  <si>
    <t>CA-2020-105193</t>
  </si>
  <si>
    <t>Newell 319-120649</t>
  </si>
  <si>
    <t>Newell 319</t>
  </si>
  <si>
    <t>CA-2020-112039</t>
  </si>
  <si>
    <t>Self-Adhesive Removable Labels-127341</t>
  </si>
  <si>
    <t>Self-Adhesive Removable Labels</t>
  </si>
  <si>
    <t>CA-2020-139416</t>
  </si>
  <si>
    <t>Plantronics MX500i Earset-147984</t>
  </si>
  <si>
    <t>CA-2020-126550</t>
  </si>
  <si>
    <t>DAX Two-Tone Rosewood/Black Document Frame, Desktop, 5 x 7-154851</t>
  </si>
  <si>
    <t>DAX Two-Tone Rosewood/Black Document Frame, Desktop, 5 x 7</t>
  </si>
  <si>
    <t>US-2020-120147</t>
  </si>
  <si>
    <t>Manco Dry-Lighter Erasable Highlighter-120147</t>
  </si>
  <si>
    <t>Manco Dry-Lighter Erasable Highlighter</t>
  </si>
  <si>
    <t>CA-2020-121419</t>
  </si>
  <si>
    <t>Bevis 44 x 96 Conference Tables-121419</t>
  </si>
  <si>
    <t>Bevis 44 x 96 Conference Tables</t>
  </si>
  <si>
    <t>CA-2020-127264</t>
  </si>
  <si>
    <t>Prang Colored Pencils-127264</t>
  </si>
  <si>
    <t>Prang Colored Pencils</t>
  </si>
  <si>
    <t>CA-2020-144848</t>
  </si>
  <si>
    <t>Panasonic KX - TS880B Telephone-144848</t>
  </si>
  <si>
    <t>Panasonic KX - TS880B Telephone</t>
  </si>
  <si>
    <t>CA-2020-135279</t>
  </si>
  <si>
    <t>Color-Coded Legal Exhibit Labels-135279</t>
  </si>
  <si>
    <t>Color-Coded Legal Exhibit Labels</t>
  </si>
  <si>
    <t>CA-2020-125115</t>
  </si>
  <si>
    <t>Xerox 1894-125115</t>
  </si>
  <si>
    <t>Xerox 1894</t>
  </si>
  <si>
    <t>CA-2016-109680</t>
  </si>
  <si>
    <t>Fellowes Staxonsteel Drawer Files-109680</t>
  </si>
  <si>
    <t>Fellowes Staxonsteel Drawer Files</t>
  </si>
  <si>
    <t>CA-2016-167997</t>
  </si>
  <si>
    <t>Wilson Jones 14 Line Acrylic Coated Pressboard Data Binders-167997</t>
  </si>
  <si>
    <t>Wilson Jones 14 Line Acrylic Coated Pressboard Data Binders</t>
  </si>
  <si>
    <t>CA-2016-140795</t>
  </si>
  <si>
    <t>Enermax Aurora Lite Keyboard-140795</t>
  </si>
  <si>
    <t>Enermax Aurora Lite Keyboard</t>
  </si>
  <si>
    <t>CA-2016-125759</t>
  </si>
  <si>
    <t>Master Caster Door Stop, Large Brown-125759</t>
  </si>
  <si>
    <t>Master Caster Door Stop, Large Brown</t>
  </si>
  <si>
    <t>CA-2016-156545</t>
  </si>
  <si>
    <t>Zebra Zazzle Fluorescent Highlighters-156545</t>
  </si>
  <si>
    <t>Zebra Zazzle Fluorescent Highlighters</t>
  </si>
  <si>
    <t>CA-2016-151001</t>
  </si>
  <si>
    <t>Tenex File Box, Personal Filing Tote with Lid, Black-151001</t>
  </si>
  <si>
    <t>Tenex File Box, Personal Filing Tote with Lid, Black</t>
  </si>
  <si>
    <t>CA-2016-113887</t>
  </si>
  <si>
    <t>Eaton Premium Continuous-Feed Paper, 25% Cotton, Letter Size, White, 1000 Shts/Box-113887</t>
  </si>
  <si>
    <t>Eaton Premium Continuous-Feed Paper, 25% Cotton, Letter Size, White, 1000 Shts/Box</t>
  </si>
  <si>
    <t>CA-2016-111899</t>
  </si>
  <si>
    <t>Boston Home &amp; Office Model 2000 Electric Pencil Sharpeners-111899</t>
  </si>
  <si>
    <t>Boston Home &amp; Office Model 2000 Electric Pencil Sharpeners</t>
  </si>
  <si>
    <t>US-2016-148194</t>
  </si>
  <si>
    <t>Eldon Regeneration Recycled Desk Accessories, Smoke-148194</t>
  </si>
  <si>
    <t>Eldon Regeneration Recycled Desk Accessories, Smoke</t>
  </si>
  <si>
    <t>CA-2016-111934</t>
  </si>
  <si>
    <t>Storex Dura Pro Binders-111934</t>
  </si>
  <si>
    <t>CA-2016-110219</t>
  </si>
  <si>
    <t>Global Value Mid-Back Manager's Chair, Gray-110219</t>
  </si>
  <si>
    <t>Global Value Mid-Back Manager's Chair, Gray</t>
  </si>
  <si>
    <t>CA-2016-116666</t>
  </si>
  <si>
    <t>Hewlett Packard LaserJet 3310 Copier-116666</t>
  </si>
  <si>
    <t>Hewlett Packard LaserJet 3310 Copier</t>
  </si>
  <si>
    <t>CA-2016-140165</t>
  </si>
  <si>
    <t>Staples-140165</t>
  </si>
  <si>
    <t>CA-2016-130155</t>
  </si>
  <si>
    <t>Acme Design Stainless Steel Bent Scissors-130155</t>
  </si>
  <si>
    <t>Acme Design Stainless Steel Bent Scissors</t>
  </si>
  <si>
    <t>CA-2016-129574</t>
  </si>
  <si>
    <t>Wirebound Service Call Books, 5 1/2" x 4"-129574</t>
  </si>
  <si>
    <t>Wirebound Service Call Books, 5 1/2" x 4"</t>
  </si>
  <si>
    <t>CA-2016-124646</t>
  </si>
  <si>
    <t>Office Impressions Heavy Duty Welded Shelving &amp; Multimedia Storage Drawers-124646</t>
  </si>
  <si>
    <t>Omega</t>
  </si>
  <si>
    <t>Office Impressions Heavy Duty Welded Shelving &amp; Multimedia Storage Drawers</t>
  </si>
  <si>
    <t>CA-2016-142048</t>
  </si>
  <si>
    <t>KeyTronicÂ 6101 Series -Â KeyboardÂ - Black-142048</t>
  </si>
  <si>
    <t>KeyTronicÂ 6101 Series -Â KeyboardÂ - Black</t>
  </si>
  <si>
    <t>CA-2016-157784</t>
  </si>
  <si>
    <t>NETGEAR AC1750 Dual Band GigabitÂ Smart WiFi Router-157784</t>
  </si>
  <si>
    <t>NETGEAR AC1750 Dual Band GigabitÂ Smart WiFi Router</t>
  </si>
  <si>
    <t>CA-2016-123225</t>
  </si>
  <si>
    <t>Polycom VVX 310 VoIP phone-123225</t>
  </si>
  <si>
    <t>Polycom VVX 310 VoIP phone</t>
  </si>
  <si>
    <t>CA-2016-141005</t>
  </si>
  <si>
    <t>Premium Transparent Presentation Covers by GBC-141005</t>
  </si>
  <si>
    <t>Premium Transparent Presentation Covers by GBC</t>
  </si>
  <si>
    <t>CA-2016-109043</t>
  </si>
  <si>
    <t>Xerox 1955-109043</t>
  </si>
  <si>
    <t>Xerox 1955</t>
  </si>
  <si>
    <t>CA-2016-124688</t>
  </si>
  <si>
    <t>GE 30522EE2-124688</t>
  </si>
  <si>
    <t>GE 30522EE2</t>
  </si>
  <si>
    <t>US-2016-131870</t>
  </si>
  <si>
    <t>Nu-Dell Executive Frame-131870</t>
  </si>
  <si>
    <t>CA-2016-120411</t>
  </si>
  <si>
    <t>Bush Heritage Pine Collection 5-Shelf Bookcase, Albany Pine Finish, *Special Order-120411</t>
  </si>
  <si>
    <t>Bush Heritage Pine Collection 5-Shelf Bookcase, Albany Pine Finish, *Special Order</t>
  </si>
  <si>
    <t>US-2016-166310</t>
  </si>
  <si>
    <t>Dana Swing-Arm Lamps-166310</t>
  </si>
  <si>
    <t>CA-2016-132451</t>
  </si>
  <si>
    <t>Hon Deluxe Fabric Upholstered Stacking Chairs, Rounded Back-132451</t>
  </si>
  <si>
    <t>CA-2016-130624</t>
  </si>
  <si>
    <t>Message Book, Phone, Wirebound Standard Line Memo, 2 3/4" X 5"-130624</t>
  </si>
  <si>
    <t>Message Book, Phone, Wirebound Standard Line Memo, 2 3/4" X 5"</t>
  </si>
  <si>
    <t>CA-2016-132010</t>
  </si>
  <si>
    <t>Pastel Pink Envelopes-132010</t>
  </si>
  <si>
    <t>Pastel Pink Envelopes</t>
  </si>
  <si>
    <t>CA-2016-133270</t>
  </si>
  <si>
    <t>Sanford Liquid Accent Highlighters-133270</t>
  </si>
  <si>
    <t>Sanford Liquid Accent Highlighters</t>
  </si>
  <si>
    <t>CA-2016-133690</t>
  </si>
  <si>
    <t>BoxOffice By Design Rectangular and Half-Moon Meeting Room Tables-133690</t>
  </si>
  <si>
    <t>BoxOffice By Design Rectangular and Half-Moon Meeting Room Tables</t>
  </si>
  <si>
    <t>CA-2016-114195</t>
  </si>
  <si>
    <t>Howard Miller 13" Diameter Pewter Finish Round Wall Clock-114195</t>
  </si>
  <si>
    <t>Howard Miller 13" Diameter Pewter Finish Round Wall Clock</t>
  </si>
  <si>
    <t>CA-2016-123498</t>
  </si>
  <si>
    <t>Satellite Sectional Post Binders-123498</t>
  </si>
  <si>
    <t>Satellite Sectional Post Binders</t>
  </si>
  <si>
    <t>CA-2016-127558</t>
  </si>
  <si>
    <t>Eldon 100 Class Desk Accessories-127558</t>
  </si>
  <si>
    <t>Eldon 100 Class Desk Accessories</t>
  </si>
  <si>
    <t>CA-2016-158540</t>
  </si>
  <si>
    <t>Eldon Delta Triangular Chair Mat, 52" x 58", Clear-158540</t>
  </si>
  <si>
    <t>Eldon Delta Triangular Chair Mat, 52" x 58", Clear</t>
  </si>
  <si>
    <t>CA-2016-143210</t>
  </si>
  <si>
    <t>Cisco IPÂ PhoneÂ 7961G VoIPÂ phoneÂ - Dark gray-143210</t>
  </si>
  <si>
    <t>Cisco IPÂ PhoneÂ 7961G VoIPÂ phoneÂ - Dark gray</t>
  </si>
  <si>
    <t>CA-2016-154592</t>
  </si>
  <si>
    <t>Green Bar Computer Printout Paper-154592</t>
  </si>
  <si>
    <t>Green Bar Computer Printout Paper</t>
  </si>
  <si>
    <t>CA-2016-136399</t>
  </si>
  <si>
    <t>Executive Impressions 14" Contract Wall Clock-136399</t>
  </si>
  <si>
    <t>CA-2016-103100</t>
  </si>
  <si>
    <t>Avery 487-103100</t>
  </si>
  <si>
    <t>Avery 487</t>
  </si>
  <si>
    <t>CA-2016-132913</t>
  </si>
  <si>
    <t>Belkin 7-Outlet SurgeMaster Home Series-132913</t>
  </si>
  <si>
    <t>Belkin 7-Outlet SurgeMaster Home Series</t>
  </si>
  <si>
    <t>CA-2016-164259</t>
  </si>
  <si>
    <t>Boston School Pro Electric Pencil Sharpener, 1670-164259</t>
  </si>
  <si>
    <t>CA-2017-140921</t>
  </si>
  <si>
    <t>Coloredge Poster Frame-140921</t>
  </si>
  <si>
    <t>Coloredge Poster Frame</t>
  </si>
  <si>
    <t>US-2017-107944</t>
  </si>
  <si>
    <t>TOPS Carbonless Receipt Book, Four 2-3/4 x 7-1/4 Money Receipts per Page-107944</t>
  </si>
  <si>
    <t>TOPS Carbonless Receipt Book, Four 2-3/4 x 7-1/4 Money Receipts per Page</t>
  </si>
  <si>
    <t>CA-2017-100216</t>
  </si>
  <si>
    <t>Xerox 210-100216</t>
  </si>
  <si>
    <t>Xerox 210</t>
  </si>
  <si>
    <t>CA-2017-111339</t>
  </si>
  <si>
    <t>Tensor "Hersey Kiss" Styled Floor Lamp-111339</t>
  </si>
  <si>
    <t>Tensor "Hersey Kiss" Styled Floor Lamp</t>
  </si>
  <si>
    <t>CA-2017-140718</t>
  </si>
  <si>
    <t>Geemarc AmpliPOWER60-140718</t>
  </si>
  <si>
    <t>Geemarc AmpliPOWER60</t>
  </si>
  <si>
    <t>US-2017-124219</t>
  </si>
  <si>
    <t>Wilson Jones Hanging View Binder, White, 1"-124219</t>
  </si>
  <si>
    <t>Wilson Jones Hanging View Binder, White, 1"</t>
  </si>
  <si>
    <t>CA-2017-131338</t>
  </si>
  <si>
    <t>Nortel Meridian M3904 Professional Digital phone-131338</t>
  </si>
  <si>
    <t>US-2017-115343</t>
  </si>
  <si>
    <t>Acme Hot Forged Carbon Steel Scissors with Nickel-Plated Handles, 3 7/8" Cut, 8"L-115343</t>
  </si>
  <si>
    <t>Acme Hot Forged Carbon Steel Scissors with Nickel-Plated Handles, 3 7/8" Cut, 8"L</t>
  </si>
  <si>
    <t>US-2017-100531</t>
  </si>
  <si>
    <t>Vinyl Sectional Post Binders-100531</t>
  </si>
  <si>
    <t>Vinyl Sectional Post Binders</t>
  </si>
  <si>
    <t>CA-2017-169201</t>
  </si>
  <si>
    <t>Holmes Odor Grabber-169201</t>
  </si>
  <si>
    <t>Holmes Odor Grabber</t>
  </si>
  <si>
    <t>CA-2017-135853</t>
  </si>
  <si>
    <t>Maxell 4.7GB DVD+RW 3/Pack-135853</t>
  </si>
  <si>
    <t>CA-2017-169397</t>
  </si>
  <si>
    <t>OIC Bulk Pack Metal Binder Clips-169397</t>
  </si>
  <si>
    <t>OIC Bulk Pack Metal Binder Clips</t>
  </si>
  <si>
    <t>CA-2017-139780</t>
  </si>
  <si>
    <t>Avery Non-Stick Binders-100573</t>
  </si>
  <si>
    <t>US-2017-157154</t>
  </si>
  <si>
    <t>Xerox 1931-101007</t>
  </si>
  <si>
    <t>Xerox 1931</t>
  </si>
  <si>
    <t>CA-2017-152681</t>
  </si>
  <si>
    <t>Xerox 1978-101924</t>
  </si>
  <si>
    <t>Xerox 1978</t>
  </si>
  <si>
    <t>CA-2017-151547</t>
  </si>
  <si>
    <t>Acrylic Self-Standing Desk Frames-101910</t>
  </si>
  <si>
    <t>CA-2017-109603</t>
  </si>
  <si>
    <t>Advantus Plastic Paper Clips-102778</t>
  </si>
  <si>
    <t>Advantus Plastic Paper Clips</t>
  </si>
  <si>
    <t>CA-2017-164777</t>
  </si>
  <si>
    <t>Epson WorkForce WF-2530 All-in-One Printer, Copier Scanner-102806</t>
  </si>
  <si>
    <t>CA-2017-145401</t>
  </si>
  <si>
    <t>Holmes Replacement Filter for HEPA Air Cleaner, Medium Room-103093</t>
  </si>
  <si>
    <t>Holmes Replacement Filter for HEPA Air Cleaner, Medium Room</t>
  </si>
  <si>
    <t>CA-2017-162782</t>
  </si>
  <si>
    <t>Gould Plastics 9-Pocket Panel Bin, 18-3/8w x 5-1/4d x 20-1/2h, Black-105634</t>
  </si>
  <si>
    <t>Gould Plastics 9-Pocket Panel Bin, 18-3/8w x 5-1/4d x 20-1/2h, Black</t>
  </si>
  <si>
    <t>CA-2017-132374</t>
  </si>
  <si>
    <t>O'Sullivan Living Dimensions 5-Shelf Bookcases-105844</t>
  </si>
  <si>
    <t>O'Sullivan Living Dimensions 5-Shelf Bookcases</t>
  </si>
  <si>
    <t>CA-2017-104052</t>
  </si>
  <si>
    <t>DAX Black Cherry Wood-Tone Poster Frame-106215</t>
  </si>
  <si>
    <t>DAX Black Cherry Wood-Tone Poster Frame</t>
  </si>
  <si>
    <t>CA-2017-133494</t>
  </si>
  <si>
    <t>Maxell CD-R Discs-106320</t>
  </si>
  <si>
    <t>CA-2017-110457</t>
  </si>
  <si>
    <t>DMI Arturo Collection Mission-style Design Wood Chair-106565</t>
  </si>
  <si>
    <t>DMI Arturo Collection Mission-style Design Wood Chair</t>
  </si>
  <si>
    <t>CA-2017-151785</t>
  </si>
  <si>
    <t>Decoflex Hanging Personal Folder File, Blue-107468</t>
  </si>
  <si>
    <t>CA-2017-110345</t>
  </si>
  <si>
    <t>Tops Green Bar Computer Printout Paper-108119</t>
  </si>
  <si>
    <t>Tops Green Bar Computer Printout Paper</t>
  </si>
  <si>
    <t>US-2017-118906</t>
  </si>
  <si>
    <t>ImationÂ USB 2.0 SwivelÂ Flash DriveÂ USBÂ flash driveÂ - 4 GB - Pink-109113</t>
  </si>
  <si>
    <t>ImationÂ USB 2.0 SwivelÂ Flash DriveÂ USBÂ flash driveÂ - 4 GB - Pink</t>
  </si>
  <si>
    <t>CA-2017-148705</t>
  </si>
  <si>
    <t>Fellowes Personal Hanging Folder Files, Navy-109169</t>
  </si>
  <si>
    <t>Fellowes Personal Hanging Folder Files, Navy</t>
  </si>
  <si>
    <t>CA-2017-153906</t>
  </si>
  <si>
    <t>Xerox 210-110247</t>
  </si>
  <si>
    <t>CA-2017-149993</t>
  </si>
  <si>
    <t>Novimex Fabric Task Chair-110744</t>
  </si>
  <si>
    <t>CA-2017-106565</t>
  </si>
  <si>
    <t>Fellowes Superior 10 Outlet Split Surge Protector-110891</t>
  </si>
  <si>
    <t>Fellowes Superior 10 Outlet Split Surge Protector</t>
  </si>
  <si>
    <t>CA-2017-121552</t>
  </si>
  <si>
    <t>Tensor Computer Mounted Lamp-111017</t>
  </si>
  <si>
    <t>Tensor Computer Mounted Lamp</t>
  </si>
  <si>
    <t>US-2017-125374</t>
  </si>
  <si>
    <t>ClearOne CHATAttach 160 -Â speaker phone-111199</t>
  </si>
  <si>
    <t>ClearOne CHATAttach 160 -Â speaker phone</t>
  </si>
  <si>
    <t>CA-2017-138219</t>
  </si>
  <si>
    <t>I Need's 3d Hello Kitty Hybrid Silicone Case Cover for HTC One X 4g with 3d Hello Kitty Stylus Pen Green/pink-111073</t>
  </si>
  <si>
    <t>CA-2017-133536</t>
  </si>
  <si>
    <t>Sony 16GB Class 10 Micro SDHC R40 Memory Card-111990</t>
  </si>
  <si>
    <t>Sony 16GB Class 10 Micro SDHC R40 Memory Card</t>
  </si>
  <si>
    <t>CA-2017-150749</t>
  </si>
  <si>
    <t>Bevis Round Conference Table Top, X-Base-112116</t>
  </si>
  <si>
    <t>Bevis Round Conference Table Top, X-Base</t>
  </si>
  <si>
    <t>CA-2017-121272</t>
  </si>
  <si>
    <t>Polycom SoundPoint Pro SE-225 Corded phone-112053</t>
  </si>
  <si>
    <t>CA-2017-104871</t>
  </si>
  <si>
    <t>Xerox 1974-112522</t>
  </si>
  <si>
    <t>Xerox 1974</t>
  </si>
  <si>
    <t>US-2017-136476</t>
  </si>
  <si>
    <t>Safco Chair Connectors, 6/Carton-113215</t>
  </si>
  <si>
    <t>Safco Chair Connectors, 6/Carton</t>
  </si>
  <si>
    <t>CA-2017-168767</t>
  </si>
  <si>
    <t>Eldon Econocleat Chair Mats for Low Pile Carpets-114237</t>
  </si>
  <si>
    <t>Eldon Econocleat Chair Mats for Low Pile Carpets</t>
  </si>
  <si>
    <t>CA-2017-133837</t>
  </si>
  <si>
    <t>GBC White Gloss Covers, Plain Front-115168</t>
  </si>
  <si>
    <t>CA-2017-142734</t>
  </si>
  <si>
    <t>Kensington Expert Mouse Optical USB Trackball for PC or Mac-115847</t>
  </si>
  <si>
    <t>Kensington Expert Mouse Optical USB Trackball for PC or Mac</t>
  </si>
  <si>
    <t>US-2017-134271</t>
  </si>
  <si>
    <t>Samsung Galaxy S4-116512</t>
  </si>
  <si>
    <t>Samsung Galaxy S4</t>
  </si>
  <si>
    <t>CA-2017-142433</t>
  </si>
  <si>
    <t>Logitech Mobile Speakerphone P710e -Â speaker phone-116841</t>
  </si>
  <si>
    <t>Logitech Mobile Speakerphone P710e -Â speaker phone</t>
  </si>
  <si>
    <t>CA-2017-109169</t>
  </si>
  <si>
    <t>Hunt PowerHouse Electric Pencil Sharpener, Blue-116638</t>
  </si>
  <si>
    <t>Hunt PowerHouse Electric Pencil Sharpener, Blue</t>
  </si>
  <si>
    <t>CA-2017-157434</t>
  </si>
  <si>
    <t>Office Impressions Heavy Duty Welded Shelving &amp; Multimedia Storage Drawers-118423</t>
  </si>
  <si>
    <t>CA-2017-146290</t>
  </si>
  <si>
    <t>Xerox 1909-119942</t>
  </si>
  <si>
    <t>Xerox 1909</t>
  </si>
  <si>
    <t>CA-2017-109939</t>
  </si>
  <si>
    <t>SanDisk Ultra 16 GB MicroSDHC Class 10 Memory Card-120362</t>
  </si>
  <si>
    <t>SanDisk Ultra 16 GB MicroSDHC Class 10 Memory Card</t>
  </si>
  <si>
    <t>CA-2017-155635</t>
  </si>
  <si>
    <t>Adjustable Personal File Tote-120446</t>
  </si>
  <si>
    <t>Adjustable Personal File Tote</t>
  </si>
  <si>
    <t>CA-2017-130876</t>
  </si>
  <si>
    <t>Xerox Color Copier Paper, 11" x 17", Ream-120677</t>
  </si>
  <si>
    <t>Xerox Color Copier Paper, 11" x 17", Ream</t>
  </si>
  <si>
    <t>CA-2017-162607</t>
  </si>
  <si>
    <t>Belkin Standard 104 key USB Keyboard-121041</t>
  </si>
  <si>
    <t>Belkin Standard 104 key USB Keyboard</t>
  </si>
  <si>
    <t>CA-2017-102806</t>
  </si>
  <si>
    <t>Advantus Rolling Storage Box-122623</t>
  </si>
  <si>
    <t>Advantus Rolling Storage Box</t>
  </si>
  <si>
    <t>CA-2017-119102</t>
  </si>
  <si>
    <t>Master Caster Door Stop, Large Brown-123330</t>
  </si>
  <si>
    <t>CA-2017-109708</t>
  </si>
  <si>
    <t>Alphabetical Labels for Top Tab Filing-123505</t>
  </si>
  <si>
    <t>Alphabetical Labels for Top Tab Filing</t>
  </si>
  <si>
    <t>CA-2017-163923</t>
  </si>
  <si>
    <t>Bevis Round Conference Table Top &amp; Single Column Base-125395</t>
  </si>
  <si>
    <t>Bevis Round Conference Table Top &amp; Single Column Base</t>
  </si>
  <si>
    <t>CA-2017-161242</t>
  </si>
  <si>
    <t>JBL Micro Wireless Portable Bluetooth Speaker-126137</t>
  </si>
  <si>
    <t>CA-2017-110947</t>
  </si>
  <si>
    <t>SANFORD Liquid Accent Tank-Style Highlighters-126466</t>
  </si>
  <si>
    <t>SANFORD Liquid Accent Tank-Style Highlighters</t>
  </si>
  <si>
    <t>CA-2017-137281</t>
  </si>
  <si>
    <t>Brown Kraft Recycled Envelopes-127502</t>
  </si>
  <si>
    <t>CA-2017-147011</t>
  </si>
  <si>
    <t>Xerox 223-128167</t>
  </si>
  <si>
    <t>Xerox 223</t>
  </si>
  <si>
    <t>CA-2017-123330</t>
  </si>
  <si>
    <t>Staples-129392</t>
  </si>
  <si>
    <t>CA-2017-124975</t>
  </si>
  <si>
    <t>Easy-staple paper-129476</t>
  </si>
  <si>
    <t>CA-2017-137750</t>
  </si>
  <si>
    <t>Bush Advantage Collection Racetrack Conference Table-129854</t>
  </si>
  <si>
    <t>CA-2017-143882</t>
  </si>
  <si>
    <t>Samsung HM1900 Bluetooth Headset-130253</t>
  </si>
  <si>
    <t>CA-2017-165799</t>
  </si>
  <si>
    <t>Speck Products Candyshell Flip Case-130848</t>
  </si>
  <si>
    <t>Speck Products Candyshell Flip Case</t>
  </si>
  <si>
    <t>US-2017-141684</t>
  </si>
  <si>
    <t>Bush Heritage Pine Collection 5-Shelf Bookcase, Albany Pine Finish, *Special Order-130876</t>
  </si>
  <si>
    <t>CA-2017-152513</t>
  </si>
  <si>
    <t>Executive Impressions 14" Two-Color Numerals Wall Clock-131128</t>
  </si>
  <si>
    <t>Executive Impressions 14" Two-Color Numerals Wall Clock</t>
  </si>
  <si>
    <t>CA-2017-161627</t>
  </si>
  <si>
    <t>GBC Velobind Prepunched Cover Sets, Regency Series-131779</t>
  </si>
  <si>
    <t>GBC Velobind Prepunched Cover Sets, Regency Series</t>
  </si>
  <si>
    <t>CA-2017-116260</t>
  </si>
  <si>
    <t>Logitech Keyboard K120-131457</t>
  </si>
  <si>
    <t>Logitech Keyboard K120</t>
  </si>
  <si>
    <t>US-2017-107349</t>
  </si>
  <si>
    <t>GBC Premium Transparent Covers with Diagonal Lined Pattern-132815</t>
  </si>
  <si>
    <t>GBC Premium Transparent Covers with Diagonal Lined Pattern</t>
  </si>
  <si>
    <t>CA-2017-159590</t>
  </si>
  <si>
    <t>Akro-Mils 12-Gallon Tote-133494</t>
  </si>
  <si>
    <t>Akro-Mils 12-Gallon Tote</t>
  </si>
  <si>
    <t>US-2017-160150</t>
  </si>
  <si>
    <t>GBC Twin Loop Wire Binding Elements, 9/16" Spine, Black-133536</t>
  </si>
  <si>
    <t>GBC Twin Loop Wire Binding Elements, 9/16" Spine, Black</t>
  </si>
  <si>
    <t>CA-2017-124044</t>
  </si>
  <si>
    <t>Panasonic KP-380BK Classic Electric Pencil Sharpener-133627</t>
  </si>
  <si>
    <t>Panasonic KP-380BK Classic Electric Pencil Sharpener</t>
  </si>
  <si>
    <t>CA-2017-139248</t>
  </si>
  <si>
    <t>GBC Twin Loop Wire Binding Elements, 9/16" Spine, Black-133837</t>
  </si>
  <si>
    <t>CA-2017-127754</t>
  </si>
  <si>
    <t>Cush Cases Heavy Duty Rugged Cover Case for Samsung Galaxy S5 - Purple-134082</t>
  </si>
  <si>
    <t>Cush Cases Heavy Duty Rugged Cover Case for Samsung Galaxy S5 - Purple</t>
  </si>
  <si>
    <t>US-2017-140200</t>
  </si>
  <si>
    <t>VTech DS6151-134922</t>
  </si>
  <si>
    <t>US-2017-129553</t>
  </si>
  <si>
    <t>Deflect-o EconoMat Studded, No Bevel Mat for Low Pile Carpeting-134943</t>
  </si>
  <si>
    <t>Deflect-o EconoMat Studded, No Bevel Mat for Low Pile Carpeting</t>
  </si>
  <si>
    <t>CA-2017-132507</t>
  </si>
  <si>
    <t>Sharp AL-1530CS Digital Copier-135174</t>
  </si>
  <si>
    <t>Sharp AL-1530CS Digital Copier</t>
  </si>
  <si>
    <t>CA-2017-163895</t>
  </si>
  <si>
    <t>Avery 494-136196</t>
  </si>
  <si>
    <t>Avery 494</t>
  </si>
  <si>
    <t>CA-2017-138331</t>
  </si>
  <si>
    <t>Cameo Buff Policy Envelopes-135727</t>
  </si>
  <si>
    <t>CA-2017-141936</t>
  </si>
  <si>
    <t>Fellowes Superior 10 Outlet Split Surge Protector-136105</t>
  </si>
  <si>
    <t>CA-2017-155453</t>
  </si>
  <si>
    <t>Acco Perma 4000 Stacking Storage Drawers-136700</t>
  </si>
  <si>
    <t>Acco Perma 4000 Stacking Storage Drawers</t>
  </si>
  <si>
    <t>CA-2017-120516</t>
  </si>
  <si>
    <t>Xerox 200-137225</t>
  </si>
  <si>
    <t>Xerox 200</t>
  </si>
  <si>
    <t>CA-2017-148495</t>
  </si>
  <si>
    <t>Xerox 1995-137603</t>
  </si>
  <si>
    <t>Xerox 1995</t>
  </si>
  <si>
    <t>CA-2017-111297</t>
  </si>
  <si>
    <t>Peel &amp; Seel Envelopes-138457</t>
  </si>
  <si>
    <t>Peel &amp; Seel Envelopes</t>
  </si>
  <si>
    <t>CA-2017-129854</t>
  </si>
  <si>
    <t>Xerox 1895-138485</t>
  </si>
  <si>
    <t>CA-2017-132080</t>
  </si>
  <si>
    <t>Belkin 19" Vented Equipment Shelf, Black-138492</t>
  </si>
  <si>
    <t>Belkin 19" Vented Equipment Shelf, Black</t>
  </si>
  <si>
    <t>CA-2017-113740</t>
  </si>
  <si>
    <t>Eldon "L" Workstation Diamond Chairmat-138534</t>
  </si>
  <si>
    <t>Eldon "L" Workstation Diamond Chairmat</t>
  </si>
  <si>
    <t>US-2017-100377</t>
  </si>
  <si>
    <t>GBC White Gloss Covers, Plain Front-139290</t>
  </si>
  <si>
    <t>US-2017-151435</t>
  </si>
  <si>
    <t>Howard Miller 13" Diameter Pewter Finish Round Wall Clock-142475</t>
  </si>
  <si>
    <t>CA-2017-140557</t>
  </si>
  <si>
    <t>GBC Premium Transparent Covers with Diagonal Lined Pattern-142930</t>
  </si>
  <si>
    <t>CA-2017-161445</t>
  </si>
  <si>
    <t>White Business Envelopes with Contemporary Seam, Recycled White Business Envelopes-142937</t>
  </si>
  <si>
    <t>White Business Envelopes with Contemporary Seam, Recycled White Business Envelopes</t>
  </si>
  <si>
    <t>CA-2017-151624</t>
  </si>
  <si>
    <t>Okidata C331dn Printer-143119</t>
  </si>
  <si>
    <t>Okidata C331dn Printer</t>
  </si>
  <si>
    <t>CA-2017-136658</t>
  </si>
  <si>
    <t>Eldon Expressions Wood Desk Accessories, Oak-143616</t>
  </si>
  <si>
    <t>CA-2017-139374</t>
  </si>
  <si>
    <t>Cardinal Hold-It CD Pocket-143700</t>
  </si>
  <si>
    <t>Cardinal Hold-It CD Pocket</t>
  </si>
  <si>
    <t>CA-2017-168186</t>
  </si>
  <si>
    <t>Stanley Contemporary Battery Pencil Sharpeners-143882</t>
  </si>
  <si>
    <t>Stanley Contemporary Battery Pencil Sharpeners</t>
  </si>
  <si>
    <t>CA-2017-153794</t>
  </si>
  <si>
    <t>Avery File Folder Labels-144043</t>
  </si>
  <si>
    <t>Avery File Folder Labels</t>
  </si>
  <si>
    <t>CA-2017-128993</t>
  </si>
  <si>
    <t>GBC Binding covers-144099</t>
  </si>
  <si>
    <t>GBC Binding covers</t>
  </si>
  <si>
    <t>CA-2017-128027</t>
  </si>
  <si>
    <t>Mobile Personal File Cube-144652</t>
  </si>
  <si>
    <t>Mobile Personal File Cube</t>
  </si>
  <si>
    <t>US-2017-138919</t>
  </si>
  <si>
    <t>Tenex Chairmats For Use with Hard Floors-145457</t>
  </si>
  <si>
    <t>Tenex Chairmats For Use with Hard Floors</t>
  </si>
  <si>
    <t>US-2017-138716</t>
  </si>
  <si>
    <t>Global Commerce Series High-Back Swivel/Tilt Chairs-145415</t>
  </si>
  <si>
    <t>Global Commerce Series High-Back Swivel/Tilt Chairs</t>
  </si>
  <si>
    <t>CA-2017-150511</t>
  </si>
  <si>
    <t>Xerox 1979-145821</t>
  </si>
  <si>
    <t>Xerox 1979</t>
  </si>
  <si>
    <t>CA-2017-142202</t>
  </si>
  <si>
    <t>Sabrent 4-Port USB 2.0 Hub-145758</t>
  </si>
  <si>
    <t>Sabrent 4-Port USB 2.0 Hub</t>
  </si>
  <si>
    <t>CA-2017-102036</t>
  </si>
  <si>
    <t>Eldon Wave Desk Accessories-147690</t>
  </si>
  <si>
    <t>Eldon Wave Desk Accessories</t>
  </si>
  <si>
    <t>CA-2017-105508</t>
  </si>
  <si>
    <t>Sterilite Officeware Hinged File Box-148495</t>
  </si>
  <si>
    <t>Sterilite Officeware Hinged File Box</t>
  </si>
  <si>
    <t>CA-2017-143119</t>
  </si>
  <si>
    <t>Kingston Digital DataTraveler 16GB USB 2.0-148628</t>
  </si>
  <si>
    <t>US-2017-164308</t>
  </si>
  <si>
    <t>Acco Four Pocket Poly Ring Binder with Label Holder, Smoke, 1"-148964</t>
  </si>
  <si>
    <t>Acco Four Pocket Poly Ring Binder with Label Holder, Smoke, 1"</t>
  </si>
  <si>
    <t>CA-2017-159779</t>
  </si>
  <si>
    <t>Acrylic Self-Standing Desk Frames-149678</t>
  </si>
  <si>
    <t>CA-2017-139738</t>
  </si>
  <si>
    <t>Angle-D Ring Binders-149650</t>
  </si>
  <si>
    <t>Angle-D Ring Binders</t>
  </si>
  <si>
    <t>CA-2017-128356</t>
  </si>
  <si>
    <t>Ibico Laser Imprintable Binding System Covers-150560</t>
  </si>
  <si>
    <t>Ibico Laser Imprintable Binding System Covers</t>
  </si>
  <si>
    <t>US-2017-145121</t>
  </si>
  <si>
    <t>Gould Plastics 18-Pocket Panel Bin, 34w x 5-1/4d x 20-1/2h-150791</t>
  </si>
  <si>
    <t>Gould Plastics 18-Pocket Panel Bin, 34w x 5-1/4d x 20-1/2h</t>
  </si>
  <si>
    <t>US-2017-119312</t>
  </si>
  <si>
    <t>Global Manager's Adjustable Task Chair, Storm-150749</t>
  </si>
  <si>
    <t>Global Manager's Adjustable Task Chair, Storm</t>
  </si>
  <si>
    <t>CA-2017-125710</t>
  </si>
  <si>
    <t>Quartet Omega Colored Chalk, 12/Pack-152513</t>
  </si>
  <si>
    <t>Quartet Omega Colored Chalk, 12/Pack</t>
  </si>
  <si>
    <t>CA-2017-159786</t>
  </si>
  <si>
    <t>Xerox 193-153549</t>
  </si>
  <si>
    <t>Xerox 193</t>
  </si>
  <si>
    <t>CA-2017-110765</t>
  </si>
  <si>
    <t>Tennsco Double-Tier Lockers-153738</t>
  </si>
  <si>
    <t>Tennsco Double-Tier Lockers</t>
  </si>
  <si>
    <t>CA-2017-156608</t>
  </si>
  <si>
    <t>Dell Slim USB Multimedia Keyboard-154921</t>
  </si>
  <si>
    <t>Dell Slim USB Multimedia Keyboard</t>
  </si>
  <si>
    <t>CA-2017-105844</t>
  </si>
  <si>
    <t>Global Super Steno Chair-154956</t>
  </si>
  <si>
    <t>Global Super Steno Chair</t>
  </si>
  <si>
    <t>CA-2017-139290</t>
  </si>
  <si>
    <t>Logitech G602 Wireless Gaming Mouse-155040</t>
  </si>
  <si>
    <t>Logitech G602 Wireless Gaming Mouse</t>
  </si>
  <si>
    <t>CA-2017-126739</t>
  </si>
  <si>
    <t>Globe Weis Peel &amp; Seel Closed Lost Envelopes-156153</t>
  </si>
  <si>
    <t>Globe Weis Peel &amp; Seel Closed Lost Envelopes</t>
  </si>
  <si>
    <t>CA-2017-130995</t>
  </si>
  <si>
    <t>NETGEAR N750 Dual Band Wi-Fi Gigabit Router-156328</t>
  </si>
  <si>
    <t>US-2017-110163</t>
  </si>
  <si>
    <t>Clear Mylar Reinforcing Strips-156524</t>
  </si>
  <si>
    <t>Clear Mylar Reinforcing Strips</t>
  </si>
  <si>
    <t>CA-2017-160227</t>
  </si>
  <si>
    <t>Avery Fluorescent Highlighter Four-Color Set-156923</t>
  </si>
  <si>
    <t>Avery Fluorescent Highlighter Four-Color Set</t>
  </si>
  <si>
    <t>CA-2017-162047</t>
  </si>
  <si>
    <t>Contico 72"H Heavy-Duty Storage System-157035</t>
  </si>
  <si>
    <t>Contico 72"H Heavy-Duty Storage System</t>
  </si>
  <si>
    <t>CA-2017-144386</t>
  </si>
  <si>
    <t>Avery Non-Stick Binders-158148</t>
  </si>
  <si>
    <t>CA-2017-145485</t>
  </si>
  <si>
    <t>Avery 507-158323</t>
  </si>
  <si>
    <t>Avery 507</t>
  </si>
  <si>
    <t>CA-2017-126669</t>
  </si>
  <si>
    <t>Laser &amp; Ink Jet Business Envelopes-158554</t>
  </si>
  <si>
    <t>CA-2017-162887</t>
  </si>
  <si>
    <t>Acme 10" Easy Grip Assistive Scissors-158792</t>
  </si>
  <si>
    <t>US-2017-151407</t>
  </si>
  <si>
    <t>Cardinal Holdit Business Card Pockets-159786</t>
  </si>
  <si>
    <t>Cardinal Holdit Business Card Pockets</t>
  </si>
  <si>
    <t>CA-2017-158659</t>
  </si>
  <si>
    <t>White Envelopes, White Envelopes with Clear Poly Window-160787</t>
  </si>
  <si>
    <t>CA-2017-153220</t>
  </si>
  <si>
    <t>Avery Hanging File Binders-160794</t>
  </si>
  <si>
    <t>Avery Hanging File Binders</t>
  </si>
  <si>
    <t>US-2017-153283</t>
  </si>
  <si>
    <t>GBC DocuBind TL300 Electric Binding System-160864</t>
  </si>
  <si>
    <t>GBC DocuBind TL300 Electric Binding System</t>
  </si>
  <si>
    <t>CA-2017-111199</t>
  </si>
  <si>
    <t>Microsoft Arc Touch Mouse-161214</t>
  </si>
  <si>
    <t>Microsoft Arc Touch Mouse</t>
  </si>
  <si>
    <t>CA-2017-153073</t>
  </si>
  <si>
    <t>Binder Posts-161452</t>
  </si>
  <si>
    <t>CA-2017-120446</t>
  </si>
  <si>
    <t>Perma STOR-ALL Hanging File Box, 13 1/8"W x 12 1/4"D x 10 1/2"H-162047</t>
  </si>
  <si>
    <t>Perma STOR-ALL Hanging File Box, 13 1/8"W x 12 1/4"D x 10 1/2"H</t>
  </si>
  <si>
    <t>CA-2017-164539</t>
  </si>
  <si>
    <t>Poly Designer Cover &amp; Back-162369</t>
  </si>
  <si>
    <t>Poly Designer Cover &amp; Back</t>
  </si>
  <si>
    <t>CA-2017-163090</t>
  </si>
  <si>
    <t>Spigen Samsung Galaxy S5 Case Wallet-162544</t>
  </si>
  <si>
    <t>Spigen Samsung Galaxy S5 Case Wallet</t>
  </si>
  <si>
    <t>CA-2017-151680</t>
  </si>
  <si>
    <t>Xerox 1910-162607</t>
  </si>
  <si>
    <t>Xerox 1910</t>
  </si>
  <si>
    <t>CA-2017-166800</t>
  </si>
  <si>
    <t>Xerox 1900-162782</t>
  </si>
  <si>
    <t>Xerox 1900</t>
  </si>
  <si>
    <t>CA-2017-144652</t>
  </si>
  <si>
    <t>BlackBerry Q10-163090</t>
  </si>
  <si>
    <t>BlackBerry Q10</t>
  </si>
  <si>
    <t>CA-2017-156524</t>
  </si>
  <si>
    <t>Executive Impressions 13" Chairman Wall Clock-163440</t>
  </si>
  <si>
    <t>Executive Impressions 13" Chairman Wall Clock</t>
  </si>
  <si>
    <t>CA-2017-146465</t>
  </si>
  <si>
    <t>Adams Telephone Message Books, 5 1/4â€ x 11â€-163104</t>
  </si>
  <si>
    <t>Adams Telephone Message Books, 5 1/4â€ x 11â€</t>
  </si>
  <si>
    <t>CA-2017-102778</t>
  </si>
  <si>
    <t>Micro Innovations Wireless Classic Keyboard with Mouse-163895</t>
  </si>
  <si>
    <t>Micro Innovations Wireless Classic Keyboard with Mouse</t>
  </si>
  <si>
    <t>CA-2017-158939</t>
  </si>
  <si>
    <t>Tennsco Stur-D-Stor Boltless Shelving, 5 Shelves, 24" Deep, Sand-164623</t>
  </si>
  <si>
    <t>Tennsco Stur-D-Stor Boltless Shelving, 5 Shelves, 24" Deep, Sand</t>
  </si>
  <si>
    <t>CA-2017-166975</t>
  </si>
  <si>
    <t>Easy-staple paper-164777</t>
  </si>
  <si>
    <t>CA-2017-160059</t>
  </si>
  <si>
    <t>Ultra Commercial Grade Dual Valve Door Closer-165414</t>
  </si>
  <si>
    <t>Ultra Commercial Grade Dual Valve Door Closer</t>
  </si>
  <si>
    <t>CA-2017-157133</t>
  </si>
  <si>
    <t>Newell 349-166583</t>
  </si>
  <si>
    <t>Newell 349</t>
  </si>
  <si>
    <t>CA-2017-144099</t>
  </si>
  <si>
    <t>Xerox 225-166800</t>
  </si>
  <si>
    <t>Xerox 225</t>
  </si>
  <si>
    <t>CA-2017-111038</t>
  </si>
  <si>
    <t>Global Manager's Adjustable Task Chair, Storm-168004</t>
  </si>
  <si>
    <t>CA-2017-156853</t>
  </si>
  <si>
    <t>Hon Metal Bookcases, Black-168760</t>
  </si>
  <si>
    <t>Hon Metal Bookcases, Black</t>
  </si>
  <si>
    <t>CA-2017-142377</t>
  </si>
  <si>
    <t>3M Hangers With Command Adhesive-169299</t>
  </si>
  <si>
    <t>CA-2017-117898</t>
  </si>
  <si>
    <t>Panasonic KX-TG6844B Expandable Digital Cordless Telephone-169537</t>
  </si>
  <si>
    <t>Panasonic KX-TG6844B Expandable Digital Cordless Telephone</t>
  </si>
  <si>
    <t>CA-2017-134943</t>
  </si>
  <si>
    <t>Newell 312-169572</t>
  </si>
  <si>
    <t>Newell 312</t>
  </si>
  <si>
    <t>CA-2017-142937</t>
  </si>
  <si>
    <t>Cardinal Poly Pocket Divider Pockets for Ring Binders-169656</t>
  </si>
  <si>
    <t>Cardinal Poly Pocket Divider Pockets for Ring Binders</t>
  </si>
  <si>
    <t>CA-2017-156440</t>
  </si>
  <si>
    <t>Wilson Jones Heavy-Duty Casebound Ring Binders with Metal Hinges-169677</t>
  </si>
  <si>
    <t>Wilson Jones Heavy-Duty Casebound Ring Binders with Metal Hinges</t>
  </si>
  <si>
    <t>CA-2017-153752</t>
  </si>
  <si>
    <t>Xerox 1903-100153</t>
  </si>
  <si>
    <t>Xerox 1903</t>
  </si>
  <si>
    <t>CA-2017-166338</t>
  </si>
  <si>
    <t>Memorex Micro Travel Drive 8 GB-100307</t>
  </si>
  <si>
    <t>Memorex Micro Travel Drive 8 GB</t>
  </si>
  <si>
    <t>CA-2017-168634</t>
  </si>
  <si>
    <t>Xerox 1970-100587</t>
  </si>
  <si>
    <t>Xerox 1970</t>
  </si>
  <si>
    <t>US-2017-120957</t>
  </si>
  <si>
    <t>Boston Electric Pencil Sharpener, Model 1818, Charcoal Black-101168</t>
  </si>
  <si>
    <t>Boston Electric Pencil Sharpener, Model 1818, Charcoal Black</t>
  </si>
  <si>
    <t>CA-2017-135272</t>
  </si>
  <si>
    <t>Security-Tint Envelopes-100965</t>
  </si>
  <si>
    <t>Security-Tint Envelopes</t>
  </si>
  <si>
    <t>CA-2017-103205</t>
  </si>
  <si>
    <t>3M Replacement Filter for Office Air Cleaner for 20' x 33' Room-101189</t>
  </si>
  <si>
    <t>3M Replacement Filter for Office Air Cleaner for 20' x 33' Room</t>
  </si>
  <si>
    <t>CA-2017-127502</t>
  </si>
  <si>
    <t>Master Caster Door Stop, Large Neon Orange-101546</t>
  </si>
  <si>
    <t>Master Caster Door Stop, Large Neon Orange</t>
  </si>
  <si>
    <t>CA-2017-125423</t>
  </si>
  <si>
    <t>Newell 320-102456</t>
  </si>
  <si>
    <t>CA-2017-130253</t>
  </si>
  <si>
    <t>Avery 507-103128</t>
  </si>
  <si>
    <t>CA-2017-150308</t>
  </si>
  <si>
    <t>Tenex Antistatic Computer Chair Mats-103891</t>
  </si>
  <si>
    <t>CA-2017-109113</t>
  </si>
  <si>
    <t>Geemarc AmpliPOWER60-105263</t>
  </si>
  <si>
    <t>CA-2017-137071</t>
  </si>
  <si>
    <t>Logitech B530 USBÂ HeadsetÂ -Â headsetÂ - Full size, Binaural-105291</t>
  </si>
  <si>
    <t>Logitech B530 USBÂ HeadsetÂ -Â headsetÂ - Full size, Binaural</t>
  </si>
  <si>
    <t>CA-2017-161795</t>
  </si>
  <si>
    <t>Panasonic KP-350BK Electric Pencil Sharpener with Auto Stop-105963</t>
  </si>
  <si>
    <t>CA-2017-117828</t>
  </si>
  <si>
    <t>Avaya 5410 Digital phone-106306</t>
  </si>
  <si>
    <t>Avaya 5410 Digital phone</t>
  </si>
  <si>
    <t>US-2017-147739</t>
  </si>
  <si>
    <t>Tenex Contemporary Contur Chairmats for Low and Medium Pile Carpet, Computer, 39" x 49"-106558</t>
  </si>
  <si>
    <t>Tenex Contemporary Contur Chairmats for Low and Medium Pile Carpet, Computer, 39" x 49"</t>
  </si>
  <si>
    <t>CA-2017-119550</t>
  </si>
  <si>
    <t>Square Ring Data Binders, Rigid 75 Pt. Covers, 11" x 14-7/8"-106915</t>
  </si>
  <si>
    <t>Square Ring Data Binders, Rigid 75 Pt. Covers, 11" x 14-7/8"</t>
  </si>
  <si>
    <t>CA-2017-124933</t>
  </si>
  <si>
    <t>Avery 476-107202</t>
  </si>
  <si>
    <t>Avery 476</t>
  </si>
  <si>
    <t>CA-2017-158792</t>
  </si>
  <si>
    <t>Easy-staple paper-107475</t>
  </si>
  <si>
    <t>CA-2017-119697</t>
  </si>
  <si>
    <t>AT&amp;T 17929 Lendline Telephone-108224</t>
  </si>
  <si>
    <t>AT&amp;T 17929 Lendline Telephone</t>
  </si>
  <si>
    <t>CA-2019-163937</t>
  </si>
  <si>
    <t>Hon Every-Day Chair Series Swivel Task Chairs-108735</t>
  </si>
  <si>
    <t>Hon Every-Day Chair Series Swivel Task Chairs</t>
  </si>
  <si>
    <t>CA-2019-109407</t>
  </si>
  <si>
    <t>Microsoft Sculpt Comfort Mouse-110044</t>
  </si>
  <si>
    <t>Microsoft Sculpt Comfort Mouse</t>
  </si>
  <si>
    <t>CA-2019-153346</t>
  </si>
  <si>
    <t>Dixon Ticonderoga Maple Cedar Pencil, #2-153346</t>
  </si>
  <si>
    <t>Dixon Ticonderoga Maple Cedar Pencil, #2</t>
  </si>
  <si>
    <t>US-2019-140809</t>
  </si>
  <si>
    <t>Newell 345-111143</t>
  </si>
  <si>
    <t>Newell 345</t>
  </si>
  <si>
    <t>CA-2019-101189</t>
  </si>
  <si>
    <t>Safco Drafting Table-111416</t>
  </si>
  <si>
    <t>Safco Drafting Table</t>
  </si>
  <si>
    <t>CA-2019-125017</t>
  </si>
  <si>
    <t>Memo Book, 100 Message Capacity, 5 3/8â€ x 11â€-111696</t>
  </si>
  <si>
    <t>Memo Book, 100 Message Capacity, 5 3/8â€ x 11â€</t>
  </si>
  <si>
    <t>CA-2019-163048</t>
  </si>
  <si>
    <t>Fellowes Neat Ideas Storage Cubes-112277</t>
  </si>
  <si>
    <t>Fellowes Neat Ideas Storage Cubes</t>
  </si>
  <si>
    <t>CA-2019-112942</t>
  </si>
  <si>
    <t>Kensington Orbit Wireless Mobile Trackball for PC and Mac-112382</t>
  </si>
  <si>
    <t>Kensington Orbit Wireless Mobile Trackball for PC and Mac</t>
  </si>
  <si>
    <t>CA-2019-144400</t>
  </si>
  <si>
    <t>KI Adjustable-Height Table-113096</t>
  </si>
  <si>
    <t>KI Adjustable-Height Table</t>
  </si>
  <si>
    <t>CA-2019-102456</t>
  </si>
  <si>
    <t>GBC Prepunched Paper, 19-Hole, for Binding Systems, 24-lb-113341</t>
  </si>
  <si>
    <t>GBC Prepunched Paper, 19-Hole, for Binding Systems, 24-lb</t>
  </si>
  <si>
    <t>CA-2019-122511</t>
  </si>
  <si>
    <t>Cisco Small Business SPA 502G VoIP phone-115525</t>
  </si>
  <si>
    <t>Cisco Small Business SPA 502G VoIP phone</t>
  </si>
  <si>
    <t>CA-2019-119683</t>
  </si>
  <si>
    <t>I Need's 3d Hello Kitty Hybrid Silicone Case Cover for HTC One X 4g with 3d Hello Kitty Stylus Pen Green/pink-116379</t>
  </si>
  <si>
    <t>CA-2019-115504</t>
  </si>
  <si>
    <t>Sanford Pocket Accent Highlighters-116344</t>
  </si>
  <si>
    <t>Sanford Pocket Accent Highlighters</t>
  </si>
  <si>
    <t>CA-2019-158834</t>
  </si>
  <si>
    <t>Belkin 7 Outlet SurgeMaster Surge Protector with Phone Protection-158834</t>
  </si>
  <si>
    <t>Belkin 7 Outlet SurgeMaster Surge Protector with Phone Protection</t>
  </si>
  <si>
    <t>CA-2019-102134</t>
  </si>
  <si>
    <t>Binder Posts-116974</t>
  </si>
  <si>
    <t>US-2019-154361</t>
  </si>
  <si>
    <t>Staple holder-117282</t>
  </si>
  <si>
    <t>Staple holder</t>
  </si>
  <si>
    <t>CA-2019-128111</t>
  </si>
  <si>
    <t>Recycled Easel Ring Binders-117604</t>
  </si>
  <si>
    <t>Recycled Easel Ring Binders</t>
  </si>
  <si>
    <t>CA-2019-113292</t>
  </si>
  <si>
    <t>Wilson Jones Turn Tabs Binder Tool for Ring Binders-117681</t>
  </si>
  <si>
    <t>Wilson Jones Turn Tabs Binder Tool for Ring Binders</t>
  </si>
  <si>
    <t>CA-2019-162747</t>
  </si>
  <si>
    <t>Panasonic KX MB2061 Multifunction Printer-118311</t>
  </si>
  <si>
    <t>Panasonic KX MB2061 Multifunction Printer</t>
  </si>
  <si>
    <t>CA-2019-113803</t>
  </si>
  <si>
    <t>Nortel Business Series Terminal T7208 Digital phone-118514</t>
  </si>
  <si>
    <t>Nortel Business Series Terminal T7208 Digital phone</t>
  </si>
  <si>
    <t>CA-2019-120082</t>
  </si>
  <si>
    <t>Wirebound Service Call Books, 5 1/2" x 4"-118626</t>
  </si>
  <si>
    <t>CA-2019-134887</t>
  </si>
  <si>
    <t>Global Low Back Tilter Chair-118745</t>
  </si>
  <si>
    <t>Global Low Back Tilter Chair</t>
  </si>
  <si>
    <t>CA-2019-123666</t>
  </si>
  <si>
    <t>G.E. Halogen Desk Lamp Bulbs-118899</t>
  </si>
  <si>
    <t>G.E. Halogen Desk Lamp Bulbs</t>
  </si>
  <si>
    <t>US-2019-160206</t>
  </si>
  <si>
    <t>Wilson Jones Hanging View Binder, White, 1"-119445</t>
  </si>
  <si>
    <t>CA-2019-120796</t>
  </si>
  <si>
    <t>Hon Rectangular Conference Tables-119641</t>
  </si>
  <si>
    <t>Hon Rectangular Conference Tables</t>
  </si>
  <si>
    <t>US-2019-150140</t>
  </si>
  <si>
    <t>Eldon Simplefile Box Office-120190</t>
  </si>
  <si>
    <t>Eldon Simplefile Box Office</t>
  </si>
  <si>
    <t>CA-2019-120530</t>
  </si>
  <si>
    <t>Xerox 1915-120257</t>
  </si>
  <si>
    <t>Xerox 1915</t>
  </si>
  <si>
    <t>CA-2019-154998</t>
  </si>
  <si>
    <t>Executive Impressions 16-1/2" Circular Wall Clock-120530</t>
  </si>
  <si>
    <t>Executive Impressions 16-1/2" Circular Wall Clock</t>
  </si>
  <si>
    <t>CA-2019-124233</t>
  </si>
  <si>
    <t>Xerox 1899-120558</t>
  </si>
  <si>
    <t>Xerox 1899</t>
  </si>
  <si>
    <t>CA-2019-163594</t>
  </si>
  <si>
    <t>Xerox 206-163594</t>
  </si>
  <si>
    <t>Xerox 206</t>
  </si>
  <si>
    <t>US-2019-133508</t>
  </si>
  <si>
    <t>Hon Non-Folding Utility Tables-122518</t>
  </si>
  <si>
    <t>Hon Non-Folding Utility Tables</t>
  </si>
  <si>
    <t>CA-2019-113061</t>
  </si>
  <si>
    <t>Compact Automatic Electric Letter Opener-123540</t>
  </si>
  <si>
    <t>Compact Automatic Electric Letter Opener</t>
  </si>
  <si>
    <t>CA-2019-147578</t>
  </si>
  <si>
    <t>Panasonic KX TS208W Corded phone-123617</t>
  </si>
  <si>
    <t>Panasonic KX TS208W Corded phone</t>
  </si>
  <si>
    <t>CA-2019-139556</t>
  </si>
  <si>
    <t>Avery Hi-Liter Pen Style Six-Color Fluorescent Set-124051</t>
  </si>
  <si>
    <t>Avery Hi-Liter Pen Style Six-Color Fluorescent Set</t>
  </si>
  <si>
    <t>CA-2019-154788</t>
  </si>
  <si>
    <t>Holmes 99% HEPA Air Purifier-124583</t>
  </si>
  <si>
    <t>Holmes 99% HEPA Air Purifier</t>
  </si>
  <si>
    <t>US-2019-102239</t>
  </si>
  <si>
    <t>Global Adaptabilities Conference Tables-102239</t>
  </si>
  <si>
    <t>CA-2019-159765</t>
  </si>
  <si>
    <t>Avery 494-126102</t>
  </si>
  <si>
    <t>CA-2019-133816</t>
  </si>
  <si>
    <t>Advantus Motivational Note Cards-126795</t>
  </si>
  <si>
    <t>Advantus Motivational Note Cards</t>
  </si>
  <si>
    <t>US-2019-101196</t>
  </si>
  <si>
    <t>Tennsco 16-Compartment Lockers with Coat Rack-127250</t>
  </si>
  <si>
    <t>Tennsco 16-Compartment Lockers with Coat Rack</t>
  </si>
  <si>
    <t>CA-2019-167416</t>
  </si>
  <si>
    <t>Eldon Image Series Desk Accessories, Ebony-127194</t>
  </si>
  <si>
    <t>CA-2019-126935</t>
  </si>
  <si>
    <t>LogitechÂ Illuminated - Keyboard-128111</t>
  </si>
  <si>
    <t>LogitechÂ Illuminated - Keyboard</t>
  </si>
  <si>
    <t>CA-2019-154081</t>
  </si>
  <si>
    <t>Deflect-o Glass Clear Studded Chair Mats-129728</t>
  </si>
  <si>
    <t>Deflect-o Glass Clear Studded Chair Mats</t>
  </si>
  <si>
    <t>CA-2019-142762</t>
  </si>
  <si>
    <t>SanDisk Ultra 64 GB MicroSDHC Class 10 Memory Card-129903</t>
  </si>
  <si>
    <t>SanDisk Ultra 64 GB MicroSDHC Class 10 Memory Card</t>
  </si>
  <si>
    <t>CA-2019-133725</t>
  </si>
  <si>
    <t>Plantronics Audio 478 Stereo USB Headset-129861</t>
  </si>
  <si>
    <t>CA-2019-155565</t>
  </si>
  <si>
    <t>Anker 36W 4-Port USB Wall Charger Travel Power Adapter for iPhone 5s 5c 5-130442</t>
  </si>
  <si>
    <t>Anker 36W 4-Port USB Wall Charger Travel Power Adapter for iPhone 5s 5c 5</t>
  </si>
  <si>
    <t>CA-2019-119823</t>
  </si>
  <si>
    <t>Acme Preferred Stainless Steel Scissors-131576</t>
  </si>
  <si>
    <t>Acme Preferred Stainless Steel Scissors</t>
  </si>
  <si>
    <t>CA-2019-149671</t>
  </si>
  <si>
    <t>C-Line Peel &amp; Stick Add-On Filing Pockets, 8-3/4 x 5-1/8, 10/Pack-132017</t>
  </si>
  <si>
    <t>CA-2019-110982</t>
  </si>
  <si>
    <t>Avery Non-Stick Binders-110982</t>
  </si>
  <si>
    <t>CA-2019-127369</t>
  </si>
  <si>
    <t>Newell 329-132304</t>
  </si>
  <si>
    <t>Newell 329</t>
  </si>
  <si>
    <t>US-2019-167472</t>
  </si>
  <si>
    <t>Logitech Trackman Marble Mouse-167472</t>
  </si>
  <si>
    <t>CA-2019-154662</t>
  </si>
  <si>
    <t>Blue String-Tie &amp; Button Interoffice Envelopes, 10 x 13-132899</t>
  </si>
  <si>
    <t>Blue String-Tie &amp; Button Interoffice Envelopes, 10 x 13</t>
  </si>
  <si>
    <t>US-2019-139710</t>
  </si>
  <si>
    <t>Pressboard Data Binders by Wilson Jones-132990</t>
  </si>
  <si>
    <t>CA-2019-132304</t>
  </si>
  <si>
    <t>Fellowes Mobile File Cart, Black-134362</t>
  </si>
  <si>
    <t>CA-2019-123512</t>
  </si>
  <si>
    <t>Bush Heritage Pine Collection 5-Shelf Bookcase, Albany Pine Finish, *Special Order-123512</t>
  </si>
  <si>
    <t>CA-2019-145842</t>
  </si>
  <si>
    <t>Howard Miller 14-1/2" Diameter Chrome Round Wall Clock-135636</t>
  </si>
  <si>
    <t>Howard Miller 14-1/2" Diameter Chrome Round Wall Clock</t>
  </si>
  <si>
    <t>CA-2019-168361</t>
  </si>
  <si>
    <t>GBC Poly Designer Binding Covers-136287</t>
  </si>
  <si>
    <t>GBC Poly Designer Binding Covers</t>
  </si>
  <si>
    <t>CA-2019-168543</t>
  </si>
  <si>
    <t>Sanford Colorific Colored Pencils, 12/Box-138597</t>
  </si>
  <si>
    <t>Sanford Colorific Colored Pencils, 12/Box</t>
  </si>
  <si>
    <t>CA-2019-152520</t>
  </si>
  <si>
    <t>O'Sullivan Elevations Bookcase, Cherry Finish-138933</t>
  </si>
  <si>
    <t>O'Sullivan Elevations Bookcase, Cherry Finish</t>
  </si>
  <si>
    <t>CA-2019-164924</t>
  </si>
  <si>
    <t>Alliance Super-Size Bands, Assorted Sizes-139549</t>
  </si>
  <si>
    <t>CA-2019-126613</t>
  </si>
  <si>
    <t>Xerox 1891-139157</t>
  </si>
  <si>
    <t>Xerox 1891</t>
  </si>
  <si>
    <t>CA-2019-130050</t>
  </si>
  <si>
    <t>Razer Kraken PRO Over Ear PC and Music Headset-140256</t>
  </si>
  <si>
    <t>Razer Kraken PRO Over Ear PC and Music Headset</t>
  </si>
  <si>
    <t>CA-2019-157763</t>
  </si>
  <si>
    <t>Computer Printout Paper with Letter-Trim Perforations-140613</t>
  </si>
  <si>
    <t>Computer Printout Paper with Letter-Trim Perforations</t>
  </si>
  <si>
    <t>CA-2019-161676</t>
  </si>
  <si>
    <t>Avery White Multi-Purpose Labels-140634</t>
  </si>
  <si>
    <t>Avery White Multi-Purpose Labels</t>
  </si>
  <si>
    <t>CA-2019-144855</t>
  </si>
  <si>
    <t>Avery 49-140977</t>
  </si>
  <si>
    <t>Avery 49</t>
  </si>
  <si>
    <t>CA-2019-111318</t>
  </si>
  <si>
    <t>Avery 508-141019</t>
  </si>
  <si>
    <t>Avery 508</t>
  </si>
  <si>
    <t>CA-2019-162404</t>
  </si>
  <si>
    <t>Samsung Replacement EH64AVFWE Premium Headset-141180</t>
  </si>
  <si>
    <t>CA-2019-103037</t>
  </si>
  <si>
    <t>Staple holder-142615</t>
  </si>
  <si>
    <t>CA-2019-111115</t>
  </si>
  <si>
    <t>Acco Data Flex Cable Posts For Top &amp; Bottom Load Binders, 6" Capacity-142762</t>
  </si>
  <si>
    <t>Acco Data Flex Cable Posts For Top &amp; Bottom Load Binders, 6" Capacity</t>
  </si>
  <si>
    <t>CA-2019-107783</t>
  </si>
  <si>
    <t>Safco Value Mate Series Steel Bookcases, Baked Enamel Finish on Steel, Gray-107783</t>
  </si>
  <si>
    <t>CA-2019-144148</t>
  </si>
  <si>
    <t>Avery Durable Plastic 1" Binders-144554</t>
  </si>
  <si>
    <t>Avery Durable Plastic 1" Binders</t>
  </si>
  <si>
    <t>US-2019-102232</t>
  </si>
  <si>
    <t>Wirebound Four 2-3/4 x 5 Forms per Page, 400 Sets per Book-144855</t>
  </si>
  <si>
    <t>Wirebound Four 2-3/4 x 5 Forms per Page, 400 Sets per Book</t>
  </si>
  <si>
    <t>CA-2019-151092</t>
  </si>
  <si>
    <t>GBC VeloBinder Manual Binding System-145009</t>
  </si>
  <si>
    <t>GBC VeloBinder Manual Binding System</t>
  </si>
  <si>
    <t>US-2019-144477</t>
  </si>
  <si>
    <t>Staple envelope-146150-146150</t>
  </si>
  <si>
    <t>Staple envelope-146150</t>
  </si>
  <si>
    <t>CA-2019-167584</t>
  </si>
  <si>
    <t>Avery 499-146143</t>
  </si>
  <si>
    <t>Avery 499</t>
  </si>
  <si>
    <t>CA-2019-113117</t>
  </si>
  <si>
    <t>GE General Purpose, Extra Long Life, Showcase &amp; Floodlight Incandescent Bulbs-146682</t>
  </si>
  <si>
    <t>GE General Purpose, Extra Long Life, Showcase &amp; Floodlight Incandescent Bulbs</t>
  </si>
  <si>
    <t>CA-2019-136133</t>
  </si>
  <si>
    <t>O'Sullivan 2-Door Barrister Bookcase in Odessa Pine-147123</t>
  </si>
  <si>
    <t>O'Sullivan 2-Door Barrister Bookcase in Odessa Pine</t>
  </si>
  <si>
    <t>US-2019-106313</t>
  </si>
  <si>
    <t>Xerox 222-147683</t>
  </si>
  <si>
    <t>CA-2019-130484</t>
  </si>
  <si>
    <t>Tenex Personal Project File with Scoop Front Design, Black-147578</t>
  </si>
  <si>
    <t>Tenex Personal Project File with Scoop Front Design, Black</t>
  </si>
  <si>
    <t>US-2019-100405</t>
  </si>
  <si>
    <t>Elite 5" Scissors-148740</t>
  </si>
  <si>
    <t>CA-2019-105585</t>
  </si>
  <si>
    <t>Advantus SlideClip Paper Clips-105585</t>
  </si>
  <si>
    <t>Advantus SlideClip Paper Clips</t>
  </si>
  <si>
    <t>US-2019-163538</t>
  </si>
  <si>
    <t>Chromcraft Round Conference Tables-148796</t>
  </si>
  <si>
    <t>Chromcraft Round Conference Tables</t>
  </si>
  <si>
    <t>CA-2019-137652</t>
  </si>
  <si>
    <t>Newell 31-149223</t>
  </si>
  <si>
    <t>Newell 31</t>
  </si>
  <si>
    <t>CA-2019-128727</t>
  </si>
  <si>
    <t>Belkin F9S820V06 8 Outlet Surge-149237</t>
  </si>
  <si>
    <t>Belkin F9S820V06 8 Outlet Surge</t>
  </si>
  <si>
    <t>CA-2019-132143</t>
  </si>
  <si>
    <t>Ultra Door Pull Handle-149503</t>
  </si>
  <si>
    <t>Ultra Door Pull Handle</t>
  </si>
  <si>
    <t>CA-2019-159737</t>
  </si>
  <si>
    <t>GBC Ibimaster 500 Manual ProClick Binding System-149685</t>
  </si>
  <si>
    <t>CA-2019-154536</t>
  </si>
  <si>
    <t>WD My Passport Ultra 1TB Portable External Hard Drive-151498</t>
  </si>
  <si>
    <t>WD My Passport Ultra 1TB Portable External Hard Drive</t>
  </si>
  <si>
    <t>CA-2019-160815</t>
  </si>
  <si>
    <t>Plantronics CordlessÂ Phone HeadsetÂ with In-line Volume - M214C-151512</t>
  </si>
  <si>
    <t>Plantronics CordlessÂ Phone HeadsetÂ with In-line Volume - M214C</t>
  </si>
  <si>
    <t>US-2019-152373</t>
  </si>
  <si>
    <t>GBC Standard Therm-A-Bind Covers-152247</t>
  </si>
  <si>
    <t>CA-2019-145240</t>
  </si>
  <si>
    <t>Maxell 4.7GB DVD-R-152331</t>
  </si>
  <si>
    <t>Maxell 4.7GB DVD-R</t>
  </si>
  <si>
    <t>CA-2019-149223</t>
  </si>
  <si>
    <t>ImationÂ 30456 USBÂ Flash DriveÂ 8GB-152408</t>
  </si>
  <si>
    <t>ImationÂ 30456 USBÂ Flash DriveÂ 8GB</t>
  </si>
  <si>
    <t>CA-2019-126102</t>
  </si>
  <si>
    <t>Adams Phone Message Book, Professional, 400 Message Capacity, 5 3/6â€ x 11â€-152814</t>
  </si>
  <si>
    <t>Adams Phone Message Book, Professional, 400 Message Capacity, 5 3/6â€ x 11â€</t>
  </si>
  <si>
    <t>CA-2019-155439</t>
  </si>
  <si>
    <t>Westinghouse Clip-On Gooseneck Lamps-153353</t>
  </si>
  <si>
    <t>CA-2019-149370</t>
  </si>
  <si>
    <t>Crayola Colored Pencils-153682</t>
  </si>
  <si>
    <t>CA-2019-131093</t>
  </si>
  <si>
    <t>WD My Passport Ultra 1TB Portable External Hard Drive-154508</t>
  </si>
  <si>
    <t>CA-2019-130267</t>
  </si>
  <si>
    <t>SanDisk Cruzer 64 GB USB Flash Drive-155033</t>
  </si>
  <si>
    <t>SanDisk Cruzer 64 GB USB Flash Drive</t>
  </si>
  <si>
    <t>CA-2019-120250</t>
  </si>
  <si>
    <t>GBC DocuBind TL300 Electric Binding System-155005</t>
  </si>
  <si>
    <t>CA-2019-158610</t>
  </si>
  <si>
    <t>GBC Pre-Punched Binding Paper, Plastic, White, 8-1/2" x 11"-155383</t>
  </si>
  <si>
    <t>CA-2019-166772</t>
  </si>
  <si>
    <t>Howard Miller 13-1/2" Diameter Rosebrook Wall Clock-155530</t>
  </si>
  <si>
    <t>CA-2019-166653</t>
  </si>
  <si>
    <t>Newell 34-157259</t>
  </si>
  <si>
    <t>Newell 34</t>
  </si>
  <si>
    <t>US-2019-147340</t>
  </si>
  <si>
    <t>GBC Wire Binding Strips-157868</t>
  </si>
  <si>
    <t>GBC Wire Binding Strips</t>
  </si>
  <si>
    <t>CA-2019-101385</t>
  </si>
  <si>
    <t>Avery 473-158043</t>
  </si>
  <si>
    <t>Avery 473</t>
  </si>
  <si>
    <t>US-2019-122245</t>
  </si>
  <si>
    <t>Embossed Ink Jet Note Cards-158358</t>
  </si>
  <si>
    <t>Embossed Ink Jet Note Cards</t>
  </si>
  <si>
    <t>US-2019-109260</t>
  </si>
  <si>
    <t>GBC Instant Report Kit-158617</t>
  </si>
  <si>
    <t>CA-2019-140249</t>
  </si>
  <si>
    <t>Xerox 23-159345</t>
  </si>
  <si>
    <t>CA-2019-106243</t>
  </si>
  <si>
    <t>RCA Visys Integrated PBX 8-Line Router-160486</t>
  </si>
  <si>
    <t>RCA Visys Integrated PBX 8-Line Router</t>
  </si>
  <si>
    <t>CA-2019-155992</t>
  </si>
  <si>
    <t>Plantronics CordlessÂ Phone HeadsetÂ with In-line Volume - M214C-155992</t>
  </si>
  <si>
    <t>CA-2019-118969</t>
  </si>
  <si>
    <t>Ibico EB-19 Dual Function Manual Binding System-161158</t>
  </si>
  <si>
    <t>CA-2019-155033</t>
  </si>
  <si>
    <t>Samsung Galaxy S4-162222</t>
  </si>
  <si>
    <t>CA-2019-127649</t>
  </si>
  <si>
    <t>DXL Angle-View Binders with Locking Rings by Samsill-162110</t>
  </si>
  <si>
    <t>DXL Angle-View Binders with Locking Rings by Samsill</t>
  </si>
  <si>
    <t>CA-2019-149685</t>
  </si>
  <si>
    <t>14-7/8 x 11 Blue Bar Computer Printout Paper-162614</t>
  </si>
  <si>
    <t>14-7/8 x 11 Blue Bar Computer Printout Paper</t>
  </si>
  <si>
    <t>US-2019-162026</t>
  </si>
  <si>
    <t>Geemarc AmpliPOWER60-162747</t>
  </si>
  <si>
    <t>CA-2019-116974</t>
  </si>
  <si>
    <t>Belkin 6 Outlet Metallic Surge Strip-162901</t>
  </si>
  <si>
    <t>Belkin 6 Outlet Metallic Surge Strip</t>
  </si>
  <si>
    <t>CA-2019-141586</t>
  </si>
  <si>
    <t>GBC ProClick 150 Presentation Binding System-163202</t>
  </si>
  <si>
    <t>GBC ProClick 150 Presentation Binding System</t>
  </si>
  <si>
    <t>CA-2019-144729</t>
  </si>
  <si>
    <t>KI Adjustable-Height Table-164483</t>
  </si>
  <si>
    <t>CA-2019-133669</t>
  </si>
  <si>
    <t>Fellowes Bankers Box Stor/Drawer Steel Plus-164350</t>
  </si>
  <si>
    <t>Fellowes Bankers Box Stor/Drawer Steel Plus</t>
  </si>
  <si>
    <t>CA-2019-151169</t>
  </si>
  <si>
    <t>Kensington 6 Outlet Guardian Standard Surge Protector-164490</t>
  </si>
  <si>
    <t>Kensington 6 Outlet Guardian Standard Surge Protector</t>
  </si>
  <si>
    <t>CA-2019-112340</t>
  </si>
  <si>
    <t>Newell 351-163986</t>
  </si>
  <si>
    <t>CA-2019-165148</t>
  </si>
  <si>
    <t>Ampad Phone Message Book, Recycled, 400 Message Capacity, 5 Â¾â€ x 11â€-164735</t>
  </si>
  <si>
    <t>Ampad Phone Message Book, Recycled, 400 Message Capacity, 5 Â¾â€ x 11â€</t>
  </si>
  <si>
    <t>CA-2019-152632</t>
  </si>
  <si>
    <t>File Shuttle II and Handi-File, Black-165820</t>
  </si>
  <si>
    <t>CA-2019-120873</t>
  </si>
  <si>
    <t>Economy Binders-165673</t>
  </si>
  <si>
    <t>Economy Binders</t>
  </si>
  <si>
    <t>CA-2019-120369</t>
  </si>
  <si>
    <t>Cisco SPA525G2 IP Phone - Wireless-166240</t>
  </si>
  <si>
    <t>US-2019-144393</t>
  </si>
  <si>
    <t>Heavy-Duty E-Z-D Binders-166429</t>
  </si>
  <si>
    <t>US-2019-131912</t>
  </si>
  <si>
    <t>Memorex Mini Travel Drive 16 GB USB 2.0 Flash Drive-166485</t>
  </si>
  <si>
    <t>Memorex Mini Travel Drive 16 GB USB 2.0 Flash Drive</t>
  </si>
  <si>
    <t>CA-2019-167290</t>
  </si>
  <si>
    <t>Avery Trapezoid Ring Binder, 3" Capacity, Black, 1040 sheets-166653</t>
  </si>
  <si>
    <t>Avery Trapezoid Ring Binder, 3" Capacity, Black, 1040 sheets</t>
  </si>
  <si>
    <t>CA-2019-119165</t>
  </si>
  <si>
    <t>Avery Arch Ring Binders-166772</t>
  </si>
  <si>
    <t>Avery Arch Ring Binders</t>
  </si>
  <si>
    <t>US-2019-142251</t>
  </si>
  <si>
    <t>OtterBox Commuter Series Case - iPhone 5 &amp; 5s-167290</t>
  </si>
  <si>
    <t>OtterBox Commuter Series Case - iPhone 5 &amp; 5s</t>
  </si>
  <si>
    <t>CA-2019-159023</t>
  </si>
  <si>
    <t>Avery Reinforcements for Hole-Punch Pages-159023</t>
  </si>
  <si>
    <t>Avery Reinforcements for Hole-Punch Pages</t>
  </si>
  <si>
    <t>CA-2019-166443</t>
  </si>
  <si>
    <t>Peel &amp; Seel Envelopes-168557</t>
  </si>
  <si>
    <t>CA-2019-140207</t>
  </si>
  <si>
    <t>Ibico Hi-Tech Manual Binding System-168830</t>
  </si>
  <si>
    <t>Ibico Hi-Tech Manual Binding System</t>
  </si>
  <si>
    <t>US-2019-106677</t>
  </si>
  <si>
    <t>Premier Electric Letter Opener-169166</t>
  </si>
  <si>
    <t>Premier Electric Letter Opener</t>
  </si>
  <si>
    <t>US-2019-153815</t>
  </si>
  <si>
    <t>High-Back Leather Manager's Chair-153815</t>
  </si>
  <si>
    <t>CA-2019-132997</t>
  </si>
  <si>
    <t>AT&amp;T SB67148 SynJ-132997</t>
  </si>
  <si>
    <t>AT&amp;T SB67148 SynJ</t>
  </si>
  <si>
    <t>CA-2019-113817</t>
  </si>
  <si>
    <t>Fellowes Officeware Wire Shelving-169334</t>
  </si>
  <si>
    <t>Fellowes Officeware Wire Shelving</t>
  </si>
  <si>
    <t>CA-2019-138233</t>
  </si>
  <si>
    <t>WD My Passport Ultra 2TB Portable External Hard Drive-105445</t>
  </si>
  <si>
    <t>WD My Passport Ultra 2TB Portable External Hard Drive</t>
  </si>
  <si>
    <t>CA-2019-163384</t>
  </si>
  <si>
    <t>ACCOHIDE 3-Ring Binder, Blue, 1"-163384</t>
  </si>
  <si>
    <t>ACCOHIDE 3-Ring Binder, Blue, 1"</t>
  </si>
  <si>
    <t>CA-2019-152940</t>
  </si>
  <si>
    <t>Spigen Samsung Galaxy S5 Case Wallet-107503</t>
  </si>
  <si>
    <t>CA-2019-147683</t>
  </si>
  <si>
    <t>Ultra Door Push Plate-117156</t>
  </si>
  <si>
    <t>Ultra Door Push Plate</t>
  </si>
  <si>
    <t>US-2019-162103</t>
  </si>
  <si>
    <t>Ultra Door Pull Handle-118668</t>
  </si>
  <si>
    <t>CA-2019-121958</t>
  </si>
  <si>
    <t>Canon PC-428 Personal Copier-116204</t>
  </si>
  <si>
    <t>Canon PC-428 Personal Copier</t>
  </si>
  <si>
    <t>CA-2019-124527</t>
  </si>
  <si>
    <t>Ricoh - Ink Collector Unit for GX3000 Series Printers-122693</t>
  </si>
  <si>
    <t>Ricoh - Ink Collector Unit for GX3000 Series Printers</t>
  </si>
  <si>
    <t>CA-2019-150658</t>
  </si>
  <si>
    <t>Staples-124086</t>
  </si>
  <si>
    <t>CA-2019-157364</t>
  </si>
  <si>
    <t>4009 Highlighters by Sanford-129910</t>
  </si>
  <si>
    <t>4009 Highlighters by Sanford</t>
  </si>
  <si>
    <t>CA-2019-142615</t>
  </si>
  <si>
    <t>Hon Deluxe Fabric Upholstered Stacking Chairs, Rounded Back-132290</t>
  </si>
  <si>
    <t>CA-2019-113425</t>
  </si>
  <si>
    <t>Cardinal Holdit Business Card Pockets-136511</t>
  </si>
  <si>
    <t>CA-2019-152646</t>
  </si>
  <si>
    <t>Global Executive Mid-Back Manager's Chair-138156</t>
  </si>
  <si>
    <t>Global Executive Mid-Back Manager's Chair</t>
  </si>
  <si>
    <t>CA-2019-131576</t>
  </si>
  <si>
    <t>Sony 64GB Class 10 Micro SDHC R40 Memory Card-140494</t>
  </si>
  <si>
    <t>CA-2019-100083</t>
  </si>
  <si>
    <t>First Data FD10 PIN Pad-141782</t>
  </si>
  <si>
    <t>First Data FD10 PIN Pad</t>
  </si>
  <si>
    <t>CA-2019-125661</t>
  </si>
  <si>
    <t>Brown Kraft Recycled Envelopes-125661</t>
  </si>
  <si>
    <t>CA-2019-113341</t>
  </si>
  <si>
    <t>Luxo Professional Magnifying Clamp-On Fluorescent Lamps-147144</t>
  </si>
  <si>
    <t>Luxo Professional Magnifying Clamp-On Fluorescent Lamps</t>
  </si>
  <si>
    <t>CA-2019-130288</t>
  </si>
  <si>
    <t>Master Caster Door Stop, Large Neon Orange-150469</t>
  </si>
  <si>
    <t>CA-2019-129693</t>
  </si>
  <si>
    <t>Apple EarPods with Remote and Mic-149076</t>
  </si>
  <si>
    <t>Apple EarPods with Remote and Mic</t>
  </si>
  <si>
    <t>CA-2019-133711</t>
  </si>
  <si>
    <t>Easy-staple paper-133711</t>
  </si>
  <si>
    <t>US-2019-158309</t>
  </si>
  <si>
    <t>Fellowes 8 Outlet Superior Workstation Surge Protector-152079</t>
  </si>
  <si>
    <t>Fellowes 8 Outlet Superior Workstation Surge Protector</t>
  </si>
  <si>
    <t>CA-2019-152121</t>
  </si>
  <si>
    <t>Bush Westfield Collection Bookcases, Medium Cherry Finish-152135</t>
  </si>
  <si>
    <t>Bush Westfield Collection Bookcases, Medium Cherry Finish</t>
  </si>
  <si>
    <t>CA-2019-123617</t>
  </si>
  <si>
    <t>Global Airflow Leather Mesh Back Chair, Black-154214</t>
  </si>
  <si>
    <t>US-2019-131674</t>
  </si>
  <si>
    <t>Clarity 53712-154718</t>
  </si>
  <si>
    <t>Clarity 53712</t>
  </si>
  <si>
    <t>CA-2019-136483</t>
  </si>
  <si>
    <t>DAX Copper Panel Document Frame, 5 x 7 Size-157252</t>
  </si>
  <si>
    <t>DAX Copper Panel Document Frame, 5 x 7 Size</t>
  </si>
  <si>
    <t>CA-2019-127698</t>
  </si>
  <si>
    <t>TOPS Voice Message Log Book, Flash Format-155712</t>
  </si>
  <si>
    <t>TOPS Voice Message Log Book, Flash Format</t>
  </si>
  <si>
    <t>US-2019-150861</t>
  </si>
  <si>
    <t>Xerox 1964-150861</t>
  </si>
  <si>
    <t>Xerox 1964</t>
  </si>
  <si>
    <t>CA-2019-153598</t>
  </si>
  <si>
    <t>LogitechÂ Z-906 Speaker sys - home theater - 5.1-CH-153598</t>
  </si>
  <si>
    <t>LogitechÂ Z-906 Speaker sys - home theater - 5.1-CH</t>
  </si>
  <si>
    <t>CA-2019-126004</t>
  </si>
  <si>
    <t>Eldon Delta Triangular Chair Mat, 52" x 58", Clear-126004</t>
  </si>
  <si>
    <t>CA-2019-145009</t>
  </si>
  <si>
    <t>14-7/8 x 11 Blue Bar Computer Printout Paper-166296</t>
  </si>
  <si>
    <t>CA-2019-161389</t>
  </si>
  <si>
    <t>Micro Innovations Wireless Classic Keyboard with Mouse-166415</t>
  </si>
  <si>
    <t>CA-2019-102092</t>
  </si>
  <si>
    <t>Easy-staple paper-101399</t>
  </si>
  <si>
    <t>CA-2019-159989</t>
  </si>
  <si>
    <t>Xerox 1917-104430</t>
  </si>
  <si>
    <t>Xerox 1917</t>
  </si>
  <si>
    <t>CA-2019-127194</t>
  </si>
  <si>
    <t>Global Wood Trimmed Manager's Task Chair, Khaki-106495</t>
  </si>
  <si>
    <t>Global Wood Trimmed Manager's Task Chair, Khaki</t>
  </si>
  <si>
    <t>US-2019-143448</t>
  </si>
  <si>
    <t>SANFORD Major Accent Highlighters-110261</t>
  </si>
  <si>
    <t>US-2019-151260</t>
  </si>
  <si>
    <t>Verbatim Slim CD and DVD Storage Cases, 50/Pack-117492</t>
  </si>
  <si>
    <t>Verbatim Slim CD and DVD Storage Cases, 50/Pack</t>
  </si>
  <si>
    <t>CA-2019-113600</t>
  </si>
  <si>
    <t>Avery Durable Binders-120712</t>
  </si>
  <si>
    <t>Avery Durable Binders</t>
  </si>
  <si>
    <t>CA-2019-155446</t>
  </si>
  <si>
    <t>Flat Face Poster Frame-126235</t>
  </si>
  <si>
    <t>Flat Face Poster Frame</t>
  </si>
  <si>
    <t>US-2019-104794</t>
  </si>
  <si>
    <t>Acco Expandable Hanging Binders-131842</t>
  </si>
  <si>
    <t>Acco Expandable Hanging Binders</t>
  </si>
  <si>
    <t>CA-2019-101546</t>
  </si>
  <si>
    <t>Metal Folding Chairs, Beige, 4/Carton-137533</t>
  </si>
  <si>
    <t>Metal Folding Chairs, Beige, 4/Carton</t>
  </si>
  <si>
    <t>CA-2019-145261</t>
  </si>
  <si>
    <t>Vinyl Sectional Post Binders-145261</t>
  </si>
  <si>
    <t>CA-2019-147067</t>
  </si>
  <si>
    <t>Storex Dura Pro Binders-138919</t>
  </si>
  <si>
    <t>CA-2019-168536</t>
  </si>
  <si>
    <t>Eldon Expressions Wood Desk Accessories, Oak-141684</t>
  </si>
  <si>
    <t>CA-2019-115574</t>
  </si>
  <si>
    <t>Xerox Color Copier Paper, 11" x 17", Ream-145422</t>
  </si>
  <si>
    <t>CA-2019-157791</t>
  </si>
  <si>
    <t>Adjustable Depth Letter/Legal Cart-149629</t>
  </si>
  <si>
    <t>Adjustable Depth Letter/Legal Cart</t>
  </si>
  <si>
    <t>CA-2019-136049</t>
  </si>
  <si>
    <t>Sony 32GB Class 10 Micro SDHC R40 Memory Card-147739</t>
  </si>
  <si>
    <t>Sony 32GB Class 10 Micro SDHC R40 Memory Card</t>
  </si>
  <si>
    <t>CA-2019-157868</t>
  </si>
  <si>
    <t>Global Armless Task Chair, Royal Blue-149692</t>
  </si>
  <si>
    <t>CA-2019-157259</t>
  </si>
  <si>
    <t>Hon Every-Day Series Multi-Task Chairs-151407</t>
  </si>
  <si>
    <t>CA-2019-140438</t>
  </si>
  <si>
    <t>GBC Premium Transparent Covers with Diagonal Lined Pattern-150231</t>
  </si>
  <si>
    <t>CA-2019-138667</t>
  </si>
  <si>
    <t>Personal File Boxes with Fold-Down Carry Handle-163783</t>
  </si>
  <si>
    <t>Personal File Boxes with Fold-Down Carry Handle</t>
  </si>
  <si>
    <t>US-2019-162852</t>
  </si>
  <si>
    <t>Martin Yale Chadless Opener Electric Letter Opener-164308</t>
  </si>
  <si>
    <t>Martin Yale Chadless Opener Electric Letter Opener</t>
  </si>
  <si>
    <t>CA-2019-124051</t>
  </si>
  <si>
    <t>Newell 343-164357</t>
  </si>
  <si>
    <t>Newell 343</t>
  </si>
  <si>
    <t>US-2019-163258</t>
  </si>
  <si>
    <t>Acme Elite Stainless Steel Scissors-167220</t>
  </si>
  <si>
    <t>Acme Elite Stainless Steel Scissors</t>
  </si>
  <si>
    <t>CA-2019-105746</t>
  </si>
  <si>
    <t>Post-it â€œImportant Messageâ€ Note Pad, Neon Colors, 50 Sheets/Pad-168914</t>
  </si>
  <si>
    <t>Post-it â€œImportant Messageâ€ Note Pad, Neon Colors, 50 Sheets/Pad</t>
  </si>
  <si>
    <t>US-2019-105830</t>
  </si>
  <si>
    <t>Acco PRESSTEX Data Binder with Storage Hooks, Dark Blue, 14 7/8" X 11"-101616</t>
  </si>
  <si>
    <t>Acco PRESSTEX Data Binder with Storage Hooks, Dark Blue, 14 7/8" X 11"</t>
  </si>
  <si>
    <t>CA-2020-154466</t>
  </si>
  <si>
    <t>Anker Astro Mini 3000mAh Ultra-Compact Portable Charger-104794</t>
  </si>
  <si>
    <t>Anker Astro Mini 3000mAh Ultra-Compact Portable Charger</t>
  </si>
  <si>
    <t>CA-2020-107503</t>
  </si>
  <si>
    <t>QVS USB Car Charger 2-Port 2.1Amp for iPod/iPhone/iPad/iPad 2/iPad 3-102141</t>
  </si>
  <si>
    <t>QVS USB Car Charger 2-Port 2.1Amp for iPod/iPhone/iPad/iPad 2/iPad 3</t>
  </si>
  <si>
    <t>CA-2020-159366</t>
  </si>
  <si>
    <t>Xerox 2-106600</t>
  </si>
  <si>
    <t>CA-2020-115154</t>
  </si>
  <si>
    <t>Easy-staple paper-108098</t>
  </si>
  <si>
    <t>US-2020-104661</t>
  </si>
  <si>
    <t>Wilson Jones Ledger-Size, Piano-Hinge Binder, 2", Blue-104661</t>
  </si>
  <si>
    <t>CA-2020-125913</t>
  </si>
  <si>
    <t>Eldon Expressions Wood and Plastic Desk Accessories, Cherry Wood-125913</t>
  </si>
  <si>
    <t>Eldon Expressions Wood and Plastic Desk Accessories, Cherry Wood</t>
  </si>
  <si>
    <t>CA-2020-157252</t>
  </si>
  <si>
    <t>Eldon 200 Class Desk Accessories, Smoke-114622</t>
  </si>
  <si>
    <t>Eldon 200 Class Desk Accessories, Smoke</t>
  </si>
  <si>
    <t>CA-2020-161809</t>
  </si>
  <si>
    <t>White Computer Printout Paper by Universal-114776</t>
  </si>
  <si>
    <t>White Computer Printout Paper by Universal</t>
  </si>
  <si>
    <t>CA-2020-164098</t>
  </si>
  <si>
    <t>GBC Standard Recycled Report Covers, Clear Plastic Sheets-119298</t>
  </si>
  <si>
    <t>GBC Standard Recycled Report Covers, Clear Plastic Sheets</t>
  </si>
  <si>
    <t>CA-2020-145338</t>
  </si>
  <si>
    <t>#10 Gummed Flap White Envelopes, 100/Box-126844</t>
  </si>
  <si>
    <t>#10 Gummed Flap White Envelopes, 100/Box</t>
  </si>
  <si>
    <t>CA-2020-148999</t>
  </si>
  <si>
    <t>Staples-128195</t>
  </si>
  <si>
    <t>CA-2020-154102</t>
  </si>
  <si>
    <t>Tennsco Double-Tier Lockers-131912</t>
  </si>
  <si>
    <t>CA-2020-104906</t>
  </si>
  <si>
    <t>Hon Metal Bookcases, Putty-137547</t>
  </si>
  <si>
    <t>CA-2020-118521</t>
  </si>
  <si>
    <t>Anker Astro 15000mAh USB Portable Charger-139388</t>
  </si>
  <si>
    <t>Anker Astro 15000mAh USB Portable Charger</t>
  </si>
  <si>
    <t>CA-2020-111374</t>
  </si>
  <si>
    <t>Lesro Round Back Collection Coffee Table, End Table-144351</t>
  </si>
  <si>
    <t>Lesro Round Back Collection Coffee Table, End Table</t>
  </si>
  <si>
    <t>CA-2020-125878</t>
  </si>
  <si>
    <t>Boston Home &amp; Office Model 2000 Electric Pencil Sharpeners-144393</t>
  </si>
  <si>
    <t>CA-2020-124114</t>
  </si>
  <si>
    <t>GBC Imprintable Covers-144547</t>
  </si>
  <si>
    <t>GBC Imprintable Covers</t>
  </si>
  <si>
    <t>CA-2020-147753</t>
  </si>
  <si>
    <t>Razer Kraken 7.1 Surround Sound Over Ear USB Gaming Headset-148334</t>
  </si>
  <si>
    <t>Razer Kraken 7.1 Surround Sound Over Ear USB Gaming Headset</t>
  </si>
  <si>
    <t>CA-2020-155698</t>
  </si>
  <si>
    <t>Belkin 8 Outlet SurgeMaster II Gold Surge Protector with Phone Protection-155698</t>
  </si>
  <si>
    <t>Belkin 8 Outlet SurgeMaster II Gold Surge Protector with Phone Protection</t>
  </si>
  <si>
    <t>CA-2020-130967</t>
  </si>
  <si>
    <t>Dax Clear Box Frame-150140</t>
  </si>
  <si>
    <t>Dax Clear Box Frame</t>
  </si>
  <si>
    <t>CA-2020-166296</t>
  </si>
  <si>
    <t>GBC DocuBind P50 Personal Binding Machine-157308</t>
  </si>
  <si>
    <t>GBC DocuBind P50 Personal Binding Machine</t>
  </si>
  <si>
    <t>CA-2020-162474</t>
  </si>
  <si>
    <t>Security-Tint Envelopes-155404</t>
  </si>
  <si>
    <t>CA-2020-105851</t>
  </si>
  <si>
    <t>Microsoft Natural Ergonomic Keyboard 4000-154361</t>
  </si>
  <si>
    <t>Microsoft Natural Ergonomic Keyboard 4000</t>
  </si>
  <si>
    <t>CA-2020-114370</t>
  </si>
  <si>
    <t>Premium Transparent Presentation Covers, No Pattern/Clear, 8 1/2" x 11"-158288</t>
  </si>
  <si>
    <t>Premium Transparent Presentation Covers, No Pattern/Clear, 8 1/2" x 11"</t>
  </si>
  <si>
    <t>US-2020-129224</t>
  </si>
  <si>
    <t>3M Organizer Strips-158708</t>
  </si>
  <si>
    <t>3M Organizer Strips</t>
  </si>
  <si>
    <t>CA-2020-160087</t>
  </si>
  <si>
    <t>Pizazz Global Quick File-159856</t>
  </si>
  <si>
    <t>Pizazz Global Quick File</t>
  </si>
  <si>
    <t>CA-2020-105410</t>
  </si>
  <si>
    <t>ACCOHIDE 3-Ring Binder, Blue, 1"-105410</t>
  </si>
  <si>
    <t>CA-2020-154214</t>
  </si>
  <si>
    <t>Staples in misc. colors-163258</t>
  </si>
  <si>
    <t>CA-2020-156272</t>
  </si>
  <si>
    <t>Binder Clips by OIC-164196</t>
  </si>
  <si>
    <t>Binder Clips by OIC</t>
  </si>
  <si>
    <t>CA-2020-166184</t>
  </si>
  <si>
    <t>#10 White Business Envelopes,4 1/8 x 9 1/2-166184</t>
  </si>
  <si>
    <t>#10 White Business Envelopes,4 1/8 x 9 1/2</t>
  </si>
  <si>
    <t>CA-2020-101077</t>
  </si>
  <si>
    <t>DMI Arturo Collection Mission-style Design Wood Chair-119039</t>
  </si>
  <si>
    <t>US-2020-117534</t>
  </si>
  <si>
    <t>Acco Smartsocket Color-Coded Six-Outlet AC Adapter Model Surge Protectors-117534</t>
  </si>
  <si>
    <t>Acco Smartsocket Color-Coded Six-Outlet AC Adapter Model Surge Protectors</t>
  </si>
  <si>
    <t>US-2020-147886</t>
  </si>
  <si>
    <t>Xerox 1975-147886</t>
  </si>
  <si>
    <t>CA-2020-126634</t>
  </si>
  <si>
    <t>Iceberg Nesting Folding Chair, 19w x 6d x 43h-166037</t>
  </si>
  <si>
    <t>Iceberg Nesting Folding Chair, 19w x 6d x 43h</t>
  </si>
  <si>
    <t>CA-2020-129910</t>
  </si>
  <si>
    <t>Xerox 214-166611</t>
  </si>
  <si>
    <t>Xerox 214</t>
  </si>
  <si>
    <t>CA-2020-140536</t>
  </si>
  <si>
    <t>Newell 326-140536</t>
  </si>
  <si>
    <t>CA-2016-138023</t>
  </si>
  <si>
    <t>GBC Durable Plastic Covers-138023</t>
  </si>
  <si>
    <t>GBC Durable Plastic Covers</t>
  </si>
  <si>
    <t>CA-2016-141278</t>
  </si>
  <si>
    <t>Newell 341-141278</t>
  </si>
  <si>
    <t>CA-2016-142587</t>
  </si>
  <si>
    <t>Fellowes Superior 10 Outlet Split Surge Protector-142587</t>
  </si>
  <si>
    <t>CA-2016-151330</t>
  </si>
  <si>
    <t>WD My Passport Ultra 500GB Portable External Hard Drive-151330</t>
  </si>
  <si>
    <t>WD My Passport Ultra 500GB Portable External Hard Drive</t>
  </si>
  <si>
    <t>CA-2016-149524</t>
  </si>
  <si>
    <t>Sauder Cornerstone Collection Library-149524</t>
  </si>
  <si>
    <t>Sauder Cornerstone Collection Library</t>
  </si>
  <si>
    <t>CA-2016-146591</t>
  </si>
  <si>
    <t>GBC Standard Recycled Report Covers, Clear Plastic Sheets-146591</t>
  </si>
  <si>
    <t>CA-2016-131905</t>
  </si>
  <si>
    <t>Avery 480-131905</t>
  </si>
  <si>
    <t>Avery 480</t>
  </si>
  <si>
    <t>CA-2016-103989</t>
  </si>
  <si>
    <t>Cisco 8x8 Inc. 6753i IP Business Phone System-103989</t>
  </si>
  <si>
    <t>Cisco 8x8 Inc. 6753i IP Business Phone System</t>
  </si>
  <si>
    <t>US-2016-105151</t>
  </si>
  <si>
    <t>Sanford EarthWrite Recycled Pencils, Medium Soft, #2-105151</t>
  </si>
  <si>
    <t>Sanford EarthWrite Recycled Pencils, Medium Soft, #2</t>
  </si>
  <si>
    <t>US-2016-128685</t>
  </si>
  <si>
    <t>Avery Non-Stick Binders-128685</t>
  </si>
  <si>
    <t>CA-2016-130274</t>
  </si>
  <si>
    <t>Avery 481-130274</t>
  </si>
  <si>
    <t>Avery 481</t>
  </si>
  <si>
    <t>CA-2016-127159</t>
  </si>
  <si>
    <t>DAX Value U-Channel Document Frames, Easel Back-127159</t>
  </si>
  <si>
    <t>DAX Value U-Channel Document Frames, Easel Back</t>
  </si>
  <si>
    <t>CA-2016-103429</t>
  </si>
  <si>
    <t>GBC Pre-Punched Binding Paper, Plastic, White, 8-1/2" x 11"-103429</t>
  </si>
  <si>
    <t>CA-2016-152233</t>
  </si>
  <si>
    <t>Plantronics Audio 478 Stereo USB Headset-152233</t>
  </si>
  <si>
    <t>CA-2016-152296</t>
  </si>
  <si>
    <t>Wilson Jones data.warehouse D-Ring Binders with DublLock-152296</t>
  </si>
  <si>
    <t>Wilson Jones data.warehouse D-Ring Binders with DublLock</t>
  </si>
  <si>
    <t>CA-2016-153927</t>
  </si>
  <si>
    <t>Acco Translucent Poly Ring Binders-153927</t>
  </si>
  <si>
    <t>Acco Translucent Poly Ring Binders</t>
  </si>
  <si>
    <t>CA-2016-134278</t>
  </si>
  <si>
    <t>Canon Imageclass D680 Copier / Fax-134278</t>
  </si>
  <si>
    <t>Canon Imageclass D680 Copier / Fax</t>
  </si>
  <si>
    <t>CA-2016-127866</t>
  </si>
  <si>
    <t>Maxell 74 Minute CD-R Spindle, 50/Pack-127866</t>
  </si>
  <si>
    <t>Maxell 74 Minute CD-R Spindle, 50/Pack</t>
  </si>
  <si>
    <t>CA-2016-157546</t>
  </si>
  <si>
    <t>Clear Mylar Reinforcing Strips-157546</t>
  </si>
  <si>
    <t>CA-2016-154627</t>
  </si>
  <si>
    <t>Apple iPhone 5S-154627</t>
  </si>
  <si>
    <t>Apple iPhone 5S</t>
  </si>
  <si>
    <t>CA-2016-157721</t>
  </si>
  <si>
    <t>Holmes Cool Mist Humidifier for the Whole House with 8-Gallon Output per Day, Extended Life Filter-157721</t>
  </si>
  <si>
    <t>Holmes Cool Mist Humidifier for the Whole House with 8-Gallon Output per Day, Extended Life Filter</t>
  </si>
  <si>
    <t>US-2016-120236</t>
  </si>
  <si>
    <t>GBC VeloBinder Strips-120236</t>
  </si>
  <si>
    <t>GBC VeloBinder Strips</t>
  </si>
  <si>
    <t>CA-2016-130449</t>
  </si>
  <si>
    <t>Eldon Expressions Wood and Plastic Desk Accessories, Cherry Wood-130449</t>
  </si>
  <si>
    <t>CA-2016-105165</t>
  </si>
  <si>
    <t>Panasonic KX TS3282B Corded phone-105165</t>
  </si>
  <si>
    <t>Panasonic KX TS3282B Corded phone</t>
  </si>
  <si>
    <t>CA-2016-113383</t>
  </si>
  <si>
    <t>Kensington 6 Outlet Guardian Standard Surge Protector-113383</t>
  </si>
  <si>
    <t>CA-2016-132962</t>
  </si>
  <si>
    <t>Xerox 1985-132962</t>
  </si>
  <si>
    <t>Xerox 1985</t>
  </si>
  <si>
    <t>CA-2016-141152</t>
  </si>
  <si>
    <t>Avery Trapezoid Extra Heavy Duty 4" Binders-141152</t>
  </si>
  <si>
    <t>Avery Trapezoid Extra Heavy Duty 4" Binders</t>
  </si>
  <si>
    <t>CA-2016-108189</t>
  </si>
  <si>
    <t>Adams Telephone Message Book W/Dividers/Space For Phone Numbers, 5 1/4"X8 1/2", 300/Messages-108189</t>
  </si>
  <si>
    <t>CA-2016-159338</t>
  </si>
  <si>
    <t>Hon 4060 Series Tables-159338</t>
  </si>
  <si>
    <t>CA-2016-157924</t>
  </si>
  <si>
    <t>Iris Project Case-157924</t>
  </si>
  <si>
    <t>Iris Project Case</t>
  </si>
  <si>
    <t>CA-2016-151995</t>
  </si>
  <si>
    <t>Newell 32-151995</t>
  </si>
  <si>
    <t>US-2016-122021</t>
  </si>
  <si>
    <t>Global Italian Leather Office Chair-122021</t>
  </si>
  <si>
    <t>Global Italian Leather Office Chair</t>
  </si>
  <si>
    <t>CA-2016-163468</t>
  </si>
  <si>
    <t>BPI Conference Tables-163468</t>
  </si>
  <si>
    <t>BPI Conference Tables</t>
  </si>
  <si>
    <t>CA-2016-105340</t>
  </si>
  <si>
    <t>Wilson Jones Heavy-Duty Casebound Ring Binders with Metal Hinges-105340</t>
  </si>
  <si>
    <t>CA-2016-115973</t>
  </si>
  <si>
    <t>Crayola Colored Pencils-115973</t>
  </si>
  <si>
    <t>CA-2016-120474</t>
  </si>
  <si>
    <t>Office Star - Professional Matrix Back Chair with 2-to-1 Synchro Tilt and Mesh Fabric Seat-120474</t>
  </si>
  <si>
    <t>Office Star - Professional Matrix Back Chair with 2-to-1 Synchro Tilt and Mesh Fabric Seat</t>
  </si>
  <si>
    <t>CA-2016-112158</t>
  </si>
  <si>
    <t>Logitech 910-002974 M325 Wireless Mouse for Web Scrolling-112158</t>
  </si>
  <si>
    <t>CA-2016-150203</t>
  </si>
  <si>
    <t>Fellowes 8 Outlet Superior Workstation Surge Protector-150203</t>
  </si>
  <si>
    <t>CA-2016-125542</t>
  </si>
  <si>
    <t>Cameo Buff Policy Envelopes-125542</t>
  </si>
  <si>
    <t>CA-2016-101602</t>
  </si>
  <si>
    <t>ARKON Windshield Dashboard Air Vent Car Mount Holder-101602</t>
  </si>
  <si>
    <t>ARKON Windshield Dashboard Air Vent Car Mount Holder</t>
  </si>
  <si>
    <t>CA-2016-113166</t>
  </si>
  <si>
    <t>Xerox 1974-113166</t>
  </si>
  <si>
    <t>CA-2016-157644</t>
  </si>
  <si>
    <t>Verbatim 25 GB 6x Blu-ray Single Layer Recordable Disc, 10/Pack-157644</t>
  </si>
  <si>
    <t>Verbatim 25 GB 6x Blu-ray Single Layer Recordable Disc, 10/Pack</t>
  </si>
  <si>
    <t>CA-2017-104038</t>
  </si>
  <si>
    <t>Tennsco Industrial Shelving-104038</t>
  </si>
  <si>
    <t>Tennsco Industrial Shelving</t>
  </si>
  <si>
    <t>CA-2017-111829</t>
  </si>
  <si>
    <t>Deluxe Rollaway Locking File with Drawer-111829</t>
  </si>
  <si>
    <t>Deluxe Rollaway Locking File with Drawer</t>
  </si>
  <si>
    <t>CA-2017-137974</t>
  </si>
  <si>
    <t>Konftel 250 ConferenceÂ phoneÂ - Charcoal black-137974</t>
  </si>
  <si>
    <t>Konftel 250 ConferenceÂ phoneÂ - Charcoal black</t>
  </si>
  <si>
    <t>CA-2017-120782</t>
  </si>
  <si>
    <t>Kensington 7 Outlet MasterPiece Power Center with Fax/Phone Line Protection-120782</t>
  </si>
  <si>
    <t>Kensington 7 Outlet MasterPiece Power Center with Fax/Phone Line Protection</t>
  </si>
  <si>
    <t>CA-2017-103177</t>
  </si>
  <si>
    <t>RCA H5401RE1 DECT 6.0 4-Line Cordless Handset With Caller ID/Call Waiting-103177</t>
  </si>
  <si>
    <t>RCA H5401RE1 DECT 6.0 4-Line Cordless Handset With Caller ID/Call Waiting</t>
  </si>
  <si>
    <t>CA-2017-124919</t>
  </si>
  <si>
    <t>Southworth 25% Cotton Antique Laid Paper &amp; Envelopes-124919</t>
  </si>
  <si>
    <t>Southworth 25% Cotton Antique Laid Paper &amp; Envelopes</t>
  </si>
  <si>
    <t>CA-2017-121720</t>
  </si>
  <si>
    <t>Hon 2090 â€œPillow Softâ€ Series Mid Back Swivel/Tilt Chairs-121720</t>
  </si>
  <si>
    <t>Hon 2090 â€œPillow Softâ€ Series Mid Back Swivel/Tilt Chairs</t>
  </si>
  <si>
    <t>US-2017-163825</t>
  </si>
  <si>
    <t>Fellowes PB500 Electric Punch Plastic Comb Binding Machine with Manual Bind-163825</t>
  </si>
  <si>
    <t>Fellowes PB500 Electric Punch Plastic Comb Binding Machine with Manual Bind</t>
  </si>
  <si>
    <t>CA-2017-156734</t>
  </si>
  <si>
    <t>Avery Self-Adhesive Photo Pockets for Polaroid Photos-156734</t>
  </si>
  <si>
    <t>CA-2017-155334</t>
  </si>
  <si>
    <t>Logitech 910-002974 M325 Wireless Mouse for Web Scrolling-155334</t>
  </si>
  <si>
    <t>US-2017-129007</t>
  </si>
  <si>
    <t>Flat Face Poster Frame-129007</t>
  </si>
  <si>
    <t>CA-2017-149972</t>
  </si>
  <si>
    <t>Hon Every-Day Series Multi-Task Chairs-149972</t>
  </si>
  <si>
    <t>CA-2017-126697</t>
  </si>
  <si>
    <t>ShoreTel ShorePhone IP 230 VoIP phone-126697</t>
  </si>
  <si>
    <t>ShoreTel ShorePhone IP 230 VoIP phone</t>
  </si>
  <si>
    <t>US-2017-144771</t>
  </si>
  <si>
    <t>9-3/4 Diameter Round Wall Clock-144771</t>
  </si>
  <si>
    <t>9-3/4 Diameter Round Wall Clock</t>
  </si>
  <si>
    <t>CA-2017-132388</t>
  </si>
  <si>
    <t>Global Leather &amp; Oak Executive Chair, Burgundy-132388</t>
  </si>
  <si>
    <t>Global Leather &amp; Oak Executive Chair, Burgundy</t>
  </si>
  <si>
    <t>CA-2017-110877</t>
  </si>
  <si>
    <t>Xerox 212-110877</t>
  </si>
  <si>
    <t>CA-2017-138674</t>
  </si>
  <si>
    <t>Advantus Push Pins-138674</t>
  </si>
  <si>
    <t>CA-2017-136420</t>
  </si>
  <si>
    <t>Performers Binder/Pad Holder, Black-136420</t>
  </si>
  <si>
    <t>Performers Binder/Pad Holder, Black</t>
  </si>
  <si>
    <t>CA-2017-130736</t>
  </si>
  <si>
    <t>Alliance Big Bands Rubber Bands, 12/Pack-130736</t>
  </si>
  <si>
    <t>Alliance Big Bands Rubber Bands, 12/Pack</t>
  </si>
  <si>
    <t>CA-2017-157770</t>
  </si>
  <si>
    <t>Plantronics Voyager Pro Legend-157770</t>
  </si>
  <si>
    <t>Plantronics Voyager Pro Legend</t>
  </si>
  <si>
    <t>CA-2017-147830</t>
  </si>
  <si>
    <t>Plantronics Savi W720 Multi-Device Wireless Headset System-147830</t>
  </si>
  <si>
    <t>Plantronics Savi W720 Multi-Device Wireless Headset System</t>
  </si>
  <si>
    <t>CA-2017-124653</t>
  </si>
  <si>
    <t>Xerox 1887-124653</t>
  </si>
  <si>
    <t>Xerox 1887</t>
  </si>
  <si>
    <t>US-2016-133949</t>
  </si>
  <si>
    <t>Colored Push Pins-100657</t>
  </si>
  <si>
    <t>Colored Push Pins</t>
  </si>
  <si>
    <t>CA-2017-121097</t>
  </si>
  <si>
    <t>Riverleaf Stik-Withit Designer Note Cubes-100769</t>
  </si>
  <si>
    <t>Riverleaf Stik-Withit Designer Note Cubes</t>
  </si>
  <si>
    <t>CA-2017-104241</t>
  </si>
  <si>
    <t>Regeneration Desk Collection-100888</t>
  </si>
  <si>
    <t>Regeneration Desk Collection</t>
  </si>
  <si>
    <t>CA-2017-154970</t>
  </si>
  <si>
    <t>Cisco SPA525G2 IP Phone - Wireless-101000</t>
  </si>
  <si>
    <t>CA-2017-128958</t>
  </si>
  <si>
    <t>AT&amp;T EL51110 DECT-102722</t>
  </si>
  <si>
    <t>AT&amp;T EL51110 DECT</t>
  </si>
  <si>
    <t>CA-2017-116638</t>
  </si>
  <si>
    <t>KI Adjustable-Height Table-102848</t>
  </si>
  <si>
    <t>CA-2017-157959</t>
  </si>
  <si>
    <t>Premier Elliptical Ring Binder, Black-103933</t>
  </si>
  <si>
    <t>Premier Elliptical Ring Binder, Black</t>
  </si>
  <si>
    <t>CA-2017-127327</t>
  </si>
  <si>
    <t>Alphabetical Labels for Top Tab Filing-103723</t>
  </si>
  <si>
    <t>CA-2017-146038</t>
  </si>
  <si>
    <t>Colored Envelopes-104059</t>
  </si>
  <si>
    <t>Colored Envelopes</t>
  </si>
  <si>
    <t>US-2017-153374</t>
  </si>
  <si>
    <t>Newell 322-104115</t>
  </si>
  <si>
    <t>Newell 322</t>
  </si>
  <si>
    <t>CA-2017-101126</t>
  </si>
  <si>
    <t>Compact Automatic Electric Letter Opener-104241</t>
  </si>
  <si>
    <t>CA-2017-156923</t>
  </si>
  <si>
    <t>SanDisk Cruzer 16 GB USB Flash Drive-104297</t>
  </si>
  <si>
    <t>SanDisk Cruzer 16 GB USB Flash Drive</t>
  </si>
  <si>
    <t>CA-2017-152611</t>
  </si>
  <si>
    <t>Xerox 1924-104871</t>
  </si>
  <si>
    <t>Xerox 1924</t>
  </si>
  <si>
    <t>CA-2017-169740</t>
  </si>
  <si>
    <t>Staple holder-105361</t>
  </si>
  <si>
    <t>CA-2017-153325</t>
  </si>
  <si>
    <t>Message Book, Wirebound, Four 5 1/2" X 4" Forms/Pg., 200 Dupl. Sets/Book-106362</t>
  </si>
  <si>
    <t>Message Book, Wirebound, Four 5 1/2" X 4" Forms/Pg., 200 Dupl. Sets/Book</t>
  </si>
  <si>
    <t>CA-2017-120320</t>
  </si>
  <si>
    <t>Luxo Professional Combination Clamp-On Lamps-107020</t>
  </si>
  <si>
    <t>Luxo Professional Combination Clamp-On Lamps</t>
  </si>
  <si>
    <t>CA-2017-160213</t>
  </si>
  <si>
    <t>Deflect-o DuraMat Antistatic Studded Beveled Mat for Medium Pile Carpeting-107937</t>
  </si>
  <si>
    <t>Deflect-o DuraMat Antistatic Studded Beveled Mat for Medium Pile Carpeting</t>
  </si>
  <si>
    <t>CA-2017-114237</t>
  </si>
  <si>
    <t>Boston Heavy-Duty Trimline Electric Pencil Sharpeners-109197</t>
  </si>
  <si>
    <t>Boston Heavy-Duty Trimline Electric Pencil Sharpeners</t>
  </si>
  <si>
    <t>CA-2017-155124</t>
  </si>
  <si>
    <t>Adams "While You Were Out" Message Pads-109708</t>
  </si>
  <si>
    <t>Adams "While You Were Out" Message Pads</t>
  </si>
  <si>
    <t>US-2017-150231</t>
  </si>
  <si>
    <t>Easy-staple paper-110345</t>
  </si>
  <si>
    <t>CA-2017-112116</t>
  </si>
  <si>
    <t>Office Star Flex Back Scooter Chair with Aluminum Finish Frame-109736</t>
  </si>
  <si>
    <t>Office Star Flex Back Scooter Chair with Aluminum Finish Frame</t>
  </si>
  <si>
    <t>CA-2017-143532</t>
  </si>
  <si>
    <t>Snap-A-Way Black Print Carbonless Ruled Speed Letter, Triplicate-110548</t>
  </si>
  <si>
    <t>Snap-A-Way Black Print Carbonless Ruled Speed Letter, Triplicate</t>
  </si>
  <si>
    <t>CA-2017-145457</t>
  </si>
  <si>
    <t>Surelock Post Binders-111234</t>
  </si>
  <si>
    <t>Surelock Post Binders</t>
  </si>
  <si>
    <t>CA-2017-153549</t>
  </si>
  <si>
    <t>Universal Recycled Hanging Pressboard Report Binders, Letter Size-112319</t>
  </si>
  <si>
    <t>Universal Recycled Hanging Pressboard Report Binders, Letter Size</t>
  </si>
  <si>
    <t>CA-2017-137106</t>
  </si>
  <si>
    <t>Bevis Boat-Shaped Conference Table-112557</t>
  </si>
  <si>
    <t>Bevis Boat-Shaped Conference Table</t>
  </si>
  <si>
    <t>US-2017-159513</t>
  </si>
  <si>
    <t>Luxo Economy Swing Arm Lamp-112767</t>
  </si>
  <si>
    <t>Luxo Economy Swing Arm Lamp</t>
  </si>
  <si>
    <t>CA-2017-130554</t>
  </si>
  <si>
    <t>Logitech G602 Wireless Gaming Mouse-113523</t>
  </si>
  <si>
    <t>CA-2017-101000</t>
  </si>
  <si>
    <t>Global Super Steno Chair-113740</t>
  </si>
  <si>
    <t>CA-2017-106215</t>
  </si>
  <si>
    <t>Howard Miller 13-1/2" Diameter Rosebrook Wall Clock-115693</t>
  </si>
  <si>
    <t>CA-2017-102722</t>
  </si>
  <si>
    <t>Fashion Color Clasp Envelopes-115924</t>
  </si>
  <si>
    <t>Fashion Color Clasp Envelopes</t>
  </si>
  <si>
    <t>US-2017-164175</t>
  </si>
  <si>
    <t>Avery 488-118948</t>
  </si>
  <si>
    <t>Avery 488</t>
  </si>
  <si>
    <t>CA-2017-135174</t>
  </si>
  <si>
    <t>Jawbone MINI JAMBOX Wireless Bluetooth Speaker-118444</t>
  </si>
  <si>
    <t>Jawbone MINI JAMBOX Wireless Bluetooth Speaker</t>
  </si>
  <si>
    <t>CA-2017-145821</t>
  </si>
  <si>
    <t>Wilson SignalBoost 841262 DB PRO Amplifier Kit-119102</t>
  </si>
  <si>
    <t>Wilson SignalBoost 841262 DB PRO Amplifier Kit</t>
  </si>
  <si>
    <t>CA-2017-144253</t>
  </si>
  <si>
    <t>Advantus Plastic Paper Clips-119907</t>
  </si>
  <si>
    <t>CA-2017-144043</t>
  </si>
  <si>
    <t>Xerox 1909-120516</t>
  </si>
  <si>
    <t>US-2017-122910</t>
  </si>
  <si>
    <t>Xerox 1929-121097</t>
  </si>
  <si>
    <t>Xerox 1929</t>
  </si>
  <si>
    <t>CA-2017-154921</t>
  </si>
  <si>
    <t>Maxell Pro 80 Minute CD-R, 10/Pack-123456</t>
  </si>
  <si>
    <t>Maxell Pro 80 Minute CD-R, 10/Pack</t>
  </si>
  <si>
    <t>CA-2017-138898</t>
  </si>
  <si>
    <t>Acme Box Cutter Scissors-123673</t>
  </si>
  <si>
    <t>Acme Box Cutter Scissors</t>
  </si>
  <si>
    <t>CA-2017-141768</t>
  </si>
  <si>
    <t>Ibico Ibimaster 300 Manual Binding System-124044</t>
  </si>
  <si>
    <t>Ibico Ibimaster 300 Manual Binding System</t>
  </si>
  <si>
    <t>CA-2017-148964</t>
  </si>
  <si>
    <t>Plantronics Savi W720 Multi-Device Wireless Headset System-124268</t>
  </si>
  <si>
    <t>CA-2017-168277</t>
  </si>
  <si>
    <t>SanDisk Cruzer 4 GB USB Flash Drive-125178</t>
  </si>
  <si>
    <t>SanDisk Cruzer 4 GB USB Flash Drive</t>
  </si>
  <si>
    <t>CA-2017-156153</t>
  </si>
  <si>
    <t>Xerox 1991-125710</t>
  </si>
  <si>
    <t>Xerox 1991</t>
  </si>
  <si>
    <t>CA-2017-120677</t>
  </si>
  <si>
    <t>Harbour Creations 67200 Series Stacking Chairs-125416</t>
  </si>
  <si>
    <t>Harbour Creations 67200 Series Stacking Chairs</t>
  </si>
  <si>
    <t>CA-2017-166947</t>
  </si>
  <si>
    <t>Office Star - Contemporary Swivel Chair with Padded Adjustable Arms and Flex Back-126347</t>
  </si>
  <si>
    <t>Office Star - Contemporary Swivel Chair with Padded Adjustable Arms and Flex Back</t>
  </si>
  <si>
    <t>CA-2017-144190</t>
  </si>
  <si>
    <t>GBC Standard Therm-A-Bind Covers-126669</t>
  </si>
  <si>
    <t>CA-2017-104059</t>
  </si>
  <si>
    <t>i.Sound Portable Power - 8000 mAh-127327</t>
  </si>
  <si>
    <t>i.Sound Portable Power - 8000 mAh</t>
  </si>
  <si>
    <t>CA-2017-120439</t>
  </si>
  <si>
    <t>Avery Round Ring Poly Binders-127544</t>
  </si>
  <si>
    <t>Avery Round Ring Poly Binders</t>
  </si>
  <si>
    <t>US-2017-106495</t>
  </si>
  <si>
    <t>Canon PC1060 Personal Laser Copier-127754</t>
  </si>
  <si>
    <t>Canon PC1060 Personal Laser Copier</t>
  </si>
  <si>
    <t>CA-2017-144302</t>
  </si>
  <si>
    <t>Self-Adhesive Address Labels for Typewriters by Universal-128958</t>
  </si>
  <si>
    <t>Self-Adhesive Address Labels for Typewriters by Universal</t>
  </si>
  <si>
    <t>CA-2017-128167</t>
  </si>
  <si>
    <t>Tenex B1-RE Series Chair Mats for Low Pile Carpets-129525</t>
  </si>
  <si>
    <t>Tenex B1-RE Series Chair Mats for Low Pile Carpets</t>
  </si>
  <si>
    <t>CA-2017-153423</t>
  </si>
  <si>
    <t>Eureka Sanitaire  Multi-Pro Heavy-Duty Upright, Disposable Bags-129700</t>
  </si>
  <si>
    <t>Eureka Sanitaire  Multi-Pro Heavy-Duty Upright, Disposable Bags</t>
  </si>
  <si>
    <t>CA-2017-125395</t>
  </si>
  <si>
    <t>White Dual Perf Computer Printout Paper, 2700 Sheets, 1 Part, Heavyweight, 20 lbs., 14 7/8 x 11-130183</t>
  </si>
  <si>
    <t>White Dual Perf Computer Printout Paper, 2700 Sheets, 1 Part, Heavyweight, 20 lbs., 14 7/8 x 11</t>
  </si>
  <si>
    <t>CA-2017-128860</t>
  </si>
  <si>
    <t>GBC DocuBind 300 Electric Binding Machine-130610</t>
  </si>
  <si>
    <t>GBC DocuBind 300 Electric Binding Machine</t>
  </si>
  <si>
    <t>CA-2017-150196</t>
  </si>
  <si>
    <t>Faber Castell Col-Erase Pencils-130995</t>
  </si>
  <si>
    <t>CA-2017-124268</t>
  </si>
  <si>
    <t>Executive Impressions Supervisor Wall Clock-131072</t>
  </si>
  <si>
    <t>Executive Impressions Supervisor Wall Clock</t>
  </si>
  <si>
    <t>CA-2017-130610</t>
  </si>
  <si>
    <t>Canon PC940 Copier-131422</t>
  </si>
  <si>
    <t>Canon PC940 Copier</t>
  </si>
  <si>
    <t>CA-2017-135314</t>
  </si>
  <si>
    <t>Avery 485-132136</t>
  </si>
  <si>
    <t>Avery 485</t>
  </si>
  <si>
    <t>CA-2017-153626</t>
  </si>
  <si>
    <t>Enermax Acrylux Wireless Keyboard-132318</t>
  </si>
  <si>
    <t>Enermax Acrylux Wireless Keyboard</t>
  </si>
  <si>
    <t>CA-2017-149384</t>
  </si>
  <si>
    <t>Wilson Jones Hanging View Binder, White, 1"-132507</t>
  </si>
  <si>
    <t>US-2017-140851</t>
  </si>
  <si>
    <t>High-Back Leather Manager's Chair-132906</t>
  </si>
  <si>
    <t>CA-2017-111206</t>
  </si>
  <si>
    <t>iKross Bluetooth Portable Keyboard + Cell Phone Stand Holder + Brush for Apple iPhone 5S 5C 5, 4S 4-133396</t>
  </si>
  <si>
    <t>iKross Bluetooth Portable Keyboard + Cell Phone Stand Holder + Brush for Apple iPhone 5S 5C 5, 4S 4</t>
  </si>
  <si>
    <t>US-2017-150161</t>
  </si>
  <si>
    <t>Eldon Simplefile Box Office-133977</t>
  </si>
  <si>
    <t>US-2017-117492</t>
  </si>
  <si>
    <t>Panasonic Kx-TS550-136224</t>
  </si>
  <si>
    <t>Panasonic Kx-TS550</t>
  </si>
  <si>
    <t>CA-2017-121699</t>
  </si>
  <si>
    <t>ImationÂ SecureÂ DriveÂ + Hardware Encrypted USBÂ flash driveÂ - 16 GB-136735</t>
  </si>
  <si>
    <t>ImationÂ SecureÂ DriveÂ + Hardware Encrypted USBÂ flash driveÂ - 16 GB</t>
  </si>
  <si>
    <t>CA-2017-119634</t>
  </si>
  <si>
    <t>iKross Bluetooth Portable Keyboard + Cell Phone Stand Holder + Brush for Apple iPhone 5S 5C 5, 4S 4-137071</t>
  </si>
  <si>
    <t>CA-2017-133396</t>
  </si>
  <si>
    <t>Avery Fluorescent Highlighter Four-Color Set-137281</t>
  </si>
  <si>
    <t>CA-2017-150441</t>
  </si>
  <si>
    <t>Boston Electric Pencil Sharpener, Model 1818, Charcoal Black-137750</t>
  </si>
  <si>
    <t>CA-2017-169299</t>
  </si>
  <si>
    <t>DAX Copper Panel Document Frame, 5 x 7 Size-138625</t>
  </si>
  <si>
    <t>CA-2017-126445</t>
  </si>
  <si>
    <t>Aluminum Screw Posts-139094</t>
  </si>
  <si>
    <t>Aluminum Screw Posts</t>
  </si>
  <si>
    <t>CA-2017-101924</t>
  </si>
  <si>
    <t>Wilson Jones Ledger-Size, Piano-Hinge Binder, 2", Blue-141768</t>
  </si>
  <si>
    <t>CA-2017-110744</t>
  </si>
  <si>
    <t>Pyle PMP37LED-142692</t>
  </si>
  <si>
    <t>Pyle PMP37LED</t>
  </si>
  <si>
    <t>CA-2017-132906</t>
  </si>
  <si>
    <t>Avery Self-Adhesive Photo Pockets for Polaroid Photos-143602</t>
  </si>
  <si>
    <t>CA-2017-138457</t>
  </si>
  <si>
    <t>Newell 330-144190</t>
  </si>
  <si>
    <t>Newell 330</t>
  </si>
  <si>
    <t>CA-2017-131597</t>
  </si>
  <si>
    <t>50 Colored Long Pencils-144722</t>
  </si>
  <si>
    <t>CA-2017-167696</t>
  </si>
  <si>
    <t>Avery Durable Slant Ring Binders With Label Holder-144890</t>
  </si>
  <si>
    <t>Avery Durable Slant Ring Binders With Label Holder</t>
  </si>
  <si>
    <t>CA-2017-141145</t>
  </si>
  <si>
    <t>Acco D-Ring Binder w/DublLock-145401</t>
  </si>
  <si>
    <t>Acco D-Ring Binder w/DublLock</t>
  </si>
  <si>
    <t>CA-2017-115847</t>
  </si>
  <si>
    <t>Newell Chalk Holder-145828</t>
  </si>
  <si>
    <t>Newell Chalk Holder</t>
  </si>
  <si>
    <t>CA-2017-153738</t>
  </si>
  <si>
    <t>Hot File 7-Pocket, Floor Stand-147102</t>
  </si>
  <si>
    <t>CA-2017-168760</t>
  </si>
  <si>
    <t>Ampad Evidence Wirebond Steno Books, 6" x 9"-147879</t>
  </si>
  <si>
    <t>Ampad Evidence Wirebond Steno Books, 6" x 9"</t>
  </si>
  <si>
    <t>US-2017-161466</t>
  </si>
  <si>
    <t>Metal Folding Chairs, Beige, 4/Carton-148859</t>
  </si>
  <si>
    <t>CA-2017-106320</t>
  </si>
  <si>
    <t>Bretford CR8500 Series Meeting Room Furniture-149517</t>
  </si>
  <si>
    <t>Bretford CR8500 Series Meeting Room Furniture</t>
  </si>
  <si>
    <t>CA-2017-103933</t>
  </si>
  <si>
    <t>Acco Pressboard Covers with Storage Hooks, 9 1/2" x 11", Executive Red-149384</t>
  </si>
  <si>
    <t>Acco Pressboard Covers with Storage Hooks, 9 1/2" x 11", Executive Red</t>
  </si>
  <si>
    <t>CA-2017-156566</t>
  </si>
  <si>
    <t>HP Office Recycled Paper (20Lb. and 87 Bright)-150308</t>
  </si>
  <si>
    <t>HP Office Recycled Paper (20Lb. and 87 Bright)</t>
  </si>
  <si>
    <t>CA-2017-168004</t>
  </si>
  <si>
    <t>Riverside Furniture Oval Coffee Table, Oval End Table, End Table with Drawer-151624</t>
  </si>
  <si>
    <t>Riverside Furniture Oval Coffee Table, Oval End Table, End Table with Drawer</t>
  </si>
  <si>
    <t>CA-2017-151722</t>
  </si>
  <si>
    <t>SanDisk Cruzer 64 GB USB Flash Drive-151722</t>
  </si>
  <si>
    <t>CA-2017-145828</t>
  </si>
  <si>
    <t>Staple envelope-151680-151680</t>
  </si>
  <si>
    <t>Staple envelope-151680</t>
  </si>
  <si>
    <t>CA-2017-129098</t>
  </si>
  <si>
    <t>Woodgrain Magazine Files by Perma-152681</t>
  </si>
  <si>
    <t>Woodgrain Magazine Files by Perma</t>
  </si>
  <si>
    <t>CA-2017-109736</t>
  </si>
  <si>
    <t>ClearSounds CSC500 Amplified Spirit Phone Corded phone-153073</t>
  </si>
  <si>
    <t>ClearSounds CSC500 Amplified Spirit Phone Corded phone</t>
  </si>
  <si>
    <t>CA-2017-112053</t>
  </si>
  <si>
    <t>Global Comet Stacking Arm Chair-153423</t>
  </si>
  <si>
    <t>Global Comet Stacking Arm Chair</t>
  </si>
  <si>
    <t>US-2017-126235</t>
  </si>
  <si>
    <t>HTC One Mini-153626</t>
  </si>
  <si>
    <t>HTC One Mini</t>
  </si>
  <si>
    <t>CA-2017-152527</t>
  </si>
  <si>
    <t>Safco Wire Cube Shelving System, For Use as 4 or 5 14" Cubes, Black-153752</t>
  </si>
  <si>
    <t>Safco Wire Cube Shelving System, For Use as 4 or 5 14" Cubes, Black</t>
  </si>
  <si>
    <t>CA-2017-164623</t>
  </si>
  <si>
    <t>Wilson Jones Impact Binders-154144</t>
  </si>
  <si>
    <t>Wilson Jones Impact Binders</t>
  </si>
  <si>
    <t>US-2017-104430</t>
  </si>
  <si>
    <t>Turquoise Lead Holder with Pocket Clip-154340</t>
  </si>
  <si>
    <t>Turquoise Lead Holder with Pocket Clip</t>
  </si>
  <si>
    <t>CA-2017-142692</t>
  </si>
  <si>
    <t>Boston KS Multi-Size Manual Pencil Sharpener-154620</t>
  </si>
  <si>
    <t>Boston KS Multi-Size Manual Pencil Sharpener</t>
  </si>
  <si>
    <t>CA-2017-130848</t>
  </si>
  <si>
    <t>Permanent Self-Adhesive File Folder Labels for Typewriters, 1 1/8 x 3 1/2, White-154970</t>
  </si>
  <si>
    <t>Permanent Self-Adhesive File Folder Labels for Typewriters, 1 1/8 x 3 1/2, White</t>
  </si>
  <si>
    <t>CA-2017-132318</t>
  </si>
  <si>
    <t>Cisco SPA301-155145</t>
  </si>
  <si>
    <t>Cisco SPA301</t>
  </si>
  <si>
    <t>CA-2017-122259</t>
  </si>
  <si>
    <t>Acme Galleria Hot Forged Steel Scissors with Colored Handles-155635</t>
  </si>
  <si>
    <t>Acme Galleria Hot Forged Steel Scissors with Colored Handles</t>
  </si>
  <si>
    <t>CA-2017-100657</t>
  </si>
  <si>
    <t>Avery Hi-Liter Smear-Safe Highlighters-156566</t>
  </si>
  <si>
    <t>Avery Hi-Liter Smear-Safe Highlighters</t>
  </si>
  <si>
    <t>CA-2017-121041</t>
  </si>
  <si>
    <t>Kingston Digital DataTraveler 16GB USB 2.0-157028</t>
  </si>
  <si>
    <t>CA-2017-103961</t>
  </si>
  <si>
    <t>LogitechÂ Gaming G510s - Keyboard-157133</t>
  </si>
  <si>
    <t>LogitechÂ Gaming G510s - Keyboard</t>
  </si>
  <si>
    <t>CA-2017-131422</t>
  </si>
  <si>
    <t>Ibico Plastic Spiral Binding Combs-157959</t>
  </si>
  <si>
    <t>Ibico Plastic Spiral Binding Combs</t>
  </si>
  <si>
    <t>CA-2017-111990</t>
  </si>
  <si>
    <t>Howard Miller 11-1/2" Diameter Ridgewood Wall Clock-158939</t>
  </si>
  <si>
    <t>Howard Miller 11-1/2" Diameter Ridgewood Wall Clock</t>
  </si>
  <si>
    <t>CA-2017-105634</t>
  </si>
  <si>
    <t>Avoid Verbal Orders Carbonless Minifold Book-158918</t>
  </si>
  <si>
    <t>Avoid Verbal Orders Carbonless Minifold Book</t>
  </si>
  <si>
    <t>CA-2017-117086</t>
  </si>
  <si>
    <t>Contemporary Wood/Metal Frame-159590</t>
  </si>
  <si>
    <t>Contemporary Wood/Metal Frame</t>
  </si>
  <si>
    <t>CA-2017-154886</t>
  </si>
  <si>
    <t>GBC Premium Transparent Covers with Diagonal Lined Pattern-159779</t>
  </si>
  <si>
    <t>CA-2017-113222</t>
  </si>
  <si>
    <t>O'Sullivan Living Dimensions 3-Shelf Bookcases-159863</t>
  </si>
  <si>
    <t>O'Sullivan Living Dimensions 3-Shelf Bookcases</t>
  </si>
  <si>
    <t>CA-2017-155040</t>
  </si>
  <si>
    <t>Wilson Jones 1" Hanging DublLock Ring Binders-160696</t>
  </si>
  <si>
    <t>Wilson Jones 1" Hanging DublLock Ring Binders</t>
  </si>
  <si>
    <t>CA-2017-147690</t>
  </si>
  <si>
    <t>GBC Premium Transparent Covers with Diagonal Lined Pattern-160227</t>
  </si>
  <si>
    <t>CA-2017-145324</t>
  </si>
  <si>
    <t>American Pencil-161795</t>
  </si>
  <si>
    <t>American Pencil</t>
  </si>
  <si>
    <t>US-2017-158589</t>
  </si>
  <si>
    <t>12-1/2 Diameter Round Wall Clock-163762</t>
  </si>
  <si>
    <t>12-1/2 Diameter Round Wall Clock</t>
  </si>
  <si>
    <t>CA-2017-100545</t>
  </si>
  <si>
    <t>Bretford CR4500 Series Slim Rectangular Table-163923</t>
  </si>
  <si>
    <t>Bretford CR4500 Series Slim Rectangular Table</t>
  </si>
  <si>
    <t>CA-2017-139094</t>
  </si>
  <si>
    <t>Safco Contoured Stacking Chairs-164427</t>
  </si>
  <si>
    <t>Safco Contoured Stacking Chairs</t>
  </si>
  <si>
    <t>CA-2017-149300</t>
  </si>
  <si>
    <t>Global High-Back Leather Tilter, Burgundy-164497</t>
  </si>
  <si>
    <t>Global High-Back Leather Tilter, Burgundy</t>
  </si>
  <si>
    <t>CA-2017-101910</t>
  </si>
  <si>
    <t>SanDisk Cruzer 8 GB USB Flash Drive-165162</t>
  </si>
  <si>
    <t>SanDisk Cruzer 8 GB USB Flash Drive</t>
  </si>
  <si>
    <t>CA-2017-157028</t>
  </si>
  <si>
    <t>Storex DuraTech Recycled Plastic Frosted Binders-166338</t>
  </si>
  <si>
    <t>Storex DuraTech Recycled Plastic Frosted Binders</t>
  </si>
  <si>
    <t>CA-2017-142930</t>
  </si>
  <si>
    <t>Ibico Laser Imprintable Binding System Covers-166135</t>
  </si>
  <si>
    <t>CA-2017-164497</t>
  </si>
  <si>
    <t>Avery Reinforcements for Hole-Punch Pages-166604</t>
  </si>
  <si>
    <t>CA-2017-136196</t>
  </si>
  <si>
    <t>Crate-A-Files-165813</t>
  </si>
  <si>
    <t>Crate-A-Files</t>
  </si>
  <si>
    <t>CA-2017-103723</t>
  </si>
  <si>
    <t>Logitech Media Keyboard K200-167696</t>
  </si>
  <si>
    <t>Logitech Media Keyboard K200</t>
  </si>
  <si>
    <t>US-2017-105676</t>
  </si>
  <si>
    <t>Staple envelope-168277-168277</t>
  </si>
  <si>
    <t>Staple envelope-168277</t>
  </si>
  <si>
    <t>CA-2017-142475</t>
  </si>
  <si>
    <t>Logitech Mobile Speakerphone P710e -Â speaker phone-168529</t>
  </si>
  <si>
    <t>CA-2017-110247</t>
  </si>
  <si>
    <t>Lexmark MarkNet N8150 Wireless Print Server-169278</t>
  </si>
  <si>
    <t>Lexmark MarkNet N8150 Wireless Print Server</t>
  </si>
  <si>
    <t>CA-2017-136700</t>
  </si>
  <si>
    <t>Message Book, Wirebound, Four 5 1/2" X 4" Forms/Pg., 200 Dupl. Sets/Book-169740</t>
  </si>
  <si>
    <t>CA-2017-156104</t>
  </si>
  <si>
    <t>LogitechÂ VX Revolution Cordless Laser Mouse for Notebooks (Black)-100202</t>
  </si>
  <si>
    <t>LogitechÂ VX Revolution Cordless Laser Mouse for Notebooks (Black)</t>
  </si>
  <si>
    <t>CA-2017-115693</t>
  </si>
  <si>
    <t>Newell 313-101469</t>
  </si>
  <si>
    <t>Newell 313</t>
  </si>
  <si>
    <t>CA-2017-106362</t>
  </si>
  <si>
    <t>DAX Wood Document Frame-101623</t>
  </si>
  <si>
    <t>DAX Wood Document Frame</t>
  </si>
  <si>
    <t>CA-2017-134082</t>
  </si>
  <si>
    <t>Maxell 4.7GB DVD-RW 3/Pack-101742</t>
  </si>
  <si>
    <t>Maxell 4.7GB DVD-RW 3/Pack</t>
  </si>
  <si>
    <t>CA-2017-154620</t>
  </si>
  <si>
    <t>Wilson Jones Standard D-Ring Binders-102092</t>
  </si>
  <si>
    <t>Wilson Jones Standard D-Ring Binders</t>
  </si>
  <si>
    <t>CA-2017-126347</t>
  </si>
  <si>
    <t>Logitech G600 MMO Gaming Mouse-103037</t>
  </si>
  <si>
    <t>Logitech G600 MMO Gaming Mouse</t>
  </si>
  <si>
    <t>CA-2017-137225</t>
  </si>
  <si>
    <t>Newell 336-103464</t>
  </si>
  <si>
    <t>Newell 336</t>
  </si>
  <si>
    <t>CA-2017-115399</t>
  </si>
  <si>
    <t>Sterilite Show Offs Storage Containers-105277</t>
  </si>
  <si>
    <t>US-2017-120712</t>
  </si>
  <si>
    <t>AT&amp;T 17929 Lendline Telephone-105760</t>
  </si>
  <si>
    <t>CA-2017-154144</t>
  </si>
  <si>
    <t>Staples-105473</t>
  </si>
  <si>
    <t>CA-2017-153612</t>
  </si>
  <si>
    <t>Plastic Binding Combs-106243</t>
  </si>
  <si>
    <t>Plastic Binding Combs</t>
  </si>
  <si>
    <t>CA-2017-135538</t>
  </si>
  <si>
    <t>Logitech G500s Laser Gaming Mouse with Adjustable Weight Tuning-106341</t>
  </si>
  <si>
    <t>Logitech G500s Laser Gaming Mouse with Adjustable Weight Tuning</t>
  </si>
  <si>
    <t>CA-2017-143980</t>
  </si>
  <si>
    <t>netTALK DUO VoIP Telephone Service-106383</t>
  </si>
  <si>
    <t>netTALK DUO VoIP Telephone Service</t>
  </si>
  <si>
    <t>CA-2017-111073</t>
  </si>
  <si>
    <t>Logitech 910-002974 M325 Wireless Mouse for Web Scrolling-106621</t>
  </si>
  <si>
    <t>CA-2017-148859</t>
  </si>
  <si>
    <t>Deflect-o EconoMat Studded, No Bevel Mat for Low Pile Carpeting-108350</t>
  </si>
  <si>
    <t>CA-2019-106558</t>
  </si>
  <si>
    <t>Easy-staple paper-109400</t>
  </si>
  <si>
    <t>CA-2019-138079</t>
  </si>
  <si>
    <t>Ativa V4110MDD Micro-Cut Shredder-109652</t>
  </si>
  <si>
    <t>Ativa V4110MDD Micro-Cut Shredder</t>
  </si>
  <si>
    <t>CA-2019-113656</t>
  </si>
  <si>
    <t>Deflect-o DuraMat Lighweight, Studded, Beveled Mat for Low Pile Carpeting-110023</t>
  </si>
  <si>
    <t>Deflect-o DuraMat Lighweight, Studded, Beveled Mat for Low Pile Carpeting</t>
  </si>
  <si>
    <t>CA-2019-147970</t>
  </si>
  <si>
    <t>TOPS Carbonless Receipt Book, Four 2-3/4 x 7-1/4 Money Receipts per Page-110730</t>
  </si>
  <si>
    <t>CA-2019-147431</t>
  </si>
  <si>
    <t>Chromcraft Round Conference Tables-111318</t>
  </si>
  <si>
    <t>CA-2019-117912</t>
  </si>
  <si>
    <t>Prang Dustless Chalk Sticks-111493</t>
  </si>
  <si>
    <t>Prang Dustless Chalk Sticks</t>
  </si>
  <si>
    <t>CA-2019-150077</t>
  </si>
  <si>
    <t>BlackBerry Q10-111605</t>
  </si>
  <si>
    <t>CA-2019-164938</t>
  </si>
  <si>
    <t>Xerox 1931-112340</t>
  </si>
  <si>
    <t>CA-2019-110492</t>
  </si>
  <si>
    <t>Tennsco Double-Tier Lockers-110492</t>
  </si>
  <si>
    <t>CA-2019-134334</t>
  </si>
  <si>
    <t>Wirebound Message Books, Four 2 3/4 x 5 Forms per Page, 200 Sets per Book-134334</t>
  </si>
  <si>
    <t>Wirebound Message Books, Four 2 3/4 x 5 Forms per Page, 200 Sets per Book</t>
  </si>
  <si>
    <t>CA-2019-146150</t>
  </si>
  <si>
    <t>Eldon Jumbo ProFile Portable File Boxes Graphite/Black-112585</t>
  </si>
  <si>
    <t>Eldon Jumbo ProFile Portable File Boxes Graphite/Black</t>
  </si>
  <si>
    <t>CA-2019-106460</t>
  </si>
  <si>
    <t>Advantus Plastic Paper Clips-112893</t>
  </si>
  <si>
    <t>CA-2019-101448</t>
  </si>
  <si>
    <t>Rogers Profile Extra Capacity Storage Tub-113292</t>
  </si>
  <si>
    <t>Rogers Profile Extra Capacity Storage Tub</t>
  </si>
  <si>
    <t>CA-2019-101623</t>
  </si>
  <si>
    <t>Stacking Trays by OIC-113600</t>
  </si>
  <si>
    <t>Stacking Trays by OIC</t>
  </si>
  <si>
    <t>CA-2019-111283</t>
  </si>
  <si>
    <t>Woodgrain Magazine Files by Perma-113656</t>
  </si>
  <si>
    <t>CA-2019-116799</t>
  </si>
  <si>
    <t>Rediform Wirebound "Phone Memo" Message Book, 11 x 5-3/4-116799</t>
  </si>
  <si>
    <t>Rediform Wirebound "Phone Memo" Message Book, 11 x 5-3/4</t>
  </si>
  <si>
    <t>CA-2019-167759</t>
  </si>
  <si>
    <t>Standard Line â€œWhile You Were Outâ€ Hardbound Telephone Message Book-113747</t>
  </si>
  <si>
    <t>Standard Line â€œWhile You Were Outâ€ Hardbound Telephone Message Book</t>
  </si>
  <si>
    <t>CA-2019-122518</t>
  </si>
  <si>
    <t>Eureka The Boss Cordless Rechargeable Stick Vac-113803</t>
  </si>
  <si>
    <t>Eureka The Boss Cordless Rechargeable Stick Vac</t>
  </si>
  <si>
    <t>US-2019-137547</t>
  </si>
  <si>
    <t>Akro Stacking Bins-114895</t>
  </si>
  <si>
    <t>Akro Stacking Bins</t>
  </si>
  <si>
    <t>CA-2019-118255</t>
  </si>
  <si>
    <t>Verbatim 25 GB 6x Blu-ray Single Layer Recordable Disc, 25/Pack-118255</t>
  </si>
  <si>
    <t>Verbatim 25 GB 6x Blu-ray Single Layer Recordable Disc, 25/Pack</t>
  </si>
  <si>
    <t>US-2019-119270</t>
  </si>
  <si>
    <t>OIC Stacking Trays-116603</t>
  </si>
  <si>
    <t>OIC Stacking Trays</t>
  </si>
  <si>
    <t>CA-2019-134544</t>
  </si>
  <si>
    <t>GBC Personal VeloBind Strips-117625</t>
  </si>
  <si>
    <t>GBC Personal VeloBind Strips</t>
  </si>
  <si>
    <t>CA-2019-118178</t>
  </si>
  <si>
    <t>SanDisk Cruzer 32 GB USB Flash Drive-118073</t>
  </si>
  <si>
    <t>CA-2019-150889</t>
  </si>
  <si>
    <t>Xerox 224-118178</t>
  </si>
  <si>
    <t>Xerox 224</t>
  </si>
  <si>
    <t>CA-2019-124100</t>
  </si>
  <si>
    <t>GBC ProClick Spines for 32-Hole Punch-119025</t>
  </si>
  <si>
    <t>GBC ProClick Spines for 32-Hole Punch</t>
  </si>
  <si>
    <t>CA-2019-132899</t>
  </si>
  <si>
    <t>VTech DS6151-120369</t>
  </si>
  <si>
    <t>US-2019-106600</t>
  </si>
  <si>
    <t>Xerox 212-120803</t>
  </si>
  <si>
    <t>CA-2019-150000</t>
  </si>
  <si>
    <t>Global Highback Leather Tilter in Burgundy-120796</t>
  </si>
  <si>
    <t>Global Highback Leather Tilter in Burgundy</t>
  </si>
  <si>
    <t>CA-2019-126809</t>
  </si>
  <si>
    <t>Acme Box Cutter Scissors-120873</t>
  </si>
  <si>
    <t>CA-2019-148796</t>
  </si>
  <si>
    <t>Bose SoundLink Bluetooth Speaker-121447</t>
  </si>
  <si>
    <t>Bose SoundLink Bluetooth Speaker</t>
  </si>
  <si>
    <t>CA-2019-136406</t>
  </si>
  <si>
    <t>GBC Wire Binding Combs-122133</t>
  </si>
  <si>
    <t>CA-2019-105473</t>
  </si>
  <si>
    <t>Stacking Tray, Side-Loading, Legal, Smoke-122322</t>
  </si>
  <si>
    <t>Stacking Tray, Side-Loading, Legal, Smoke</t>
  </si>
  <si>
    <t>CA-2019-108735</t>
  </si>
  <si>
    <t>Bionaire 99.97% HEPA Air Cleaner-122511</t>
  </si>
  <si>
    <t>CA-2019-151498</t>
  </si>
  <si>
    <t>Hon 2111 Invitation Series Corner Table-123015</t>
  </si>
  <si>
    <t>CA-2019-124149</t>
  </si>
  <si>
    <t>Embossed Ink Jet Note Cards-124149</t>
  </si>
  <si>
    <t>CA-2019-130001</t>
  </si>
  <si>
    <t>Newell 311-123666</t>
  </si>
  <si>
    <t>CA-2019-168081</t>
  </si>
  <si>
    <t>Global Commerce Series Low-Back Swivel/Tilt Chairs-123806</t>
  </si>
  <si>
    <t>Global Commerce Series Low-Back Swivel/Tilt Chairs</t>
  </si>
  <si>
    <t>CA-2019-167605</t>
  </si>
  <si>
    <t>GBC Standard Plastic Binding Systems Combs-124527</t>
  </si>
  <si>
    <t>GBC Standard Plastic Binding Systems Combs</t>
  </si>
  <si>
    <t>CA-2019-152814</t>
  </si>
  <si>
    <t>Wilson Jones Active Use Binders-124233</t>
  </si>
  <si>
    <t>Wilson Jones Active Use Binders</t>
  </si>
  <si>
    <t>CA-2019-144792</t>
  </si>
  <si>
    <t>Panasonic Kx-TS550-124562</t>
  </si>
  <si>
    <t>CA-2019-129280</t>
  </si>
  <si>
    <t>ImationÂ 16GB Mini TravelDrive USB 2.0Â Flash Drive-129280</t>
  </si>
  <si>
    <t>ImationÂ 16GB Mini TravelDrive USB 2.0Â Flash Drive</t>
  </si>
  <si>
    <t>CA-2019-112676</t>
  </si>
  <si>
    <t>Eldon Base for stackable storage shelf, platinum-125080</t>
  </si>
  <si>
    <t>Eldon Base for stackable storage shelf, platinum</t>
  </si>
  <si>
    <t>US-2019-147991</t>
  </si>
  <si>
    <t>iHome FM Clock Radio with Lightning Dock-125220</t>
  </si>
  <si>
    <t>iHome FM Clock Radio with Lightning Dock</t>
  </si>
  <si>
    <t>US-2019-146857</t>
  </si>
  <si>
    <t>Xerox 196-125724</t>
  </si>
  <si>
    <t>Xerox 196</t>
  </si>
  <si>
    <t>CA-2019-111696</t>
  </si>
  <si>
    <t>Hon 4700 Series Mobuis Mid-Back Task Chairs with Adjustable Arms-125794</t>
  </si>
  <si>
    <t>Hon 4700 Series Mobuis Mid-Back Task Chairs with Adjustable Arms</t>
  </si>
  <si>
    <t>CA-2019-112382</t>
  </si>
  <si>
    <t>Xerox 1893-125920</t>
  </si>
  <si>
    <t>US-2019-159093</t>
  </si>
  <si>
    <t>Master Caster Door Stop, Large Neon Orange-126543</t>
  </si>
  <si>
    <t>CA-2019-161158</t>
  </si>
  <si>
    <t>Xerox 216-126165</t>
  </si>
  <si>
    <t>CA-2019-161543</t>
  </si>
  <si>
    <t>Office Impressions End Table, 20-1/2"H x 24"W x 20"D-126809</t>
  </si>
  <si>
    <t>Office Impressions End Table, 20-1/2"H x 24"W x 20"D</t>
  </si>
  <si>
    <t>CA-2019-109911</t>
  </si>
  <si>
    <t>Fiskars 8" Scissors, 2/Pack-126935</t>
  </si>
  <si>
    <t>Fiskars 8" Scissors, 2/Pack</t>
  </si>
  <si>
    <t>CA-2019-141019</t>
  </si>
  <si>
    <t>Honeywell Quietcare HEPA Air Cleaner-127642</t>
  </si>
  <si>
    <t>Honeywell Quietcare HEPA Air Cleaner</t>
  </si>
  <si>
    <t>CA-2019-165673</t>
  </si>
  <si>
    <t>Eldon ClusterMat Chair Mat with Cordless Antistatic Protection-127698</t>
  </si>
  <si>
    <t>CA-2019-133144</t>
  </si>
  <si>
    <t>Avery 478-127985</t>
  </si>
  <si>
    <t>Avery 478</t>
  </si>
  <si>
    <t>US-2019-117037</t>
  </si>
  <si>
    <t>Acco Recycled 2" Capacity Laser Printer Hanging Data Binders-117037</t>
  </si>
  <si>
    <t>Acco Recycled 2" Capacity Laser Printer Hanging Data Binders</t>
  </si>
  <si>
    <t>CA-2019-158435</t>
  </si>
  <si>
    <t>Acme Forged Steel Scissors with Black Enamel Handles-158435</t>
  </si>
  <si>
    <t>Acme Forged Steel Scissors with Black Enamel Handles</t>
  </si>
  <si>
    <t>CA-2019-138282</t>
  </si>
  <si>
    <t>Boston Model 1800 Electric Pencil Sharpener, Gray-128223</t>
  </si>
  <si>
    <t>Boston Model 1800 Electric Pencil Sharpener, Gray</t>
  </si>
  <si>
    <t>CA-2019-127642</t>
  </si>
  <si>
    <t>Tyvek  Top-Opening Peel &amp; Seel Envelopes, Plain White-129693</t>
  </si>
  <si>
    <t>CA-2019-107202</t>
  </si>
  <si>
    <t>Avery 49-128972</t>
  </si>
  <si>
    <t>CA-2019-138583</t>
  </si>
  <si>
    <t>Binney &amp; Smith inkTank Erasable Pocket Highlighter, Chisel Tip, Yellow-130050</t>
  </si>
  <si>
    <t>Binney &amp; Smith inkTank Erasable Pocket Highlighter, Chisel Tip, Yellow</t>
  </si>
  <si>
    <t>CA-2019-113747</t>
  </si>
  <si>
    <t>Hon 4060 Series Tables-130267</t>
  </si>
  <si>
    <t>CA-2019-153682</t>
  </si>
  <si>
    <t>Executive Impressions 10" Spectator Wall Clock-130820</t>
  </si>
  <si>
    <t>Executive Impressions 10" Spectator Wall Clock</t>
  </si>
  <si>
    <t>CA-2019-164889</t>
  </si>
  <si>
    <t>Plastic Binding Combs-131499</t>
  </si>
  <si>
    <t>CA-2019-125318</t>
  </si>
  <si>
    <t>Global Task Chair, Black-132143</t>
  </si>
  <si>
    <t>Global Task Chair, Black</t>
  </si>
  <si>
    <t>CA-2019-120558</t>
  </si>
  <si>
    <t>Panasonic KP-380BK Classic Electric Pencil Sharpener-132549</t>
  </si>
  <si>
    <t>CA-2019-164035</t>
  </si>
  <si>
    <t>DAX Contemporary Wood Frame with Silver Metal Mat, Desktop, 11 x 14 Size-133802</t>
  </si>
  <si>
    <t>DAX Contemporary Wood Frame with Silver Metal Mat, Desktop, 11 x 14 Size</t>
  </si>
  <si>
    <t>CA-2019-155005</t>
  </si>
  <si>
    <t>Xerox 224-134208</t>
  </si>
  <si>
    <t>CA-2019-111682</t>
  </si>
  <si>
    <t>Home/Office Personal File Carts-111682</t>
  </si>
  <si>
    <t>Home/Office Personal File Carts</t>
  </si>
  <si>
    <t>US-2019-163461</t>
  </si>
  <si>
    <t>Avery Heavy-Duty EZD  Binder With Locking Rings-136049</t>
  </si>
  <si>
    <t>US-2019-142685</t>
  </si>
  <si>
    <t>Rubbermaid ClusterMat Chairmats, Mat Size- 66" x 60", Lip 20" x 11" -90 Degree Angle-136406</t>
  </si>
  <si>
    <t>Rubbermaid ClusterMat Chairmats, Mat Size- 66" x 60", Lip 20" x 11" -90 Degree Angle</t>
  </si>
  <si>
    <t>CA-2019-101987</t>
  </si>
  <si>
    <t>ACCOHIDE 3-Ring Binder, Blue, 1"-136483</t>
  </si>
  <si>
    <t>CA-2019-166240</t>
  </si>
  <si>
    <t>G.E. Longer-Life Indoor Recessed Floodlight Bulbs-136812</t>
  </si>
  <si>
    <t>CA-2019-152331</t>
  </si>
  <si>
    <t>Bevis Boat-Shaped Conference Table-137176</t>
  </si>
  <si>
    <t>US-2019-158708</t>
  </si>
  <si>
    <t>Xerox 1905-137393</t>
  </si>
  <si>
    <t>Xerox 1905</t>
  </si>
  <si>
    <t>CA-2019-161928</t>
  </si>
  <si>
    <t>Hoover Commercial Lightweight Upright Vacuum with E-Z Empty Dirt Cup-137652</t>
  </si>
  <si>
    <t>Hoover Commercial Lightweight Upright Vacuum with E-Z Empty Dirt Cup</t>
  </si>
  <si>
    <t>CA-2019-110044</t>
  </si>
  <si>
    <t>High-Back Leather Manager's Chair-137673</t>
  </si>
  <si>
    <t>CA-2019-140543</t>
  </si>
  <si>
    <t>Office Star - Contemporary Task Swivel Chair-137736</t>
  </si>
  <si>
    <t>Office Star - Contemporary Task Swivel Chair</t>
  </si>
  <si>
    <t>CA-2019-139997</t>
  </si>
  <si>
    <t>Ibico Recycled Linen-Style Covers-138037</t>
  </si>
  <si>
    <t>Ibico Recycled Linen-Style Covers</t>
  </si>
  <si>
    <t>US-2019-158680</t>
  </si>
  <si>
    <t>Ampad Evidence Wirebond Steno Books, 6" x 9"-138079</t>
  </si>
  <si>
    <t>CA-2019-130029</t>
  </si>
  <si>
    <t>Xerox 200-130029</t>
  </si>
  <si>
    <t>CA-2019-104983</t>
  </si>
  <si>
    <t>Premium Transparent Presentation Covers by GBC-138583</t>
  </si>
  <si>
    <t>CA-2019-103891</t>
  </si>
  <si>
    <t>Astroparche Fine Business Paper-139556</t>
  </si>
  <si>
    <t>Astroparche Fine Business Paper</t>
  </si>
  <si>
    <t>CA-2019-136924</t>
  </si>
  <si>
    <t>Executive Impressions 8-1/2" Career Panel/Partition Cubicle Clock-140046</t>
  </si>
  <si>
    <t>Executive Impressions 8-1/2" Career Panel/Partition Cubicle Clock</t>
  </si>
  <si>
    <t>CA-2019-115483</t>
  </si>
  <si>
    <t>Presstex Flexible Ring Binders-139885</t>
  </si>
  <si>
    <t>Presstex Flexible Ring Binders</t>
  </si>
  <si>
    <t>CA-2019-122322</t>
  </si>
  <si>
    <t>Longer-Life Soft White Bulbs-140249</t>
  </si>
  <si>
    <t>Longer-Life Soft White Bulbs</t>
  </si>
  <si>
    <t>CA-2019-116603</t>
  </si>
  <si>
    <t>White Business Envelopes with Contemporary Seam, Recycled White Business Envelopes-140543</t>
  </si>
  <si>
    <t>CA-2019-124681</t>
  </si>
  <si>
    <t>Xerox 1916-140564</t>
  </si>
  <si>
    <t>CA-2019-162110</t>
  </si>
  <si>
    <t>Howard Miller Distant Time Traveler Alarm Clock-140641</t>
  </si>
  <si>
    <t>Howard Miller Distant Time Traveler Alarm Clock</t>
  </si>
  <si>
    <t>CA-2019-157217</t>
  </si>
  <si>
    <t>Griffin GC36547 PowerJolt SE Lightning Charger-157217</t>
  </si>
  <si>
    <t>Griffin GC36547 PowerJolt SE Lightning Charger</t>
  </si>
  <si>
    <t>CA-2019-140613</t>
  </si>
  <si>
    <t>Xerox 1986-140928</t>
  </si>
  <si>
    <t>Xerox 1986</t>
  </si>
  <si>
    <t>CA-2019-149454</t>
  </si>
  <si>
    <t>NETGEAR N750 Dual Band Wi-Fi Gigabit Router-143749</t>
  </si>
  <si>
    <t>CA-2019-128307</t>
  </si>
  <si>
    <t>Dual Level, Single-Width Filing Carts-143308</t>
  </si>
  <si>
    <t>Dual Level, Single-Width Filing Carts</t>
  </si>
  <si>
    <t>CA-2019-147417</t>
  </si>
  <si>
    <t>Airmail Envelopes-143441</t>
  </si>
  <si>
    <t>Airmail Envelopes</t>
  </si>
  <si>
    <t>CA-2019-149335</t>
  </si>
  <si>
    <t>Carina Mini System Audio Rack, Model AR050B-143609</t>
  </si>
  <si>
    <t>Carina Mini System Audio Rack, Model AR050B</t>
  </si>
  <si>
    <t>CA-2019-116344</t>
  </si>
  <si>
    <t>Okidata B400 Printer-144148</t>
  </si>
  <si>
    <t>Okidata B400 Printer</t>
  </si>
  <si>
    <t>US-2019-131891</t>
  </si>
  <si>
    <t>DAX Two-Tone Rosewood/Black Document Frame, Desktop, 5 x 7-144218</t>
  </si>
  <si>
    <t>CA-2019-144337</t>
  </si>
  <si>
    <t>Anker Astro Mini 3000mAh Ultra-Compact Portable Charger-144729</t>
  </si>
  <si>
    <t>CA-2019-105263</t>
  </si>
  <si>
    <t>Mini 13-1/2 Capacity Data Binder Rack, Pearl-144939</t>
  </si>
  <si>
    <t>Mini 13-1/2 Capacity Data Binder Rack, Pearl</t>
  </si>
  <si>
    <t>CA-2019-130078</t>
  </si>
  <si>
    <t>Micropad Numeric Keypads-145492</t>
  </si>
  <si>
    <t>Micropad Numeric Keypads</t>
  </si>
  <si>
    <t>CA-2019-155845</t>
  </si>
  <si>
    <t>Xiaomi Mi3-146010</t>
  </si>
  <si>
    <t>Xiaomi Mi3</t>
  </si>
  <si>
    <t>CA-2019-118626</t>
  </si>
  <si>
    <t>Avery Hanging File Binders-146437</t>
  </si>
  <si>
    <t>CA-2019-154690</t>
  </si>
  <si>
    <t>Fellowes Neat Ideas Storage Cubes-146521</t>
  </si>
  <si>
    <t>CA-2019-150343</t>
  </si>
  <si>
    <t>invisibleSHIELD by ZAGG Smudge-Free Screen Protector-146913</t>
  </si>
  <si>
    <t>invisibleSHIELD by ZAGG Smudge-Free Screen Protector</t>
  </si>
  <si>
    <t>US-2019-157308</t>
  </si>
  <si>
    <t>Ampad Poly Cover Wirebound Steno Book, 6" x 9" Assorted Colors, Gregg Ruled-147067</t>
  </si>
  <si>
    <t>Ampad Poly Cover Wirebound Steno Book, 6" x 9" Assorted Colors, Gregg Ruled</t>
  </si>
  <si>
    <t>CA-2019-101980</t>
  </si>
  <si>
    <t>Surelock Post Binders-101980</t>
  </si>
  <si>
    <t>CA-2019-151141</t>
  </si>
  <si>
    <t>Texas Instrument TI-15 Fraction Calculator-147417</t>
  </si>
  <si>
    <t>Texas Instrument TI-15 Fraction Calculator</t>
  </si>
  <si>
    <t>CA-2019-167983</t>
  </si>
  <si>
    <t>Computer Room Manger, 14"-147473</t>
  </si>
  <si>
    <t>US-2019-141880</t>
  </si>
  <si>
    <t>Global Wood Trimmed Manager's Task Chair, Khaki-147970</t>
  </si>
  <si>
    <t>CA-2019-160598</t>
  </si>
  <si>
    <t>KeyTronicÂ KT800P2 -Â KeyboardÂ - Black-148593</t>
  </si>
  <si>
    <t>KeyTronicÂ KT800P2 -Â KeyboardÂ - Black</t>
  </si>
  <si>
    <t>CA-2019-116764</t>
  </si>
  <si>
    <t>Global Leather Executive Chair-148908</t>
  </si>
  <si>
    <t>Global Leather Executive Chair</t>
  </si>
  <si>
    <t>US-2019-141544</t>
  </si>
  <si>
    <t>Aastra 57i VoIP phone-141544</t>
  </si>
  <si>
    <t>Aastra 57i VoIP phone</t>
  </si>
  <si>
    <t>CA-2019-113096</t>
  </si>
  <si>
    <t>Eldon Simplefile Box Office-149454</t>
  </si>
  <si>
    <t>CA-2019-129847</t>
  </si>
  <si>
    <t>Avery Poly Binder Pockets-149461</t>
  </si>
  <si>
    <t>Avery Poly Binder Pockets</t>
  </si>
  <si>
    <t>CA-2019-153185</t>
  </si>
  <si>
    <t>DIXON Ticonderoga Erasable Checking Pencils-149671</t>
  </si>
  <si>
    <t>DIXON Ticonderoga Erasable Checking Pencils</t>
  </si>
  <si>
    <t>US-2019-101616</t>
  </si>
  <si>
    <t>REDIFORM Incoming/Outgoing Call Register, 11" X 8 1/2", 100 Messages-150000</t>
  </si>
  <si>
    <t>REDIFORM Incoming/Outgoing Call Register, 11" X 8 1/2", 100 Messages</t>
  </si>
  <si>
    <t>CA-2019-137673</t>
  </si>
  <si>
    <t>Xerox 192-151141</t>
  </si>
  <si>
    <t>CA-2019-164490</t>
  </si>
  <si>
    <t>Fellowes Staxonsteel Drawer Files-151974</t>
  </si>
  <si>
    <t>CA-2019-151372</t>
  </si>
  <si>
    <t>14-7/8 x 11 Blue Bar Computer Printout Paper-151372</t>
  </si>
  <si>
    <t>CA-2019-140774</t>
  </si>
  <si>
    <t>GBC Instant Report Kit-151323</t>
  </si>
  <si>
    <t>US-2019-148110</t>
  </si>
  <si>
    <t>Xerox 1977-152121</t>
  </si>
  <si>
    <t>CA-2019-137176</t>
  </si>
  <si>
    <t>Wirebound Message Books, Four 2 3/4" x 5" Forms per Page, 600 Sets per Book-152765</t>
  </si>
  <si>
    <t>Wirebound Message Books, Four 2 3/4" x 5" Forms per Page, 600 Sets per Book</t>
  </si>
  <si>
    <t>CA-2019-153157</t>
  </si>
  <si>
    <t>Memorex Mini Travel Drive 16 GB USB 2.0 Flash Drive-153157</t>
  </si>
  <si>
    <t>US-2019-134369</t>
  </si>
  <si>
    <t>Bretford Rectangular Conference Table Tops-154081</t>
  </si>
  <si>
    <t>Bretford Rectangular Conference Table Tops</t>
  </si>
  <si>
    <t>CA-2019-105900</t>
  </si>
  <si>
    <t>Belkin 5 Outlet SurgeMaster Power Centers-154235</t>
  </si>
  <si>
    <t>Belkin 5 Outlet SurgeMaster Power Centers</t>
  </si>
  <si>
    <t>CA-2019-110086</t>
  </si>
  <si>
    <t>Premier Electric Letter Opener-154739</t>
  </si>
  <si>
    <t>CA-2019-140928</t>
  </si>
  <si>
    <t>DXL Angle-View Binders with Locking Rings by Samsill-154998</t>
  </si>
  <si>
    <t>CA-2019-123722</t>
  </si>
  <si>
    <t>Bevis Oval Conference Table, Walnut-158260</t>
  </si>
  <si>
    <t>Bevis Oval Conference Table, Walnut</t>
  </si>
  <si>
    <t>CA-2019-148747</t>
  </si>
  <si>
    <t>Dual Level, Single-Width Filing Carts-158302</t>
  </si>
  <si>
    <t>CA-2019-157714</t>
  </si>
  <si>
    <t>Office Star - Contemporary Task Swivel Chair-158575</t>
  </si>
  <si>
    <t>US-2019-149790</t>
  </si>
  <si>
    <t>GBC Ibimaster 500 Manual ProClick Binding System-158925</t>
  </si>
  <si>
    <t>US-2019-110170</t>
  </si>
  <si>
    <t>Newell 347-159653</t>
  </si>
  <si>
    <t>Newell 347</t>
  </si>
  <si>
    <t>CA-2019-106621</t>
  </si>
  <si>
    <t>ARKON Windshield Dashboard Air Vent Car Mount Holder-159737</t>
  </si>
  <si>
    <t>CA-2019-108056</t>
  </si>
  <si>
    <t>Staple magnet-159765</t>
  </si>
  <si>
    <t>Staple magnet</t>
  </si>
  <si>
    <t>CA-2019-134362</t>
  </si>
  <si>
    <t>Wilson Jones Century Plastic Molded Ring Binders-160136</t>
  </si>
  <si>
    <t>US-2019-101497</t>
  </si>
  <si>
    <t>GBC Recycled VeloBinder Covers-160479</t>
  </si>
  <si>
    <t>GBC Recycled VeloBinder Covers</t>
  </si>
  <si>
    <t>CA-2019-139157</t>
  </si>
  <si>
    <t>Wilson Jones data.warehouse D-Ring Binders with DublLock-160815</t>
  </si>
  <si>
    <t>US-2019-157490</t>
  </si>
  <si>
    <t>Zebra GK420t Direct Thermal/Thermal Transfer Printer-157490</t>
  </si>
  <si>
    <t>Zebra GK420t Direct Thermal/Thermal Transfer Printer</t>
  </si>
  <si>
    <t>US-2019-115952</t>
  </si>
  <si>
    <t>Office Star - Contemporary Task Swivel chair with 2-way adjustable arms, Plum-161928</t>
  </si>
  <si>
    <t>Office Star - Contemporary Task Swivel chair with 2-way adjustable arms, Plum</t>
  </si>
  <si>
    <t>CA-2019-135636</t>
  </si>
  <si>
    <t>GBC Instant Report Kit-162404</t>
  </si>
  <si>
    <t>CA-2019-157707</t>
  </si>
  <si>
    <t>Bush Westfield Collection Bookcases, Dark Cherry Finish, Fully Assembled-157707</t>
  </si>
  <si>
    <t>Bush Westfield Collection Bookcases, Dark Cherry Finish, Fully Assembled</t>
  </si>
  <si>
    <t>CA-2019-163972</t>
  </si>
  <si>
    <t>Razer Kraken PRO Over Ear PC and Music Headset-163216</t>
  </si>
  <si>
    <t>CA-2019-125080</t>
  </si>
  <si>
    <t>Disposable Triple-Filter Dust Bags-164035</t>
  </si>
  <si>
    <t>Disposable Triple-Filter Dust Bags</t>
  </si>
  <si>
    <t>CA-2019-166373</t>
  </si>
  <si>
    <t>Xerox 1988-164637</t>
  </si>
  <si>
    <t>CA-2019-151323</t>
  </si>
  <si>
    <t>Aastra 57i VoIP phone-164924</t>
  </si>
  <si>
    <t>CA-2019-146682</t>
  </si>
  <si>
    <t>MaxellÂ LTO Ultrium - 800 GB-166443</t>
  </si>
  <si>
    <t>MaxellÂ LTO Ultrium - 800 GB</t>
  </si>
  <si>
    <t>CA-2019-146913</t>
  </si>
  <si>
    <t>Seidio BD2-HK3IPH5-BK DILEX Case and Holster Combo for Apple iPhone 5/5s - Black-167115</t>
  </si>
  <si>
    <t>Seidio BD2-HK3IPH5-BK DILEX Case and Holster Combo for Apple iPhone 5/5s - Black</t>
  </si>
  <si>
    <t>CA-2019-160136</t>
  </si>
  <si>
    <t>Pressboard Hanging Data Binders for Unburst Sheets-167759</t>
  </si>
  <si>
    <t>Pressboard Hanging Data Binders for Unburst Sheets</t>
  </si>
  <si>
    <t>CA-2019-163755</t>
  </si>
  <si>
    <t>Pressboard Covers with Storage Hooks, 9 1/2" x 11", Light Blue-168536</t>
  </si>
  <si>
    <t>CA-2019-146766</t>
  </si>
  <si>
    <t>Lumber Crayons-168081</t>
  </si>
  <si>
    <t>Lumber Crayons</t>
  </si>
  <si>
    <t>CA-2019-165827</t>
  </si>
  <si>
    <t>Prang Drawing Pencil Set-168543</t>
  </si>
  <si>
    <t>Prang Drawing Pencil Set</t>
  </si>
  <si>
    <t>CA-2019-158260</t>
  </si>
  <si>
    <t>Advantus Employee of the Month Certificate Frame, 11 x 13-1/2-168361</t>
  </si>
  <si>
    <t>Advantus Employee of the Month Certificate Frame, 11 x 13-1/2</t>
  </si>
  <si>
    <t>CA-2019-148908</t>
  </si>
  <si>
    <t>GE General Purpose, Extra Long Life, Showcase &amp; Floodlight Incandescent Bulbs-169026</t>
  </si>
  <si>
    <t>CA-2019-143441</t>
  </si>
  <si>
    <t>ImationÂ SecureÂ DriveÂ + Hardware Encrypted USBÂ flash driveÂ - 16 GB-168921</t>
  </si>
  <si>
    <t>CA-2019-116379</t>
  </si>
  <si>
    <t>APC 7 Outlet Network SurgeArrest Surge Protector-169670</t>
  </si>
  <si>
    <t>APC 7 Outlet Network SurgeArrest Surge Protector</t>
  </si>
  <si>
    <t>US-2019-139388</t>
  </si>
  <si>
    <t>Ibico Plastic Spiral Binding Combs-105193</t>
  </si>
  <si>
    <t>CA-2019-140935</t>
  </si>
  <si>
    <t>Samsung Convoy 3-140935</t>
  </si>
  <si>
    <t>Samsung Convoy 3</t>
  </si>
  <si>
    <t>US-2019-136581</t>
  </si>
  <si>
    <t>Bevis Oval Conference Table, Walnut-108000</t>
  </si>
  <si>
    <t>US-2019-144547</t>
  </si>
  <si>
    <t>Memorex Mini Travel Drive 16 GB USB 2.0 Flash Drive-111374</t>
  </si>
  <si>
    <t>CA-2019-149349</t>
  </si>
  <si>
    <t>KI Adjustable-Height Table-115105</t>
  </si>
  <si>
    <t>CA-2019-118759</t>
  </si>
  <si>
    <t>Hon GuestStacker Chair-118759</t>
  </si>
  <si>
    <t>Hon GuestStacker Chair</t>
  </si>
  <si>
    <t>CA-2019-118500</t>
  </si>
  <si>
    <t>Xerox 1938-123659</t>
  </si>
  <si>
    <t>Xerox 1938</t>
  </si>
  <si>
    <t>CA-2019-158575</t>
  </si>
  <si>
    <t>Xerox 1963-126550</t>
  </si>
  <si>
    <t>Xerox 1963</t>
  </si>
  <si>
    <t>CA-2019-108630</t>
  </si>
  <si>
    <t>Binder Posts-124940</t>
  </si>
  <si>
    <t>US-2019-138408</t>
  </si>
  <si>
    <t>XtraLife ClearVue Slant-D Ring Binders by Cardinal-126634</t>
  </si>
  <si>
    <t>CA-2019-126858</t>
  </si>
  <si>
    <t>Smead Adjustable Mobile File Trolley with Lockable Top-129567</t>
  </si>
  <si>
    <t>Smead Adjustable Mobile File Trolley with Lockable Top</t>
  </si>
  <si>
    <t>CA-2019-109820</t>
  </si>
  <si>
    <t>Southworth 25% Cotton Granite Paper &amp; Envelopes-109820</t>
  </si>
  <si>
    <t>Southworth 25% Cotton Granite Paper &amp; Envelopes</t>
  </si>
  <si>
    <t>CA-2019-145492</t>
  </si>
  <si>
    <t>Eldon Expressions Wood Desk Accessories, Oak-135650</t>
  </si>
  <si>
    <t>US-2019-164945</t>
  </si>
  <si>
    <t>Angle-D Ring Binders-140515</t>
  </si>
  <si>
    <t>CA-2019-163573</t>
  </si>
  <si>
    <t>Ibico Plastic Spiral Binding Combs-145338</t>
  </si>
  <si>
    <t>CA-2019-165561</t>
  </si>
  <si>
    <t>Newell 34-145807</t>
  </si>
  <si>
    <t>US-2019-119298</t>
  </si>
  <si>
    <t>Avery 501-148145</t>
  </si>
  <si>
    <t>Avery 501</t>
  </si>
  <si>
    <t>US-2019-158288</t>
  </si>
  <si>
    <t>GBC Twin Loop Wire Binding Elements-150931</t>
  </si>
  <si>
    <t>CA-2019-145135</t>
  </si>
  <si>
    <t>Micropad Numeric Keypads-145135</t>
  </si>
  <si>
    <t>CA-2019-159639</t>
  </si>
  <si>
    <t>Xerox 230-152261</t>
  </si>
  <si>
    <t>Xerox 230</t>
  </si>
  <si>
    <t>CA-2019-162313</t>
  </si>
  <si>
    <t>Eldon Wave Desk Accessories-152786</t>
  </si>
  <si>
    <t>US-2019-134761</t>
  </si>
  <si>
    <t>Acco Pressboard Covers with Storage Hooks, 14 7/8" x 11", Dark Blue-154760</t>
  </si>
  <si>
    <t>Acco Pressboard Covers with Storage Hooks, 14 7/8" x 11", Dark Blue</t>
  </si>
  <si>
    <t>CA-2019-105354</t>
  </si>
  <si>
    <t>Xerox 217-159352</t>
  </si>
  <si>
    <t>Xerox 217</t>
  </si>
  <si>
    <t>CA-2019-105277</t>
  </si>
  <si>
    <t>BIC Brite Liner Highlighters-160934</t>
  </si>
  <si>
    <t>BIC Brite Liner Highlighters</t>
  </si>
  <si>
    <t>CA-2019-108434</t>
  </si>
  <si>
    <t>GBC Standard Plastic Binding Systems Combs-162474</t>
  </si>
  <si>
    <t>CA-2019-143749</t>
  </si>
  <si>
    <t>Xerox 1991-165491</t>
  </si>
  <si>
    <t>CA-2019-124562</t>
  </si>
  <si>
    <t>Telephone Message Books with Fax/Mobile Section, 4 1/4" x 6"-133949</t>
  </si>
  <si>
    <t>Telephone Message Books with Fax/Mobile Section, 4 1/4" x 6"</t>
  </si>
  <si>
    <t>CA-2019-149503</t>
  </si>
  <si>
    <t>Fiskars 8" Scissors, 2/Pack-104185</t>
  </si>
  <si>
    <t>CA-2019-146941</t>
  </si>
  <si>
    <t>Fellowes Personal Hanging Folder Files, Navy-146941</t>
  </si>
  <si>
    <t>CA-2019-100587</t>
  </si>
  <si>
    <t>Newell Chalk Holder-105676</t>
  </si>
  <si>
    <t>US-2019-132857</t>
  </si>
  <si>
    <t>Microsoft Natural Ergonomic Keyboard 4000-113593</t>
  </si>
  <si>
    <t>CA-2019-143609</t>
  </si>
  <si>
    <t>Avery 511-112508</t>
  </si>
  <si>
    <t>Avery 511</t>
  </si>
  <si>
    <t>CA-2019-146325</t>
  </si>
  <si>
    <t>Global Task Chair, Black-146325</t>
  </si>
  <si>
    <t>US-2019-100419</t>
  </si>
  <si>
    <t>Fiskars Softgrip Scissors-129553</t>
  </si>
  <si>
    <t>Fiskars Softgrip Scissors</t>
  </si>
  <si>
    <t>CA-2019-130442</t>
  </si>
  <si>
    <t>Global Troy Executive Leather Low-Back Tilter-125374</t>
  </si>
  <si>
    <t>Global Troy Executive Leather Low-Back Tilter</t>
  </si>
  <si>
    <t>CA-2019-117121</t>
  </si>
  <si>
    <t>Avery Address/Shipping Labels for Typewriters, 4" x 2"-134271</t>
  </si>
  <si>
    <t>Avery Address/Shipping Labels for Typewriters, 4" x 2"</t>
  </si>
  <si>
    <t>CA-2019-155383</t>
  </si>
  <si>
    <t>Lenovo 17-Key USB Numeric Keypad-136427</t>
  </si>
  <si>
    <t>CA-2019-108364</t>
  </si>
  <si>
    <t>Staple envelope-140851-140851</t>
  </si>
  <si>
    <t>Staple envelope-140851</t>
  </si>
  <si>
    <t>CA-2019-118129</t>
  </si>
  <si>
    <t>Speediset Carbonless Redi-Letter 7" x 8 1/2"-141453</t>
  </si>
  <si>
    <t>Speediset Carbonless Redi-Letter 7" x 8 1/2"</t>
  </si>
  <si>
    <t>CA-2019-169670</t>
  </si>
  <si>
    <t>Plantronics 81402-153374</t>
  </si>
  <si>
    <t>Plantronics 81402</t>
  </si>
  <si>
    <t>US-2019-116729</t>
  </si>
  <si>
    <t>Samsung Galaxy Note 2-116729</t>
  </si>
  <si>
    <t>Samsung Galaxy Note 2</t>
  </si>
  <si>
    <t>CA-2019-147536</t>
  </si>
  <si>
    <t>VariCap6 Expandable Binder-158589</t>
  </si>
  <si>
    <t>VariCap6 Expandable Binder</t>
  </si>
  <si>
    <t>US-2019-131058</t>
  </si>
  <si>
    <t>KeyTronicÂ E03601U1 -Â KeyboardÂ - Beige-164175</t>
  </si>
  <si>
    <t>KeyTronicÂ E03601U1 -Â KeyboardÂ - Beige</t>
  </si>
  <si>
    <t>US-2020-114034</t>
  </si>
  <si>
    <t>Wi-Ex zBoost YX540 Cellular Phone Signal Booster-105830</t>
  </si>
  <si>
    <t>Wi-Ex zBoost YX540 Cellular Phone Signal Booster</t>
  </si>
  <si>
    <t>US-2020-168690</t>
  </si>
  <si>
    <t>Avery 510-106677</t>
  </si>
  <si>
    <t>Avery 510</t>
  </si>
  <si>
    <t>CA-2020-108000</t>
  </si>
  <si>
    <t>Eldon 400 Class Desk Accessories, Black Carbon-109260</t>
  </si>
  <si>
    <t>US-2020-106131</t>
  </si>
  <si>
    <t>ImationÂ 8GB Mini TravelDrive USB 2.0Â Flash Drive-106131</t>
  </si>
  <si>
    <t>ImationÂ 8GB Mini TravelDrive USB 2.0Â Flash Drive</t>
  </si>
  <si>
    <t>CA-2020-138779</t>
  </si>
  <si>
    <t>Tyvek  Top-Opening Peel &amp; Seel Envelopes, Plain White-138779</t>
  </si>
  <si>
    <t>CA-2020-152961</t>
  </si>
  <si>
    <t>Hon 2111 Invitation Series Straight Table-112977</t>
  </si>
  <si>
    <t>Hon 2111 Invitation Series Straight Table</t>
  </si>
  <si>
    <t>CA-2020-152079</t>
  </si>
  <si>
    <t>Xerox 4200 Series MultiUse Premium Copy Paper (20Lb. and 84 Bright)-114293</t>
  </si>
  <si>
    <t>Xerox 4200 Series MultiUse Premium Copy Paper (20Lb. and 84 Bright)</t>
  </si>
  <si>
    <t>CA-2020-145142</t>
  </si>
  <si>
    <t>Metal Folding Chairs, Beige, 4/Carton-116442</t>
  </si>
  <si>
    <t>CA-2020-164329</t>
  </si>
  <si>
    <t>Colored Envelopes-128902</t>
  </si>
  <si>
    <t>US-2020-164147</t>
  </si>
  <si>
    <t>Anker 36W 4-Port USB Wall Charger Travel Power Adapter for iPhone 5s 5c 5-164147</t>
  </si>
  <si>
    <t>CA-2020-169474</t>
  </si>
  <si>
    <t>Avery 503-131058</t>
  </si>
  <si>
    <t>Avery 503</t>
  </si>
  <si>
    <t>CA-2020-134838</t>
  </si>
  <si>
    <t>Newell 320-134838</t>
  </si>
  <si>
    <t>CA-2020-105445</t>
  </si>
  <si>
    <t>1.7 Cubic Foot Compact "Cube" Office Refrigerators-142251</t>
  </si>
  <si>
    <t>1.7 Cubic Foot Compact "Cube" Office Refrigerators</t>
  </si>
  <si>
    <t>CA-2020-152261</t>
  </si>
  <si>
    <t>Hoover Shoulder Vac Commercial Portable Vacuum-146066</t>
  </si>
  <si>
    <t>Hoover Shoulder Vac Commercial Portable Vacuum</t>
  </si>
  <si>
    <t>CA-2020-127621</t>
  </si>
  <si>
    <t>OtterBox Commuter Series Case - iPhone 5 &amp; 5s-147991</t>
  </si>
  <si>
    <t>CA-2020-121804</t>
  </si>
  <si>
    <t>Hon 2090 â€œPillow Softâ€ Series Mid Back Swivel/Tilt Chairs-147340</t>
  </si>
  <si>
    <t>CA-2020-142174</t>
  </si>
  <si>
    <t>Xerox 1952-148110</t>
  </si>
  <si>
    <t>US-2020-119039</t>
  </si>
  <si>
    <t>Accohide Poly Flexible Ring Binders-148957</t>
  </si>
  <si>
    <t>CA-2020-136672</t>
  </si>
  <si>
    <t>Avery 498-149790</t>
  </si>
  <si>
    <t>Avery 498</t>
  </si>
  <si>
    <t>CA-2020-132290</t>
  </si>
  <si>
    <t>Vinyl Coated Wire Paper Clips in Organizer Box, 800/Box-151260</t>
  </si>
  <si>
    <t>Vinyl Coated Wire Paper Clips in Organizer Box, 800/Box</t>
  </si>
  <si>
    <t>CA-2020-147291</t>
  </si>
  <si>
    <t>Hoover Upright Vacuum With Dirt Cup-152373</t>
  </si>
  <si>
    <t>CA-2020-159352</t>
  </si>
  <si>
    <t>Strathmore Photo Mount Cards-154256</t>
  </si>
  <si>
    <t>Strathmore Photo Mount Cards</t>
  </si>
  <si>
    <t>CA-2020-116288</t>
  </si>
  <si>
    <t>LF Elite 3D Dazzle Designer Hard Case Cover, Lf Stylus Pen and Wiper For Apple Iphone 5c Mini Lite-152835</t>
  </si>
  <si>
    <t>LF Elite 3D Dazzle Designer Hard Case Cover, Lf Stylus Pen and Wiper For Apple Iphone 5c Mini Lite</t>
  </si>
  <si>
    <t>CA-2020-107713</t>
  </si>
  <si>
    <t>Kensington K72356US Mouse-in-a-Box USB Desktop Mouse-155180</t>
  </si>
  <si>
    <t>Kensington K72356US Mouse-in-a-Box USB Desktop Mouse</t>
  </si>
  <si>
    <t>CA-2020-157966</t>
  </si>
  <si>
    <t>Col-Erase Pencils with Erasers-157966</t>
  </si>
  <si>
    <t>Col-Erase Pencils with Erasers</t>
  </si>
  <si>
    <t>CA-2020-161172</t>
  </si>
  <si>
    <t>OtterBox Defender Series Case - iPhone 5c-161172</t>
  </si>
  <si>
    <t>OtterBox Defender Series Case - iPhone 5c</t>
  </si>
  <si>
    <t>CA-2020-129567</t>
  </si>
  <si>
    <t>Global Leather Highback Executive Chair with Pneumatic Height Adjustment, Black-158680</t>
  </si>
  <si>
    <t>Global Leather Highback Executive Chair with Pneumatic Height Adjustment, Black</t>
  </si>
  <si>
    <t>CA-2020-122007</t>
  </si>
  <si>
    <t>Eldon ProFile File 'N Store Portable File Tub Letter/Legal Size Black-159093</t>
  </si>
  <si>
    <t>Eldon ProFile File 'N Store Portable File Tub Letter/Legal Size Black</t>
  </si>
  <si>
    <t>CA-2020-162075</t>
  </si>
  <si>
    <t>Tenex "The Solids" Textured Chair Mats-160206</t>
  </si>
  <si>
    <t>Tenex "The Solids" Textured Chair Mats</t>
  </si>
  <si>
    <t>US-2020-104955</t>
  </si>
  <si>
    <t>Eldon Radial Chair Mat for Low to Medium Pile Carpets-162852</t>
  </si>
  <si>
    <t>Eldon Radial Chair Mat for Low to Medium Pile Carpets</t>
  </si>
  <si>
    <t>CA-2020-165491</t>
  </si>
  <si>
    <t>ClearSounds CSC500 Amplified Spirit Phone Corded phone-163461</t>
  </si>
  <si>
    <t>CA-2020-135650</t>
  </si>
  <si>
    <t>Fellowes Bankers Box Stor/Drawer Steel Plus-164630</t>
  </si>
  <si>
    <t>CA-2020-120719</t>
  </si>
  <si>
    <t>Wilson Jones 1" Hanging DublLock Ring Binders-164588</t>
  </si>
  <si>
    <t>CA-2020-136511</t>
  </si>
  <si>
    <t>Bush Andora Conference Table, Maple/Graphite Gray Finish-164945</t>
  </si>
  <si>
    <t>CA-2020-140151</t>
  </si>
  <si>
    <t>Acco Perma 4000 Stacking Storage Drawers-140151</t>
  </si>
  <si>
    <t>CA-2020-113208</t>
  </si>
  <si>
    <t>Wilson Jones 1" Hanging DublLock Ring Binders-140074</t>
  </si>
  <si>
    <t>CA-2020-147144</t>
  </si>
  <si>
    <t>GBC Imprintable Covers-146906</t>
  </si>
  <si>
    <t>US-2020-166611</t>
  </si>
  <si>
    <t>Flexible Leather- Look Classic Collection Ring Binder-148551</t>
  </si>
  <si>
    <t>Flexible Leather- Look Classic Collection Ring Binder</t>
  </si>
  <si>
    <t>US-2020-154851</t>
  </si>
  <si>
    <t>ImationÂ 8gb Micro Traveldrive Usb 2.0Â Flash Drive-168690</t>
  </si>
  <si>
    <t>ImationÂ 8gb Micro Traveldrive Usb 2.0Â Flash Drive</t>
  </si>
  <si>
    <t>CA-2020-113474</t>
  </si>
  <si>
    <t>GBC Premium Transparent Covers with Diagonal Lined Pattern-163195</t>
  </si>
  <si>
    <t>CA-2020-144680</t>
  </si>
  <si>
    <t>Fellowes 8 Outlet Superior Workstation Surge Protector w/o Phone/Fax/Modem Protection-144680</t>
  </si>
  <si>
    <t>Fellowes 8 Outlet Superior Workstation Surge Protector w/o Phone/Fax/Modem Protection</t>
  </si>
  <si>
    <t>CA-2020-129028</t>
  </si>
  <si>
    <t>Deflect-o DuraMat Lighweight, Studded, Beveled Mat for Low Pile Carpeting-129028</t>
  </si>
  <si>
    <t>CA-2020-155460</t>
  </si>
  <si>
    <t>Xerox 4200 Series MultiUse Premium Copy Paper (20Lb. and 84 Bright)-155460</t>
  </si>
  <si>
    <t>CA-2016-163867</t>
  </si>
  <si>
    <t>Avery 513-163867</t>
  </si>
  <si>
    <t>CA-2016-166891</t>
  </si>
  <si>
    <t>Office Star - Contemporary Task Swivel chair with Loop Arms, Charcoal-166891</t>
  </si>
  <si>
    <t>Office Star - Contemporary Task Swivel chair with Loop Arms, Charcoal</t>
  </si>
  <si>
    <t>CA-2016-169684</t>
  </si>
  <si>
    <t>Lesro Round Back Collection Coffee Table, End Table-169684</t>
  </si>
  <si>
    <t>CA-2016-106054</t>
  </si>
  <si>
    <t>Dixon Prang Watercolor Pencils, 10-Color Set with Brush-106054</t>
  </si>
  <si>
    <t>Dixon Prang Watercolor Pencils, 10-Color Set with Brush</t>
  </si>
  <si>
    <t>CA-2016-130092</t>
  </si>
  <si>
    <t>DAX Value U-Channel Document Frames, Easel Back-130092</t>
  </si>
  <si>
    <t>CA-2016-115161</t>
  </si>
  <si>
    <t>Sauder Facets Collection Library, Sky Alder Finish-115161</t>
  </si>
  <si>
    <t>Sauder Facets Collection Library, Sky Alder Finish</t>
  </si>
  <si>
    <t>CA-2016-133354</t>
  </si>
  <si>
    <t>Xerox 220-133354</t>
  </si>
  <si>
    <t>CA-2016-156587</t>
  </si>
  <si>
    <t>Global Push Button Manager's Chair, Indigo-156587</t>
  </si>
  <si>
    <t>Global Push Button Manager's Chair, Indigo</t>
  </si>
  <si>
    <t>CA-2016-164749</t>
  </si>
  <si>
    <t>Avery 476-164749</t>
  </si>
  <si>
    <t>CA-2016-162089</t>
  </si>
  <si>
    <t>Airmail Envelopes-162089</t>
  </si>
  <si>
    <t>US-2016-118486</t>
  </si>
  <si>
    <t>Martin-Yale Premier Letter Opener-118486</t>
  </si>
  <si>
    <t>Martin-Yale Premier Letter Opener</t>
  </si>
  <si>
    <t>CA-2016-124023</t>
  </si>
  <si>
    <t>Stacking Tray, Side-Loading, Legal, Smoke-124023</t>
  </si>
  <si>
    <t>CA-2016-131387</t>
  </si>
  <si>
    <t>Samsung Galaxy Mega 6.3-131387</t>
  </si>
  <si>
    <t>Samsung Galaxy Mega 6.3</t>
  </si>
  <si>
    <t>US-2016-117058</t>
  </si>
  <si>
    <t>Fellowes Presentation Covers for Comb Binding Machines-117058</t>
  </si>
  <si>
    <t>Fellowes Presentation Covers for Comb Binding Machines</t>
  </si>
  <si>
    <t>CA-2016-123064</t>
  </si>
  <si>
    <t>BIC Brite Liner Grip Highlighters-123064</t>
  </si>
  <si>
    <t>BIC Brite Liner Grip Highlighters</t>
  </si>
  <si>
    <t>CA-2016-120096</t>
  </si>
  <si>
    <t>Xerox 194-120096</t>
  </si>
  <si>
    <t>Xerox 194</t>
  </si>
  <si>
    <t>CA-2016-150301</t>
  </si>
  <si>
    <t>Situations Contoured Folding Chairs, 4/Set-150301</t>
  </si>
  <si>
    <t>Situations Contoured Folding Chairs, 4/Set</t>
  </si>
  <si>
    <t>CA-2016-166555</t>
  </si>
  <si>
    <t>Cisco SPA112 2 Port Phone Adapter-166555</t>
  </si>
  <si>
    <t>Cisco SPA112 2 Port Phone Adapter</t>
  </si>
  <si>
    <t>CA-2016-103058</t>
  </si>
  <si>
    <t>Case Logic 2.4GHz Wireless Keyboard-103058</t>
  </si>
  <si>
    <t>Case Logic 2.4GHz Wireless Keyboard</t>
  </si>
  <si>
    <t>US-2016-130358</t>
  </si>
  <si>
    <t>Prang Drawing Pencil Set-130358</t>
  </si>
  <si>
    <t>CA-2016-163293</t>
  </si>
  <si>
    <t>Memorex Froggy Flash Drive 4 GB-163293</t>
  </si>
  <si>
    <t>Memorex Froggy Flash Drive 4 GB</t>
  </si>
  <si>
    <t>CA-2016-117478</t>
  </si>
  <si>
    <t>Angle-D Binders with Locking Rings, Label Holders-117478</t>
  </si>
  <si>
    <t>CA-2016-125514</t>
  </si>
  <si>
    <t>Fellowes Basic Home/Office Series Surge Protectors-125514</t>
  </si>
  <si>
    <t>Fellowes Basic Home/Office Series Surge Protectors</t>
  </si>
  <si>
    <t>CA-2016-146990</t>
  </si>
  <si>
    <t>Binder Clips by OIC-146990</t>
  </si>
  <si>
    <t>CA-2016-128524</t>
  </si>
  <si>
    <t>Belkin F5C206VTEL 6 Outlet Surge-128524</t>
  </si>
  <si>
    <t>Belkin F5C206VTEL 6 Outlet Surge</t>
  </si>
  <si>
    <t>CA-2016-119144</t>
  </si>
  <si>
    <t>OtterBox Commuter Series Case - Samsung Galaxy S4-119144</t>
  </si>
  <si>
    <t>OtterBox Commuter Series Case - Samsung Galaxy S4</t>
  </si>
  <si>
    <t>CA-2016-140662</t>
  </si>
  <si>
    <t>Case Logic 2.4GHz Wireless Keyboard-140662</t>
  </si>
  <si>
    <t>US-2016-149034</t>
  </si>
  <si>
    <t>Logitech G105 Gaming Keyboard-149034</t>
  </si>
  <si>
    <t>Logitech G105 Gaming Keyboard</t>
  </si>
  <si>
    <t>CA-2016-101147</t>
  </si>
  <si>
    <t>Staple holder-101147</t>
  </si>
  <si>
    <t>CA-2016-106726</t>
  </si>
  <si>
    <t>Standard Rollaway File with Lock-106726</t>
  </si>
  <si>
    <t>CA-2016-130575</t>
  </si>
  <si>
    <t>GBC VeloBind Cover Sets-130575</t>
  </si>
  <si>
    <t>GBC VeloBind Cover Sets</t>
  </si>
  <si>
    <t>CA-2016-136567</t>
  </si>
  <si>
    <t>SAFCO Commercial Wire Shelving, 72h-136567</t>
  </si>
  <si>
    <t>SAFCO Commercial Wire Shelving, 72h</t>
  </si>
  <si>
    <t>CA-2016-111451</t>
  </si>
  <si>
    <t>Howard Miller 13" Diameter Goldtone Round Wall Clock-111451</t>
  </si>
  <si>
    <t>Howard Miller 13" Diameter Goldtone Round Wall Clock</t>
  </si>
  <si>
    <t>CA-2016-166730</t>
  </si>
  <si>
    <t>Tennsco Industrial Shelving-166730</t>
  </si>
  <si>
    <t>US-2017-130491</t>
  </si>
  <si>
    <t>Wirebound Message Books, Four 2 3/4 x 5 Forms per Page, 200 Sets per Book-130491</t>
  </si>
  <si>
    <t>CA-2017-146255</t>
  </si>
  <si>
    <t>Microsoft Sculpt Comfort Mouse-146255</t>
  </si>
  <si>
    <t>CA-2017-123155</t>
  </si>
  <si>
    <t>Maxell 4.7GB DVD-R-123155</t>
  </si>
  <si>
    <t>CA-2017-130218</t>
  </si>
  <si>
    <t>Staples-130218</t>
  </si>
  <si>
    <t>CA-2017-166492</t>
  </si>
  <si>
    <t>Xerox 192-166492</t>
  </si>
  <si>
    <t>CA-2017-142237</t>
  </si>
  <si>
    <t>Howard Miller 13-3/4" Diameter Brushed Chrome Round Wall Clock-142237</t>
  </si>
  <si>
    <t>CA-2017-144267</t>
  </si>
  <si>
    <t>Hon GuestStacker Chair-144267</t>
  </si>
  <si>
    <t>CA-2017-111514</t>
  </si>
  <si>
    <t>Atlantic Metals Mobile 3-Shelf Bookcases, Custom Colors-111514</t>
  </si>
  <si>
    <t>CA-2017-129917</t>
  </si>
  <si>
    <t>Pressboard Hanging Data Binders for Unburst Sheets-129917</t>
  </si>
  <si>
    <t>CA-2017-102281</t>
  </si>
  <si>
    <t>Atlantic Metals Mobile 4-Shelf Bookcases, Custom Colors-102281</t>
  </si>
  <si>
    <t>Atlantic Metals Mobile 4-Shelf Bookcases, Custom Colors</t>
  </si>
  <si>
    <t>CA-2017-105221</t>
  </si>
  <si>
    <t>SanDisk Ultra 32 GB MicroSDHC Class 10 Memory Card-105221</t>
  </si>
  <si>
    <t>SanDisk Ultra 32 GB MicroSDHC Class 10 Memory Card</t>
  </si>
  <si>
    <t>US-2017-136259</t>
  </si>
  <si>
    <t>Insertable Tab Post Binder Dividers-136259</t>
  </si>
  <si>
    <t>Insertable Tab Post Binder Dividers</t>
  </si>
  <si>
    <t>CA-2017-105312</t>
  </si>
  <si>
    <t>Redi-Strip #10 Envelopes, 4 1/8 x 9 1/2-105312</t>
  </si>
  <si>
    <t>Redi-Strip #10 Envelopes, 4 1/8 x 9 1/2</t>
  </si>
  <si>
    <t>CA-2017-145184</t>
  </si>
  <si>
    <t>Apple EarPods with Remote and Mic-145184</t>
  </si>
  <si>
    <t>CA-2017-129112</t>
  </si>
  <si>
    <t>Kingston Digital DataTraveler 16GB USB 2.0-129112</t>
  </si>
  <si>
    <t>CA-2017-141327</t>
  </si>
  <si>
    <t>Avery Durable Binders-141327</t>
  </si>
  <si>
    <t>CA-2017-110870</t>
  </si>
  <si>
    <t>Logitech Wireless Marathon Mouse M705-110870</t>
  </si>
  <si>
    <t>CA-2017-151589</t>
  </si>
  <si>
    <t>Xerox 1917-151589</t>
  </si>
  <si>
    <t>CA-2017-109197</t>
  </si>
  <si>
    <t>Xerox 1929-100545</t>
  </si>
  <si>
    <t>US-2017-101399</t>
  </si>
  <si>
    <t>Wilson Jones Hanging Recycled Pressboard Data Binders-102036</t>
  </si>
  <si>
    <t>Wilson Jones Hanging Recycled Pressboard Data Binders</t>
  </si>
  <si>
    <t>CA-2017-132633</t>
  </si>
  <si>
    <t>Snap-A-Way Black Print Carbonless Ruled Speed Letter, Triplicate-103793</t>
  </si>
  <si>
    <t>CA-2017-111507</t>
  </si>
  <si>
    <t>Eldon File Chest Portable File-103954</t>
  </si>
  <si>
    <t>Eldon File Chest Portable File</t>
  </si>
  <si>
    <t>CA-2017-101007</t>
  </si>
  <si>
    <t>Fellowes Officeware Wire Shelving-104052</t>
  </si>
  <si>
    <t>CA-2017-138485</t>
  </si>
  <si>
    <t>Avery Durable Slant Ring Binders, No Labels-106208</t>
  </si>
  <si>
    <t>Avery Durable Slant Ring Binders, No Labels</t>
  </si>
  <si>
    <t>CA-2017-146829</t>
  </si>
  <si>
    <t>GBC Recycled Regency Composition Covers-108672</t>
  </si>
  <si>
    <t>GBC Recycled Regency Composition Covers</t>
  </si>
  <si>
    <t>CA-2017-167479</t>
  </si>
  <si>
    <t>Pressboard Covers with Storage Hooks, 9 1/2" x 11", Light Blue-109603</t>
  </si>
  <si>
    <t>CA-2017-144722</t>
  </si>
  <si>
    <t>Eldon Base for stackable storage shelf, platinum-109939</t>
  </si>
  <si>
    <t>CA-2017-132101</t>
  </si>
  <si>
    <t>Maxell 4.7GB DVD+R 5/Pack-110457</t>
  </si>
  <si>
    <t>Maxell 4.7GB DVD+R 5/Pack</t>
  </si>
  <si>
    <t>CA-2017-163104</t>
  </si>
  <si>
    <t>MaxellÂ LTO Ultrium - 800 GB-110765</t>
  </si>
  <si>
    <t>CA-2017-165813</t>
  </si>
  <si>
    <t>Avery 499-110947</t>
  </si>
  <si>
    <t>CA-2017-163440</t>
  </si>
  <si>
    <t>Polycom CX300 Desktop Phone USB VoIP phone-111038</t>
  </si>
  <si>
    <t>Polycom CX300 Desktop Phone USB VoIP phone</t>
  </si>
  <si>
    <t>CA-2017-103793</t>
  </si>
  <si>
    <t>Southworth Parchment Paper &amp; Envelopes-111458</t>
  </si>
  <si>
    <t>Southworth Parchment Paper &amp; Envelopes</t>
  </si>
  <si>
    <t>US-2017-142811</t>
  </si>
  <si>
    <t>Memorex Froggy Flash Drive 4 GB-112711</t>
  </si>
  <si>
    <t>CA-2017-136378</t>
  </si>
  <si>
    <t>Jabra SPEAK 410-112571</t>
  </si>
  <si>
    <t>Jabra SPEAK 410</t>
  </si>
  <si>
    <t>CA-2017-161452</t>
  </si>
  <si>
    <t>Eldon Expressions Punched Metal &amp; Wood Desk Accessories, Pewter &amp; Cherry-113040</t>
  </si>
  <si>
    <t>Eldon Expressions Punched Metal &amp; Wood Desk Accessories, Pewter &amp; Cherry</t>
  </si>
  <si>
    <t>CA-2017-116512</t>
  </si>
  <si>
    <t>Wilson Jones Active Use Binders-113971</t>
  </si>
  <si>
    <t>CA-2017-149678</t>
  </si>
  <si>
    <t>Premier Elliptical Ring Binder, Black-115399</t>
  </si>
  <si>
    <t>CA-2017-116841</t>
  </si>
  <si>
    <t>Sauder Inglewood Library Bookcases-115420</t>
  </si>
  <si>
    <t>Sauder Inglewood Library Bookcases</t>
  </si>
  <si>
    <t>US-2017-113593</t>
  </si>
  <si>
    <t>Staple envelope-116260-116260</t>
  </si>
  <si>
    <t>Staple envelope-116260</t>
  </si>
  <si>
    <t>CA-2017-118227</t>
  </si>
  <si>
    <t>Peel &amp; Stick Add-On Corner Pockets-117086</t>
  </si>
  <si>
    <t>Peel &amp; Stick Add-On Corner Pockets</t>
  </si>
  <si>
    <t>CA-2017-112557</t>
  </si>
  <si>
    <t>Avery 52-117772</t>
  </si>
  <si>
    <t>Avery 52</t>
  </si>
  <si>
    <t>CA-2017-115420</t>
  </si>
  <si>
    <t>Dixon Ticonderoga Core-Lock Colored Pencils-117828</t>
  </si>
  <si>
    <t>Dixon Ticonderoga Core-Lock Colored Pencils</t>
  </si>
  <si>
    <t>US-2017-114839</t>
  </si>
  <si>
    <t>Xerox 2-118227</t>
  </si>
  <si>
    <t>CA-2017-160864</t>
  </si>
  <si>
    <t>Panasonic KX T7736-B Digital phone-119592</t>
  </si>
  <si>
    <t>CA-2017-142055</t>
  </si>
  <si>
    <t>Xerox 232-120439</t>
  </si>
  <si>
    <t>Xerox 232</t>
  </si>
  <si>
    <t>CA-2017-165162</t>
  </si>
  <si>
    <t>Office Star - Professional Matrix Back Chair with 2-to-1 Synchro Tilt and Mesh Fabric Seat-121272</t>
  </si>
  <si>
    <t>CA-2017-138492</t>
  </si>
  <si>
    <t>Dana Swing-Arm Lamps-121391</t>
  </si>
  <si>
    <t>CA-2017-100769</t>
  </si>
  <si>
    <t>Avery 492-121699</t>
  </si>
  <si>
    <t>US-2017-168914</t>
  </si>
  <si>
    <t>Xerox 1927-123232</t>
  </si>
  <si>
    <t>Xerox 1927</t>
  </si>
  <si>
    <t>CA-2017-115168</t>
  </si>
  <si>
    <t>Newell 310-126186</t>
  </si>
  <si>
    <t>CA-2017-131779</t>
  </si>
  <si>
    <t>Hon 61000 Series Interactive Training Tables-126970</t>
  </si>
  <si>
    <t>Hon 61000 Series Interactive Training Tables</t>
  </si>
  <si>
    <t>CA-2017-127418</t>
  </si>
  <si>
    <t>Barricks 18" x 48" Non-Folding Utility Table with Bottom Storage Shelf-127418</t>
  </si>
  <si>
    <t>Barricks 18" x 48" Non-Folding Utility Table with Bottom Storage Shelf</t>
  </si>
  <si>
    <t>CA-2017-111864</t>
  </si>
  <si>
    <t>GBC Imprintable Covers-128860</t>
  </si>
  <si>
    <t>CA-2017-163734</t>
  </si>
  <si>
    <t>Acme Elite Stainless Steel Scissors-128993</t>
  </si>
  <si>
    <t>CA-2017-122826</t>
  </si>
  <si>
    <t>REDIFORM Incoming/Outgoing Call Register, 11" X 8 1/2", 100 Messages-129770</t>
  </si>
  <si>
    <t>US-2017-100069</t>
  </si>
  <si>
    <t>DAX Charcoal/Nickel-Tone Document Frame, 5 x 7-130855</t>
  </si>
  <si>
    <t>DAX Charcoal/Nickel-Tone Document Frame, 5 x 7</t>
  </si>
  <si>
    <t>CA-2017-120397</t>
  </si>
  <si>
    <t>Laminate Occasional Tables-130890</t>
  </si>
  <si>
    <t>Laminate Occasional Tables</t>
  </si>
  <si>
    <t>CA-2017-154956</t>
  </si>
  <si>
    <t>Fellowes Black Plastic Comb Bindings-131352</t>
  </si>
  <si>
    <t>Fellowes Black Plastic Comb Bindings</t>
  </si>
  <si>
    <t>CA-2017-112711</t>
  </si>
  <si>
    <t>RCA ViSYS 25825 Wireless digital phone-132633</t>
  </si>
  <si>
    <t>RCA ViSYS 25825 Wireless digital phone</t>
  </si>
  <si>
    <t>CA-2017-136735</t>
  </si>
  <si>
    <t>Global Leather Highback Executive Chair with Pneumatic Height Adjustment, Black-134719</t>
  </si>
  <si>
    <t>CA-2017-143700</t>
  </si>
  <si>
    <t>Model L Table or Wall-Mount Pencil Sharpener-134782</t>
  </si>
  <si>
    <t>Model L Table or Wall-Mount Pencil Sharpener</t>
  </si>
  <si>
    <t>CA-2017-111017</t>
  </si>
  <si>
    <t>DAX Wood Document Frame.-135314</t>
  </si>
  <si>
    <t>DAX Wood Document Frame.</t>
  </si>
  <si>
    <t>CA-2017-164427</t>
  </si>
  <si>
    <t>Dana Halogen Swing-Arm Architect Lamp-135489</t>
  </si>
  <si>
    <t>Dana Halogen Swing-Arm Architect Lamp</t>
  </si>
  <si>
    <t>CA-2017-160794</t>
  </si>
  <si>
    <t>Global Leather and Oak Executive Chair, Black-135538</t>
  </si>
  <si>
    <t>Global Leather and Oak Executive Chair, Black</t>
  </si>
  <si>
    <t>CA-2017-103954</t>
  </si>
  <si>
    <t>Avery Trapezoid Extra Heavy Duty 4" Binders-136658</t>
  </si>
  <si>
    <t>CA-2017-162369</t>
  </si>
  <si>
    <t>Jabra SPEAK 410-138331</t>
  </si>
  <si>
    <t>CA-2017-113040</t>
  </si>
  <si>
    <t>BOSTON Ranger #55 Pencil Sharpener, Black-138898</t>
  </si>
  <si>
    <t>BOSTON Ranger #55 Pencil Sharpener, Black</t>
  </si>
  <si>
    <t>CA-2017-157805</t>
  </si>
  <si>
    <t>Innergie mMini Combo Duo USB Travel Charging Kit-139780</t>
  </si>
  <si>
    <t>Innergie mMini Combo Duo USB Travel Charging Kit</t>
  </si>
  <si>
    <t>US-2017-104185</t>
  </si>
  <si>
    <t>Tops Wirebound Message Log Books-141754</t>
  </si>
  <si>
    <t>Tops Wirebound Message Log Books</t>
  </si>
  <si>
    <t>CA-2017-113215</t>
  </si>
  <si>
    <t>GBC Velobind Prepunched Cover Sets, Regency Series-140557</t>
  </si>
  <si>
    <t>CA-2017-149734</t>
  </si>
  <si>
    <t>Dot Matrix Printer Tape Reel Labels, White, 5000/Box-141145</t>
  </si>
  <si>
    <t>Dot Matrix Printer Tape Reel Labels, White, 5000/Box</t>
  </si>
  <si>
    <t>CA-2017-169537</t>
  </si>
  <si>
    <t>Newell 333-141740</t>
  </si>
  <si>
    <t>Newell 333</t>
  </si>
  <si>
    <t>CA-2017-143238</t>
  </si>
  <si>
    <t>Performers Binder/Pad Holder, Black-142139</t>
  </si>
  <si>
    <t>CA-2017-169572</t>
  </si>
  <si>
    <t>Avery 479-142433</t>
  </si>
  <si>
    <t>Avery 479</t>
  </si>
  <si>
    <t>CA-2017-150791</t>
  </si>
  <si>
    <t>Prismacolor Color Pencil Set-142202</t>
  </si>
  <si>
    <t>CA-2017-122623</t>
  </si>
  <si>
    <t>Atlantic Metals Mobile 3-Shelf Bookcases, Custom Colors-142734</t>
  </si>
  <si>
    <t>CA-2017-126186</t>
  </si>
  <si>
    <t>Logitech G600 MMO Gaming Mouse-143980</t>
  </si>
  <si>
    <t>CA-2017-115924</t>
  </si>
  <si>
    <t>Xerox 1885-144302</t>
  </si>
  <si>
    <t>Xerox 1885</t>
  </si>
  <si>
    <t>CA-2017-133025</t>
  </si>
  <si>
    <t>Newell 346-145324</t>
  </si>
  <si>
    <t>Newell 346</t>
  </si>
  <si>
    <t>CA-2017-135489</t>
  </si>
  <si>
    <t>Space Solutions Commercial Steel Shelving-146087</t>
  </si>
  <si>
    <t>Space Solutions Commercial Steel Shelving</t>
  </si>
  <si>
    <t>CA-2017-147102</t>
  </si>
  <si>
    <t>Acco Six-Outlet Power Strip, 4' Cord Length-146465</t>
  </si>
  <si>
    <t>Acco Six-Outlet Power Strip, 4' Cord Length</t>
  </si>
  <si>
    <t>CA-2017-137603</t>
  </si>
  <si>
    <t>MaxellÂ LTO Ultrium - 800 GB-146290</t>
  </si>
  <si>
    <t>CA-2017-149517</t>
  </si>
  <si>
    <t>Canon Imageclass D680 Copier / Fax-146696</t>
  </si>
  <si>
    <t>CA-2017-126970</t>
  </si>
  <si>
    <t>Mitel MiVoice 5330e IP Phone-146829</t>
  </si>
  <si>
    <t>Mitel MiVoice 5330e IP Phone</t>
  </si>
  <si>
    <t>CA-2017-112571</t>
  </si>
  <si>
    <t>Logitech G19 Programmable Gaming Keyboard-147851</t>
  </si>
  <si>
    <t>Logitech G19 Programmable Gaming Keyboard</t>
  </si>
  <si>
    <t>CA-2017-160787</t>
  </si>
  <si>
    <t>Avery 474-149734</t>
  </si>
  <si>
    <t>Avery 474</t>
  </si>
  <si>
    <t>CA-2017-100573</t>
  </si>
  <si>
    <t>ShoreTel ShorePhone IP 230 VoIP phone-149300</t>
  </si>
  <si>
    <t>CA-2017-143616</t>
  </si>
  <si>
    <t>Avery 489-150196</t>
  </si>
  <si>
    <t>CA-2017-104493</t>
  </si>
  <si>
    <t>Avery 503-150441</t>
  </si>
  <si>
    <t>CA-2017-125178</t>
  </si>
  <si>
    <t>Howard Miller 13-3/4" Diameter Brushed Chrome Round Wall Clock-151043</t>
  </si>
  <si>
    <t>CA-2017-121391</t>
  </si>
  <si>
    <t>Lumber Crayons-151547</t>
  </si>
  <si>
    <t>CA-2017-168529</t>
  </si>
  <si>
    <t>Advantus Panel Wall Certificate Holder - 8.5x11-152611</t>
  </si>
  <si>
    <t>CA-2017-112522</t>
  </si>
  <si>
    <t>ARKON Windshield Dashboard Air Vent Car Mount Holder-153220</t>
  </si>
  <si>
    <t>CA-2017-129476</t>
  </si>
  <si>
    <t>Fellowes Bankers Box Stor/Drawer Steel Plus-153612</t>
  </si>
  <si>
    <t>CA-2017-150413</t>
  </si>
  <si>
    <t>Recycled Premium Regency Composition Covers-153906</t>
  </si>
  <si>
    <t>Recycled Premium Regency Composition Covers</t>
  </si>
  <si>
    <t>CA-2017-169733</t>
  </si>
  <si>
    <t>Fellowes Bases and Tops For Staxonsteel/High-Stak Systems-154200</t>
  </si>
  <si>
    <t>Fellowes Bases and Tops For Staxonsteel/High-Stak Systems</t>
  </si>
  <si>
    <t>CA-2017-108119</t>
  </si>
  <si>
    <t>GBC Personal VeloBind Strips-156118</t>
  </si>
  <si>
    <t>CA-2017-125416</t>
  </si>
  <si>
    <t>Tenex Traditional Chairmats for Medium Pile Carpet, Standard Lip, 36" x 48"-156608</t>
  </si>
  <si>
    <t>Tenex Traditional Chairmats for Medium Pile Carpet, Standard Lip, 36" x 48"</t>
  </si>
  <si>
    <t>CA-2017-126466</t>
  </si>
  <si>
    <t>Cisco IP Phone 7961G-GE VoIP phone-160059</t>
  </si>
  <si>
    <t>Cisco IP Phone 7961G-GE VoIP phone</t>
  </si>
  <si>
    <t>CA-2017-151043</t>
  </si>
  <si>
    <t>Bevis Round Conference Table Top &amp; Single Column Base-161627</t>
  </si>
  <si>
    <t>CA-2017-129525</t>
  </si>
  <si>
    <t>Xerox 1886-161767</t>
  </si>
  <si>
    <t>CA-2017-110891</t>
  </si>
  <si>
    <t>Carina 42"Hx23 3/4"W Media Storage Unit-162887</t>
  </si>
  <si>
    <t>CA-2017-123505</t>
  </si>
  <si>
    <t>Advantus Panel Wall Certificate Holder - 8.5x11-164301</t>
  </si>
  <si>
    <t>US-2017-164357</t>
  </si>
  <si>
    <t>Aastra 6757i CT Wireless VoIP phone-164567</t>
  </si>
  <si>
    <t>Aastra 6757i CT Wireless VoIP phone</t>
  </si>
  <si>
    <t>US-2017-154389</t>
  </si>
  <si>
    <t>Wilson Jones Turn Tabs Binder Tool for Ring Binders-165799</t>
  </si>
  <si>
    <t>CA-2017-154340</t>
  </si>
  <si>
    <t>Fellowes Bankers Box Staxonsteel Drawer File/Stacking System-166947</t>
  </si>
  <si>
    <t>Fellowes Bankers Box Staxonsteel Drawer File/Stacking System</t>
  </si>
  <si>
    <t>US-2017-141453</t>
  </si>
  <si>
    <t>Hon Practical Foundations 30 x 60 Training Table, Light Gray/Charcoal-167479</t>
  </si>
  <si>
    <t>Hon Practical Foundations 30 x 60 Training Table, Light Gray/Charcoal</t>
  </si>
  <si>
    <t>CA-2017-119907</t>
  </si>
  <si>
    <t>BOSTON Model 1800 Electric Pencil Sharpeners, Putty/Woodgrain-168186</t>
  </si>
  <si>
    <t>BOSTON Model 1800 Electric Pencil Sharpeners, Putty/Woodgrain</t>
  </si>
  <si>
    <t>CA-2017-147851</t>
  </si>
  <si>
    <t>Revere Boxed Rubber Bands by Revere-168634</t>
  </si>
  <si>
    <t>Revere Boxed Rubber Bands by Revere</t>
  </si>
  <si>
    <t>US-2017-131842</t>
  </si>
  <si>
    <t>SpineVue Locking Slant-D Ring Binders by Cardinal-169733</t>
  </si>
  <si>
    <t>SpineVue Locking Slant-D Ring Binders by Cardinal</t>
  </si>
  <si>
    <t>CA-2017-106208</t>
  </si>
  <si>
    <t>Memorex 25GB 6X Branded Blu-Ray Recordable Disc, 15/Pack-101385</t>
  </si>
  <si>
    <t>Memorex 25GB 6X Branded Blu-Ray Recordable Disc, 15/Pack</t>
  </si>
  <si>
    <t>CA-2017-112823</t>
  </si>
  <si>
    <t>AmazonBasics 3-Button USB Wired Mouse-101448</t>
  </si>
  <si>
    <t>AmazonBasics 3-Button USB Wired Mouse</t>
  </si>
  <si>
    <t>US-2017-167220</t>
  </si>
  <si>
    <t>3M Office Air Cleaner-102134</t>
  </si>
  <si>
    <t>3M Office Air Cleaner</t>
  </si>
  <si>
    <t>CA-2017-129042</t>
  </si>
  <si>
    <t>Sanford Colorific Eraseable Coloring Pencils, 12 Count-101987</t>
  </si>
  <si>
    <t>Sanford Colorific Eraseable Coloring Pencils, 12 Count</t>
  </si>
  <si>
    <t>CA-2017-123232</t>
  </si>
  <si>
    <t>Fellowes Super Stor/Drawer-102792</t>
  </si>
  <si>
    <t>Fellowes Super Stor/Drawer</t>
  </si>
  <si>
    <t>CA-2017-114048</t>
  </si>
  <si>
    <t>Tennsco Double-Tier Lockers-102498</t>
  </si>
  <si>
    <t>CA-2017-146696</t>
  </si>
  <si>
    <t>Acco 6 Outlet Guardian Standard Surge Suppressor-103359</t>
  </si>
  <si>
    <t>Acco 6 Outlet Guardian Standard Surge Suppressor</t>
  </si>
  <si>
    <t>CA-2017-162544</t>
  </si>
  <si>
    <t>Avery Hole Reinforcements-103919</t>
  </si>
  <si>
    <t>Avery Hole Reinforcements</t>
  </si>
  <si>
    <t>CA-2017-158918</t>
  </si>
  <si>
    <t>WD My Passport Ultra 1TB Portable External Hard Drive-105753</t>
  </si>
  <si>
    <t>CA-2017-144890</t>
  </si>
  <si>
    <t>Logitech Media Keyboard K200-106460</t>
  </si>
  <si>
    <t>CA-2017-134782</t>
  </si>
  <si>
    <t>Xerox 1943-107615</t>
  </si>
  <si>
    <t>Xerox 1943</t>
  </si>
  <si>
    <t>US-2017-163783</t>
  </si>
  <si>
    <t>Nu-Dell Float Frame 11 x 14 1/2-108056</t>
  </si>
  <si>
    <t>Nu-Dell Float Frame 11 x 14 1/2</t>
  </si>
  <si>
    <t>CA-2017-155145</t>
  </si>
  <si>
    <t>Xerox 1883-107790</t>
  </si>
  <si>
    <t>Xerox 1883</t>
  </si>
  <si>
    <t>CA-2019-125206</t>
  </si>
  <si>
    <t>Maxell 4.7GB DVD+RW 3/Pack-108434</t>
  </si>
  <si>
    <t>US-2019-164630</t>
  </si>
  <si>
    <t>Harbour Creations Steel Folding Chair-108567</t>
  </si>
  <si>
    <t>Harbour Creations Steel Folding Chair</t>
  </si>
  <si>
    <t>CA-2019-101938</t>
  </si>
  <si>
    <t>Xerox 206-108630</t>
  </si>
  <si>
    <t>CA-2019-126543</t>
  </si>
  <si>
    <t>Hon Comfortask Task/Swivel Chairs-108644</t>
  </si>
  <si>
    <t>Hon Comfortask Task/Swivel Chairs</t>
  </si>
  <si>
    <t>CA-2019-140746</t>
  </si>
  <si>
    <t>Recycled Data-Pak for Archival Bound Computer Printouts, 12-1/2 x 12-1/2 x 16-109057</t>
  </si>
  <si>
    <t>Recycled Data-Pak for Archival Bound Computer Printouts, 12-1/2 x 12-1/2 x 16</t>
  </si>
  <si>
    <t>CA-2019-111010</t>
  </si>
  <si>
    <t>Adjustable Depth Letter/Legal Cart-109407</t>
  </si>
  <si>
    <t>CA-2019-146318</t>
  </si>
  <si>
    <t>Verbatim 25 GB 6x Blu-ray Single Layer Recordable Disc, 3/Pack-109911</t>
  </si>
  <si>
    <t>CA-2019-153661</t>
  </si>
  <si>
    <t>File Shuttle II and Handi-File, Black-153661</t>
  </si>
  <si>
    <t>CA-2019-144645</t>
  </si>
  <si>
    <t>Xerox 1894-111283</t>
  </si>
  <si>
    <t>CA-2019-118514</t>
  </si>
  <si>
    <t>Ibico Recycled Grain-Textured Covers-111409</t>
  </si>
  <si>
    <t>Ibico Recycled Grain-Textured Covers</t>
  </si>
  <si>
    <t>CA-2019-135461</t>
  </si>
  <si>
    <t>Avery 473-111941</t>
  </si>
  <si>
    <t>CA-2019-134138</t>
  </si>
  <si>
    <t>Dixon Prang Watercolor Pencils, 10-Color Set with Brush-112676</t>
  </si>
  <si>
    <t>CA-2019-166485</t>
  </si>
  <si>
    <t>Xerox 1993-112942</t>
  </si>
  <si>
    <t>Xerox 1993</t>
  </si>
  <si>
    <t>CA-2019-121447</t>
  </si>
  <si>
    <t>Eldon Radial Chair Mat for Low to Medium Pile Carpets-113061</t>
  </si>
  <si>
    <t>US-2019-151862</t>
  </si>
  <si>
    <t>Advantus Push Pins, Aluminum Head-113726</t>
  </si>
  <si>
    <t>Advantus Push Pins, Aluminum Head</t>
  </si>
  <si>
    <t>CA-2019-120803</t>
  </si>
  <si>
    <t>Avery 502-114951</t>
  </si>
  <si>
    <t>US-2019-112977</t>
  </si>
  <si>
    <t>Global Stack Chair without Arms, Black-115483</t>
  </si>
  <si>
    <t>Global Stack Chair without Arms, Black</t>
  </si>
  <si>
    <t>US-2019-122182</t>
  </si>
  <si>
    <t>Perma STOR-ALL Hanging File Box, 13 1/8"W x 12 1/4"D x 10 1/2"H-115504</t>
  </si>
  <si>
    <t>CA-2019-159016</t>
  </si>
  <si>
    <t>Rediform Voice Mail Log Books-159016</t>
  </si>
  <si>
    <t>Rediform Voice Mail Log Books</t>
  </si>
  <si>
    <t>CA-2019-119123</t>
  </si>
  <si>
    <t>Wilson Jones International Size A4 Ring Binders-116764</t>
  </si>
  <si>
    <t>Wilson Jones International Size A4 Ring Binders</t>
  </si>
  <si>
    <t>CA-2019-138968</t>
  </si>
  <si>
    <t>Avery Round Ring Poly Binders-138968</t>
  </si>
  <si>
    <t>US-2019-113509</t>
  </si>
  <si>
    <t>Hon 4070 Series Pagoda Round Back Stacking Chairs-117408</t>
  </si>
  <si>
    <t>Hon 4070 Series Pagoda Round Back Stacking Chairs</t>
  </si>
  <si>
    <t>CA-2019-127670</t>
  </si>
  <si>
    <t>Avery Legal 4-Ring Binder-118129</t>
  </si>
  <si>
    <t>Avery Legal 4-Ring Binder</t>
  </si>
  <si>
    <t>CA-2019-118899</t>
  </si>
  <si>
    <t>Cardinal HOLDit! Binder Insert Strips,Extra Strips-118500</t>
  </si>
  <si>
    <t>Cardinal HOLDit! Binder Insert Strips,Extra Strips</t>
  </si>
  <si>
    <t>US-2019-162677</t>
  </si>
  <si>
    <t>Tenex Personal Self-Stacking Standard File Box, Black/Gray-162677</t>
  </si>
  <si>
    <t>Tenex Personal Self-Stacking Standard File Box, Black/Gray</t>
  </si>
  <si>
    <t>CA-2019-127985</t>
  </si>
  <si>
    <t>Wirebound Message Books, Four 2 3/4 x 5 White Forms per Page-119123</t>
  </si>
  <si>
    <t>Wirebound Message Books, Four 2 3/4 x 5 White Forms per Page</t>
  </si>
  <si>
    <t>CA-2019-123540</t>
  </si>
  <si>
    <t>Okidata C331dn Printer-119515</t>
  </si>
  <si>
    <t>CA-2019-167115</t>
  </si>
  <si>
    <t>Avery 473-119823</t>
  </si>
  <si>
    <t>CA-2019-159142</t>
  </si>
  <si>
    <t>Anker Astro 15000mAh USB Portable Charger-159142</t>
  </si>
  <si>
    <t>CA-2019-159695</t>
  </si>
  <si>
    <t>DAX Charcoal/Nickel-Tone Document Frame, 5 x 7-120082</t>
  </si>
  <si>
    <t>CA-2019-110499</t>
  </si>
  <si>
    <t>Newell 333-120250</t>
  </si>
  <si>
    <t>US-2019-114622</t>
  </si>
  <si>
    <t>Newell 314-121356</t>
  </si>
  <si>
    <t>Newell 314</t>
  </si>
  <si>
    <t>CA-2019-164735</t>
  </si>
  <si>
    <t>Avery 488-121601</t>
  </si>
  <si>
    <t>CA-2019-117849</t>
  </si>
  <si>
    <t>Bush Cubix Conference Tables, Fully Assembled-121993</t>
  </si>
  <si>
    <t>Bush Cubix Conference Tables, Fully Assembled</t>
  </si>
  <si>
    <t>CA-2019-109057</t>
  </si>
  <si>
    <t>GBC Wire Binding Strips-123526</t>
  </si>
  <si>
    <t>CA-2019-138933</t>
  </si>
  <si>
    <t>Wirebound Message Books, Four 2 3/4 x 5 White Forms per Page-123722</t>
  </si>
  <si>
    <t>CA-2019-164784</t>
  </si>
  <si>
    <t>Avery 499-164784</t>
  </si>
  <si>
    <t>CA-2019-109400</t>
  </si>
  <si>
    <t>Acme Value Line Scissors-124772</t>
  </si>
  <si>
    <t>CA-2019-145247</t>
  </si>
  <si>
    <t>Tennsco 6- and 18-Compartment Lockers-125206</t>
  </si>
  <si>
    <t>Tennsco 6- and 18-Compartment Lockers</t>
  </si>
  <si>
    <t>CA-2019-126165</t>
  </si>
  <si>
    <t>Carina 42"Hx23 3/4"W Media Storage Unit-125094</t>
  </si>
  <si>
    <t>CA-2019-137393</t>
  </si>
  <si>
    <t>Belkin F5C206VTEL 6 Outlet Surge-125318</t>
  </si>
  <si>
    <t>CA-2019-164672</t>
  </si>
  <si>
    <t>Sauder Facets Collection Locker/File Cabinet, Sky Alder Finish-125815</t>
  </si>
  <si>
    <t>Sauder Facets Collection Locker/File Cabinet, Sky Alder Finish</t>
  </si>
  <si>
    <t>CA-2019-108224</t>
  </si>
  <si>
    <t>Laminate Occasional Tables-127369</t>
  </si>
  <si>
    <t>CA-2019-157245</t>
  </si>
  <si>
    <t>Dixon Prang Watercolor Pencils, 10-Color Set with Brush-128258</t>
  </si>
  <si>
    <t>CA-2019-108567</t>
  </si>
  <si>
    <t>Premier Electric Letter Opener-128706</t>
  </si>
  <si>
    <t>CA-2019-146010</t>
  </si>
  <si>
    <t>3.6 Cubic Foot Counter Height Office Refrigerator-128727</t>
  </si>
  <si>
    <t>3.6 Cubic Foot Counter Height Office Refrigerator</t>
  </si>
  <si>
    <t>CA-2019-125920</t>
  </si>
  <si>
    <t>Airmail Envelopes-129196</t>
  </si>
  <si>
    <t>CA-2019-154403</t>
  </si>
  <si>
    <t>Avery Hidden Tab Dividers for Binding Systems-130001</t>
  </si>
  <si>
    <t>Avery Hidden Tab Dividers for Binding Systems</t>
  </si>
  <si>
    <t>CA-2019-136994</t>
  </si>
  <si>
    <t>ClearSounds CSC500 Amplified Spirit Phone Corded phone-130225</t>
  </si>
  <si>
    <t>CA-2019-121377</t>
  </si>
  <si>
    <t>NETGEAR AC1750 Dual Band GigabitÂ Smart WiFi Router-130288</t>
  </si>
  <si>
    <t>CA-2019-145499</t>
  </si>
  <si>
    <t>Wilson Jones 1" Hanging DublLock Ring Binders-130680</t>
  </si>
  <si>
    <t>CA-2019-147473</t>
  </si>
  <si>
    <t>Super Decoflex Portable Personal File-130799</t>
  </si>
  <si>
    <t>Super Decoflex Portable Personal File</t>
  </si>
  <si>
    <t>CA-2019-158547</t>
  </si>
  <si>
    <t>Akro Stacking Bins-131093</t>
  </si>
  <si>
    <t>US-2019-128293</t>
  </si>
  <si>
    <t>Howard Miller 14-1/2" Diameter Chrome Round Wall Clock-131296</t>
  </si>
  <si>
    <t>CA-2019-122448</t>
  </si>
  <si>
    <t>Crate-A-Files-132661</t>
  </si>
  <si>
    <t>CA-2019-118745</t>
  </si>
  <si>
    <t>Memorex Froggy Flash Drive 4 GB-133319</t>
  </si>
  <si>
    <t>CA-2019-127208</t>
  </si>
  <si>
    <t>1.7 Cubic Foot Compact "Cube" Office Refrigerators-127208</t>
  </si>
  <si>
    <t>CA-2019-138688</t>
  </si>
  <si>
    <t>Insertable Tab Indexes For Data Binders-133725</t>
  </si>
  <si>
    <t>Insertable Tab Indexes For Data Binders</t>
  </si>
  <si>
    <t>CA-2019-126795</t>
  </si>
  <si>
    <t>Wirebound Message Books, Two 4 1/4" x 5" Forms per Page-133816</t>
  </si>
  <si>
    <t>Wirebound Message Books, Two 4 1/4" x 5" Forms per Page</t>
  </si>
  <si>
    <t>CA-2019-136287</t>
  </si>
  <si>
    <t>Rogers Jumbo File, Granite-134138</t>
  </si>
  <si>
    <t>Rogers Jumbo File, Granite</t>
  </si>
  <si>
    <t>CA-2019-128223</t>
  </si>
  <si>
    <t>Xerox 1991-134222</t>
  </si>
  <si>
    <t>CA-2019-133872</t>
  </si>
  <si>
    <t>GBC Twin Loop Wire Binding Elements-133872</t>
  </si>
  <si>
    <t>CA-2019-137127</t>
  </si>
  <si>
    <t>Avery Heavy-Duty EZD View Binder with Locking Rings-134691</t>
  </si>
  <si>
    <t>Avery Heavy-Duty EZD View Binder with Locking Rings</t>
  </si>
  <si>
    <t>CA-2019-148593</t>
  </si>
  <si>
    <t>Eureka Sanitaire  Multi-Pro Heavy-Duty Upright, Disposable Bags-135461</t>
  </si>
  <si>
    <t>CA-2019-140977</t>
  </si>
  <si>
    <t>Avery Arch Ring Binders-134887</t>
  </si>
  <si>
    <t>CA-2019-107146</t>
  </si>
  <si>
    <t>Rubbermaid ClusterMat Chairmats, Mat Size- 66" x 60", Lip 20" x 11" -90 Degree Angle-107146</t>
  </si>
  <si>
    <t>CA-2019-105760</t>
  </si>
  <si>
    <t>Fellowes PB200 Plastic Comb Binding Machine-136133</t>
  </si>
  <si>
    <t>Fellowes PB200 Plastic Comb Binding Machine</t>
  </si>
  <si>
    <t>US-2019-154256</t>
  </si>
  <si>
    <t>Dixon Ticonderoga Maple Cedar Pencil, #2-136434</t>
  </si>
  <si>
    <t>CA-2019-130680</t>
  </si>
  <si>
    <t>Global Deluxe Steno Chair-136595</t>
  </si>
  <si>
    <t>Global Deluxe Steno Chair</t>
  </si>
  <si>
    <t>CA-2019-160234</t>
  </si>
  <si>
    <t>Belkin 7 Outlet SurgeMaster II-137204</t>
  </si>
  <si>
    <t>Belkin 7 Outlet SurgeMaster II</t>
  </si>
  <si>
    <t>CA-2019-135594</t>
  </si>
  <si>
    <t>LogitechÂ VX Revolution Cordless Laser Mouse for Notebooks (Black)-137939</t>
  </si>
  <si>
    <t>CA-2019-101469</t>
  </si>
  <si>
    <t>Alphabetical Labels for Top Tab Filing-138233</t>
  </si>
  <si>
    <t>CA-2019-147137</t>
  </si>
  <si>
    <t>Master Caster Door Stop, Brown-147137</t>
  </si>
  <si>
    <t>Master Caster Door Stop, Brown</t>
  </si>
  <si>
    <t>CA-2019-114713</t>
  </si>
  <si>
    <t>Samsung Galaxy S4-138688</t>
  </si>
  <si>
    <t>CA-2019-101378</t>
  </si>
  <si>
    <t>Contemporary Wood/Metal Frame-139808</t>
  </si>
  <si>
    <t>CA-2019-101966</t>
  </si>
  <si>
    <t>Martin-Yale Premier Letter Opener-139878</t>
  </si>
  <si>
    <t>CA-2019-117282</t>
  </si>
  <si>
    <t>Newell 310-139934</t>
  </si>
  <si>
    <t>CA-2019-169215</t>
  </si>
  <si>
    <t>Fiskars Softgrip Scissors-140207</t>
  </si>
  <si>
    <t>CA-2019-102498</t>
  </si>
  <si>
    <t>Woodgrain Magazine Files by Perma-141586</t>
  </si>
  <si>
    <t>CA-2019-162943</t>
  </si>
  <si>
    <t>Chromcraft Bull-Nose Wood 48" x 96" Rectangular Conference Tables-141887</t>
  </si>
  <si>
    <t>Chromcraft Bull-Nose Wood 48" x 96" Rectangular Conference Tables</t>
  </si>
  <si>
    <t>CA-2019-115525</t>
  </si>
  <si>
    <t>Newell 312-143154</t>
  </si>
  <si>
    <t>CA-2019-140046</t>
  </si>
  <si>
    <t>Holmes 99% HEPA Air Purifier-143910</t>
  </si>
  <si>
    <t>CA-2019-132990</t>
  </si>
  <si>
    <t>Cardinal Holdit Data Disk Pockets-144645</t>
  </si>
  <si>
    <t>Cardinal Holdit Data Disk Pockets</t>
  </si>
  <si>
    <t>US-2019-113649</t>
  </si>
  <si>
    <t>Xerox 199-113649</t>
  </si>
  <si>
    <t>Xerox 199</t>
  </si>
  <si>
    <t>CA-2019-143910</t>
  </si>
  <si>
    <t>Master Giant Foot Doorstop, Safety Yellow-145842</t>
  </si>
  <si>
    <t>CA-2019-119515</t>
  </si>
  <si>
    <t>Grandstream GXP2100 Mainstream Business Phone-146318</t>
  </si>
  <si>
    <t>Grandstream GXP2100 Mainstream Business Phone</t>
  </si>
  <si>
    <t>CA-2019-148096</t>
  </si>
  <si>
    <t>GBC Standard Recycled Report Covers, Clear Plastic Sheets-146766</t>
  </si>
  <si>
    <t>US-2019-146066</t>
  </si>
  <si>
    <t>Xerox 1910-147536</t>
  </si>
  <si>
    <t>CA-2019-122581</t>
  </si>
  <si>
    <t>Global Value Steno Chair, Gray-147431</t>
  </si>
  <si>
    <t>Global Value Steno Chair, Gray</t>
  </si>
  <si>
    <t>CA-2019-140256</t>
  </si>
  <si>
    <t>Lenovo 17-Key USB Numeric Keypad-147585</t>
  </si>
  <si>
    <t>US-2019-102141</t>
  </si>
  <si>
    <t>IBM Multi-Purpose Copy Paper, 8 1/2 x 11", Case-148747</t>
  </si>
  <si>
    <t>CA-2019-128594</t>
  </si>
  <si>
    <t>Eldon Wave Desk Accessories-148201</t>
  </si>
  <si>
    <t>CA-2019-161207</t>
  </si>
  <si>
    <t>iKross Bluetooth Portable Keyboard + Cell Phone Stand Holder + Brush for Apple iPhone 5S 5C 5, 4S 4-149314</t>
  </si>
  <si>
    <t>CA-2019-117408</t>
  </si>
  <si>
    <t>DAX Value U-Channel Document Frames, Easel Back-149335</t>
  </si>
  <si>
    <t>CA-2019-120859</t>
  </si>
  <si>
    <t>Mitel MiVoice 5330e IP Phone-149349</t>
  </si>
  <si>
    <t>CA-2019-129714</t>
  </si>
  <si>
    <t>Sabrent 4-Port USB 2.0 Hub-129714</t>
  </si>
  <si>
    <t>CA-2019-124583</t>
  </si>
  <si>
    <t>Howard Miller Distant Time Traveler Alarm Clock-149370</t>
  </si>
  <si>
    <t>CA-2019-166429</t>
  </si>
  <si>
    <t>Newell 3-Hole Punched Plastic Slotted Magazine Holders for Binders-149482</t>
  </si>
  <si>
    <t>Newell 3-Hole Punched Plastic Slotted Magazine Holders for Binders</t>
  </si>
  <si>
    <t>CA-2019-163986</t>
  </si>
  <si>
    <t>GBC Plasticlear Binding Covers-149797</t>
  </si>
  <si>
    <t>US-2019-100566</t>
  </si>
  <si>
    <t>Tennsco Commercial Shelving-149902</t>
  </si>
  <si>
    <t>Tennsco Commercial Shelving</t>
  </si>
  <si>
    <t>CA-2019-168774</t>
  </si>
  <si>
    <t>Hon 4060 Series Tables-150658</t>
  </si>
  <si>
    <t>CA-2019-133319</t>
  </si>
  <si>
    <t>Acco Perma 4000 Stacking Storage Drawers-150945</t>
  </si>
  <si>
    <t>CA-2019-136595</t>
  </si>
  <si>
    <t>O'Sullivan Living Dimensions 2-Shelf Bookcases-151092</t>
  </si>
  <si>
    <t>CA-2019-110023</t>
  </si>
  <si>
    <t>Things To Do Today Pad-152632</t>
  </si>
  <si>
    <t>Things To Do Today Pad</t>
  </si>
  <si>
    <t>CA-2019-112893</t>
  </si>
  <si>
    <t>Hunt BOSTON Vista Battery-Operated Pencil Sharpener, Black-152646</t>
  </si>
  <si>
    <t>Hunt BOSTON Vista Battery-Operated Pencil Sharpener, Black</t>
  </si>
  <si>
    <t>CA-2019-112277</t>
  </si>
  <si>
    <t>Fellowes PB200 Plastic Comb Binding Machine-152800</t>
  </si>
  <si>
    <t>CA-2019-143476</t>
  </si>
  <si>
    <t>Crayola Anti Dust Chalk, 12/Pack-143476</t>
  </si>
  <si>
    <t>Crayola Anti Dust Chalk, 12/Pack</t>
  </si>
  <si>
    <t>CA-2019-152457</t>
  </si>
  <si>
    <t>Fiskars Home &amp; Office Scissors-153318</t>
  </si>
  <si>
    <t>CA-2019-149797</t>
  </si>
  <si>
    <t>Acco Pressboard Covers with Storage Hooks, 14 7/8" x 11", Dark Blue-154053</t>
  </si>
  <si>
    <t>CA-2019-160479</t>
  </si>
  <si>
    <t>Bretford CR4500 Series Slim Rectangular Table-154060</t>
  </si>
  <si>
    <t>CA-2019-111416</t>
  </si>
  <si>
    <t>Xerox 214-154403</t>
  </si>
  <si>
    <t>CA-2019-106075</t>
  </si>
  <si>
    <t>Personal Filing Tote with Lid, Black/Gray-154690</t>
  </si>
  <si>
    <t>Personal Filing Tote with Lid, Black/Gray</t>
  </si>
  <si>
    <t>CA-2019-111409</t>
  </si>
  <si>
    <t>C-Line Cubicle Keepers Polyproplyene Holder With Velcro Backings-154788</t>
  </si>
  <si>
    <t>CA-2019-126284</t>
  </si>
  <si>
    <t>3M Hangers With Command Adhesive-155446</t>
  </si>
  <si>
    <t>CA-2019-151974</t>
  </si>
  <si>
    <t>Belkin F8E887 USB Wired Ergonomic Keyboard-156300</t>
  </si>
  <si>
    <t>Belkin F8E887 USB Wired Ergonomic Keyboard</t>
  </si>
  <si>
    <t>CA-2019-158617</t>
  </si>
  <si>
    <t>Staple remover-157245</t>
  </si>
  <si>
    <t>CA-2019-119641</t>
  </si>
  <si>
    <t>Newell 317-155565</t>
  </si>
  <si>
    <t>CA-2019-101742</t>
  </si>
  <si>
    <t>Executive Impressions 10" Spectator Wall Clock-157686</t>
  </si>
  <si>
    <t>US-2019-134488</t>
  </si>
  <si>
    <t>GBC Binding covers-157791</t>
  </si>
  <si>
    <t>CA-2019-132017</t>
  </si>
  <si>
    <t>Howard Miller 11-1/2" Diameter Brentwood Wall Clock-158547</t>
  </si>
  <si>
    <t>CA-2019-125794</t>
  </si>
  <si>
    <t>Wilson Electronics DB Pro Signal Booster-159989</t>
  </si>
  <si>
    <t>Wilson Electronics DB Pro Signal Booster</t>
  </si>
  <si>
    <t>CA-2019-138037</t>
  </si>
  <si>
    <t>Staples in misc. colors-160234</t>
  </si>
  <si>
    <t>CA-2019-134376</t>
  </si>
  <si>
    <t>Jensen SMPS-640 -Â speaker phone-161207</t>
  </si>
  <si>
    <t>Jensen SMPS-640 -Â speaker phone</t>
  </si>
  <si>
    <t>CA-2019-121601</t>
  </si>
  <si>
    <t>Xerox 1997-161676</t>
  </si>
  <si>
    <t>Xerox 1997</t>
  </si>
  <si>
    <t>CA-2019-162614</t>
  </si>
  <si>
    <t>Harmony HEPA Quiet Air Purifiers-162313</t>
  </si>
  <si>
    <t>Harmony HEPA Quiet Air Purifiers</t>
  </si>
  <si>
    <t>CA-2019-139808</t>
  </si>
  <si>
    <t>Permanent Self-Adhesive File Folder Labels for Typewriters by Universal-162159</t>
  </si>
  <si>
    <t>US-2019-126844</t>
  </si>
  <si>
    <t>Sanyo Counter Height Refrigerator with Crisper, 3.6 Cubic Foot, Stainless Steel/Black-162733</t>
  </si>
  <si>
    <t>Sanyo Counter Height Refrigerator with Crisper, 3.6 Cubic Foot, Stainless Steel/Black</t>
  </si>
  <si>
    <t>CA-2019-132066</t>
  </si>
  <si>
    <t>Bush Andora Bookcase, Maple/Graphite Gray Finish-163174</t>
  </si>
  <si>
    <t>Bush Andora Bookcase, Maple/Graphite Gray Finish</t>
  </si>
  <si>
    <t>CA-2019-105753</t>
  </si>
  <si>
    <t>Memorex Micro Travel Drive 32 GB-163636</t>
  </si>
  <si>
    <t>CA-2019-168921</t>
  </si>
  <si>
    <t>Adams Telephone Message Book W/Dividers/Space For Phone Numbers, 5 1/4"X8 1/2", 300/Messages-163951</t>
  </si>
  <si>
    <t>CA-2019-111493</t>
  </si>
  <si>
    <t>Fellowes Bases and Tops For Staxonsteel/High-Stak Systems-163972</t>
  </si>
  <si>
    <t>CA-2019-169334</t>
  </si>
  <si>
    <t>Plantronics CS510 - Over-the-Head monaural Wireless Headset System-164672</t>
  </si>
  <si>
    <t>CA-2019-132661</t>
  </si>
  <si>
    <t>Tenex B1-RE Series Chair Mats for Low Pile Carpets-164896</t>
  </si>
  <si>
    <t>CA-2019-158925</t>
  </si>
  <si>
    <t>Avery 497-165148</t>
  </si>
  <si>
    <t>Avery 497</t>
  </si>
  <si>
    <t>CA-2019-166275</t>
  </si>
  <si>
    <t>White Envelopes, White Envelopes with Clear Poly Window-165470</t>
  </si>
  <si>
    <t>US-2019-117387</t>
  </si>
  <si>
    <t>Fluorescent Highlighters by Dixon-165827</t>
  </si>
  <si>
    <t>CA-2019-134775</t>
  </si>
  <si>
    <t>Southworth Structures Collection-134775</t>
  </si>
  <si>
    <t>Southworth Structures Collection</t>
  </si>
  <si>
    <t>CA-2019-105291</t>
  </si>
  <si>
    <t>Nortel Meridian M5316 Digital phone-166625</t>
  </si>
  <si>
    <t>Nortel Meridian M5316 Digital phone</t>
  </si>
  <si>
    <t>CA-2019-114972</t>
  </si>
  <si>
    <t>Global Deluxe High-Back Office Chair in Storm-114972</t>
  </si>
  <si>
    <t>Global Deluxe High-Back Office Chair in Storm</t>
  </si>
  <si>
    <t>CA-2019-127250</t>
  </si>
  <si>
    <t>Xerox 1900-167605</t>
  </si>
  <si>
    <t>CA-2019-143308</t>
  </si>
  <si>
    <t>Bionaire Personal Warm Mist Humidifier/Vaporizer-167983</t>
  </si>
  <si>
    <t>Bionaire Personal Warm Mist Humidifier/Vaporizer</t>
  </si>
  <si>
    <t>CA-2019-164896</t>
  </si>
  <si>
    <t>Office Star - Professional Matrix Back Chair with 2-to-1 Synchro Tilt and Mesh Fabric Seat-104647</t>
  </si>
  <si>
    <t>CA-2019-161669</t>
  </si>
  <si>
    <t>Fellowes Binding Cases-161669</t>
  </si>
  <si>
    <t>Fellowes Binding Cases</t>
  </si>
  <si>
    <t>CA-2019-152247</t>
  </si>
  <si>
    <t>Crayola Colored Pencils-102834</t>
  </si>
  <si>
    <t>CA-2019-162348</t>
  </si>
  <si>
    <t>Acco Suede Grain Vinyl Round Ring Binder-107713</t>
  </si>
  <si>
    <t>Acco Suede Grain Vinyl Round Ring Binder</t>
  </si>
  <si>
    <t>CA-2019-105494</t>
  </si>
  <si>
    <t>File Shuttle I and Handi-File-105494</t>
  </si>
  <si>
    <t>File Shuttle I and Handi-File</t>
  </si>
  <si>
    <t>CA-2019-130799</t>
  </si>
  <si>
    <t>AT&amp;T 1080 Corded phone-113208</t>
  </si>
  <si>
    <t>AT&amp;T 1080 Corded phone</t>
  </si>
  <si>
    <t>CA-2019-103128</t>
  </si>
  <si>
    <t>Self-Adhesive Ring Binder Labels-112039</t>
  </si>
  <si>
    <t>Self-Adhesive Ring Binder Labels</t>
  </si>
  <si>
    <t>CA-2019-139878</t>
  </si>
  <si>
    <t>O'Sullivan Living Dimensions 5-Shelf Bookcases-113474</t>
  </si>
  <si>
    <t>US-2019-164196</t>
  </si>
  <si>
    <t>Situations Contoured Folding Chairs, 4/Set-114370</t>
  </si>
  <si>
    <t>CA-2019-164399</t>
  </si>
  <si>
    <t>Panasonic KX TS3282W Corded phone-164399</t>
  </si>
  <si>
    <t>Panasonic KX TS3282W Corded phone</t>
  </si>
  <si>
    <t>CA-2019-118570</t>
  </si>
  <si>
    <t>RSVP Cards &amp; Envelopes, Blank White, 8-1/2" X 11", 24 Cards/25 Envelopes/Set-115154</t>
  </si>
  <si>
    <t>CA-2019-149461</t>
  </si>
  <si>
    <t>Pyle PRT45 Retro HomeÂ Telephone-117513</t>
  </si>
  <si>
    <t>Pyle PRT45 Retro HomeÂ Telephone</t>
  </si>
  <si>
    <t>CA-2019-149482</t>
  </si>
  <si>
    <t>Xerox 216-119669</t>
  </si>
  <si>
    <t>CA-2019-130820</t>
  </si>
  <si>
    <t>Newell 320-122007</t>
  </si>
  <si>
    <t>CA-2019-105963</t>
  </si>
  <si>
    <t>Blue String-Tie &amp; Button Interoffice Envelopes, 10 x 13-121804</t>
  </si>
  <si>
    <t>CA-2019-134110</t>
  </si>
  <si>
    <t>Apple EarPods with Remote and Mic-134110</t>
  </si>
  <si>
    <t>CA-2019-111143</t>
  </si>
  <si>
    <t>Euro-Pro Shark Turbo Vacuum-127621</t>
  </si>
  <si>
    <t>Euro-Pro Shark Turbo Vacuum</t>
  </si>
  <si>
    <t>CA-2019-107790</t>
  </si>
  <si>
    <t>Ibico Laser Imprintable Binding System Covers-130967</t>
  </si>
  <si>
    <t>CA-2019-114895</t>
  </si>
  <si>
    <t>Premium Transparent Presentation Covers, No Pattern/Clear, 8 1/2" x 11"-136672</t>
  </si>
  <si>
    <t>US-2019-114293</t>
  </si>
  <si>
    <t>Cardinal Slant-D Ring Binders-139416</t>
  </si>
  <si>
    <t>Cardinal Slant-D Ring Binders</t>
  </si>
  <si>
    <t>CA-2019-113726</t>
  </si>
  <si>
    <t>Deluxe Rollaway Locking File with Drawer-143651</t>
  </si>
  <si>
    <t>CA-2019-132731</t>
  </si>
  <si>
    <t>Luxo Economy Swing Arm Lamp-145142</t>
  </si>
  <si>
    <t>CA-2019-105284</t>
  </si>
  <si>
    <t>Cisco SPA112 2 Port Phone Adapter-142174</t>
  </si>
  <si>
    <t>CA-2019-132549</t>
  </si>
  <si>
    <t>GBC Velobind Prepunched Cover Sets, Regency Series-147291</t>
  </si>
  <si>
    <t>CA-2019-105018</t>
  </si>
  <si>
    <t>White Dual Perf Computer Printout Paper, 2700 Sheets, 1 Part, Heavyweight, 20 lbs., 14 7/8 x 11-154102</t>
  </si>
  <si>
    <t>CA-2019-160241</t>
  </si>
  <si>
    <t>12-1/2 Diameter Round Wall Clock-154466</t>
  </si>
  <si>
    <t>US-2019-150035</t>
  </si>
  <si>
    <t>Xerox 1907-157273</t>
  </si>
  <si>
    <t>Xerox 1907</t>
  </si>
  <si>
    <t>CA-2019-136434</t>
  </si>
  <si>
    <t>Rediform Wirebound "Phone Memo" Message Book, 11 x 5-3/4-156272</t>
  </si>
  <si>
    <t>CA-2019-143154</t>
  </si>
  <si>
    <t>4009 Highlighters by Sanford-159366</t>
  </si>
  <si>
    <t>CA-2019-161025</t>
  </si>
  <si>
    <t>Westinghouse Floor Lamp with Metal Mesh Shade, Black-160087</t>
  </si>
  <si>
    <t>Westinghouse Floor Lamp with Metal Mesh Shade, Black</t>
  </si>
  <si>
    <t>CA-2019-139885</t>
  </si>
  <si>
    <t>SAFCO Mobile Desk Side File, Wire Frame-162075</t>
  </si>
  <si>
    <t>CA-2019-112060</t>
  </si>
  <si>
    <t>Wilson Jones Leather-Like Binders with DublLock Round Rings-161809</t>
  </si>
  <si>
    <t>CA-2019-140564</t>
  </si>
  <si>
    <t>Zebra Zazzle Fluorescent Highlighters-164329</t>
  </si>
  <si>
    <t>CA-2019-163636</t>
  </si>
  <si>
    <t>Novimex Swivel Fabric Task Chair-166499</t>
  </si>
  <si>
    <t>US-2019-114776</t>
  </si>
  <si>
    <t>Fellowes 8 Outlet Superior Workstation Surge Protector w/o Phone/Fax/Modem Protection-169474</t>
  </si>
  <si>
    <t>CA-2019-158302</t>
  </si>
  <si>
    <t>Avery 501-100377</t>
  </si>
  <si>
    <t>CA-2019-134425</t>
  </si>
  <si>
    <t>Avery Non-Stick Binders-100069</t>
  </si>
  <si>
    <t>CA-2019-117590</t>
  </si>
  <si>
    <t>GE 30524EE4-117590</t>
  </si>
  <si>
    <t>GE 30524EE4</t>
  </si>
  <si>
    <t>CA-2019-154739</t>
  </si>
  <si>
    <t>Logitech M510 Wireless Mouse-110163</t>
  </si>
  <si>
    <t>Logitech M510 Wireless Mouse</t>
  </si>
  <si>
    <t>CA-2019-147123</t>
  </si>
  <si>
    <t>Newell 343-107349</t>
  </si>
  <si>
    <t>US-2019-148803</t>
  </si>
  <si>
    <t>WD My Passport Ultra 2TB Portable External Hard Drive-114839</t>
  </si>
  <si>
    <t>CA-2019-102792</t>
  </si>
  <si>
    <t>Adams Telephone Message Book w/Frequently-Called Numbers Space, 400 Messages per Book-119312</t>
  </si>
  <si>
    <t>Adams Telephone Message Book w/Frequently-Called Numbers Space, 400 Messages per Book</t>
  </si>
  <si>
    <t>CA-2019-100153</t>
  </si>
  <si>
    <t>Sony Micro Vault Click 16 GB USB 2.0 Flash Drive-118906</t>
  </si>
  <si>
    <t>Sony Micro Vault Click 16 GB USB 2.0 Flash Drive</t>
  </si>
  <si>
    <t>CA-2019-100307</t>
  </si>
  <si>
    <t>Bulldog Table or Wall-Mount Pencil Sharpener-120572</t>
  </si>
  <si>
    <t>Bulldog Table or Wall-Mount Pencil Sharpener</t>
  </si>
  <si>
    <t>CA-2019-150945</t>
  </si>
  <si>
    <t>Wasp CCD Handheld Bar Code Reader-140200</t>
  </si>
  <si>
    <t>Wasp CCD Handheld Bar Code Reader</t>
  </si>
  <si>
    <t>CA-2019-138597</t>
  </si>
  <si>
    <t>Advantus Plastic Paper Clips-137960</t>
  </si>
  <si>
    <t>US-2019-157840</t>
  </si>
  <si>
    <t>Ibico Plastic Spiral Binding Combs-142811</t>
  </si>
  <si>
    <t>CA-2019-123015</t>
  </si>
  <si>
    <t>Hoover Replacement Belts For Soft Guard &amp; Commercial Ltweight Upright Vacs, 2/Pk-157154</t>
  </si>
  <si>
    <t>Hoover Replacement Belts For Soft Guard &amp; Commercial Ltweight Upright Vacs, 2/Pk</t>
  </si>
  <si>
    <t>CA-2019-111605</t>
  </si>
  <si>
    <t>SAFCO Mobile Desk Side File, Wire Frame-161466</t>
  </si>
  <si>
    <t>CA-2019-157742</t>
  </si>
  <si>
    <t>Logitech Wireless Touch Keyboard K400-165449</t>
  </si>
  <si>
    <t>Logitech Wireless Touch Keyboard K400</t>
  </si>
  <si>
    <t>CA-2019-100202</t>
  </si>
  <si>
    <t>2300 Heavy-Duty Transfer File Systems by Perma-101196</t>
  </si>
  <si>
    <t>2300 Heavy-Duty Transfer File Systems by Perma</t>
  </si>
  <si>
    <t>CA-2019-156139</t>
  </si>
  <si>
    <t>Boston 1645 Deluxe Heavier-Duty Electric Pencil Sharpener-101497</t>
  </si>
  <si>
    <t>Boston 1645 Deluxe Heavier-Duty Electric Pencil Sharpener</t>
  </si>
  <si>
    <t>CA-2020-144463</t>
  </si>
  <si>
    <t>Permanent Self-Adhesive File Folder Labels for Typewriters by Universal-102232</t>
  </si>
  <si>
    <t>CA-2020-154760</t>
  </si>
  <si>
    <t>JM Magazine Binder-108497</t>
  </si>
  <si>
    <t>CA-2020-149076</t>
  </si>
  <si>
    <t>Xerox 1887-112970</t>
  </si>
  <si>
    <t>US-2020-120649</t>
  </si>
  <si>
    <t>Verbatim 25 GB 6x Blu-ray Single Layer Recordable Disc, 10/Pack-115952</t>
  </si>
  <si>
    <t>US-2020-104437</t>
  </si>
  <si>
    <t>Chromcraft Round Conference Tables-120460</t>
  </si>
  <si>
    <t>US-2020-166037</t>
  </si>
  <si>
    <t>Xerox 1972-122182</t>
  </si>
  <si>
    <t>Xerox 1972</t>
  </si>
  <si>
    <t>CA-2020-131653</t>
  </si>
  <si>
    <t>Cubify CubeX 3D Printer Triple Head Print-122245</t>
  </si>
  <si>
    <t>Cubify CubeX 3D Printer Triple Head Print</t>
  </si>
  <si>
    <t>US-2020-127341</t>
  </si>
  <si>
    <t>Microsoft Sculpt Comfort Mouse-126893</t>
  </si>
  <si>
    <t>CA-2020-157273</t>
  </si>
  <si>
    <t>Binney &amp; Smith Crayola Metallic Colored Pencils, 8-Color Set-128293</t>
  </si>
  <si>
    <t>Binney &amp; Smith Crayola Metallic Colored Pencils, 8-Color Set</t>
  </si>
  <si>
    <t>CA-2020-122994</t>
  </si>
  <si>
    <t>Office Star Flex Back Scooter Chair with White Frame-131891</t>
  </si>
  <si>
    <t>Office Star Flex Back Scooter Chair with White Frame</t>
  </si>
  <si>
    <t>CA-2020-145807</t>
  </si>
  <si>
    <t>Xerox 1913-132857</t>
  </si>
  <si>
    <t>Xerox 1913</t>
  </si>
  <si>
    <t>CA-2020-123659</t>
  </si>
  <si>
    <t>Verbatim Slim CD and DVD Storage Cases, 50/Pack-134369</t>
  </si>
  <si>
    <t>US-2020-118535</t>
  </si>
  <si>
    <t>Xerox 1996-136581</t>
  </si>
  <si>
    <t>Xerox 1996</t>
  </si>
  <si>
    <t>CA-2020-138156</t>
  </si>
  <si>
    <t>Avery 481-134761</t>
  </si>
  <si>
    <t>CA-2020-159149</t>
  </si>
  <si>
    <t>Sauder Mission Library with Doors, Fruitwood Finish-159149</t>
  </si>
  <si>
    <t>Sauder Mission Library with Doors, Fruitwood Finish</t>
  </si>
  <si>
    <t>CA-2020-122693</t>
  </si>
  <si>
    <t>Cardinal EasyOpen D-Ring Binders-140809</t>
  </si>
  <si>
    <t>Cardinal EasyOpen D-Ring Binders</t>
  </si>
  <si>
    <t>CA-2020-166415</t>
  </si>
  <si>
    <t>Xerox 191-141880</t>
  </si>
  <si>
    <t>Xerox 191</t>
  </si>
  <si>
    <t>CA-2020-104647</t>
  </si>
  <si>
    <t>Sensible Storage WireTech Storage Systems-143448</t>
  </si>
  <si>
    <t>Sensible Storage WireTech Storage Systems</t>
  </si>
  <si>
    <t>CA-2020-168123</t>
  </si>
  <si>
    <t>Advantus Map Pennant Flags and Round Head Tacks-168123</t>
  </si>
  <si>
    <t>CA-2020-125101</t>
  </si>
  <si>
    <t>Eldon Wave Desk Accessories-148803</t>
  </si>
  <si>
    <t>CA-2020-102834</t>
  </si>
  <si>
    <t>Insertable Tab Indexes For Data Binders-150035</t>
  </si>
  <si>
    <t>US-2020-146906</t>
  </si>
  <si>
    <t>Newell 350-157840</t>
  </si>
  <si>
    <t>Newell 350</t>
  </si>
  <si>
    <t>CA-2020-153843</t>
  </si>
  <si>
    <t>GBC VeloBind Cover Sets-153843</t>
  </si>
  <si>
    <t>CA-2020-166499</t>
  </si>
  <si>
    <t>Eldon Shelf Savers Cubes and Bins-162103</t>
  </si>
  <si>
    <t>Eldon Shelf Savers Cubes and Bins</t>
  </si>
  <si>
    <t>CA-2020-119452</t>
  </si>
  <si>
    <t>ImationÂ 16GB Mini TravelDrive USB 2.0Â Flash Drive-164189</t>
  </si>
  <si>
    <t>CA-2020-101637</t>
  </si>
  <si>
    <t>GBC DocuBind P100 Manual Binding Machine-114034</t>
  </si>
  <si>
    <t>GBC DocuBind P100 Manual Binding Machine</t>
  </si>
  <si>
    <t>US-2020-121251</t>
  </si>
  <si>
    <t>Sauder Forest Hills Library with Doors, Woodland Oak Finish-121251</t>
  </si>
  <si>
    <t>Sauder Forest Hills Library with Doors, Woodland Oak Finish</t>
  </si>
  <si>
    <t>CA-2020-149881</t>
  </si>
  <si>
    <t>Safco Value Mate Steel Bookcase, Baked Enamel Finish on Steel, Black-149881</t>
  </si>
  <si>
    <t>Safco Value Mate Steel Bookcase, Baked Enamel Finish on Steel, Black</t>
  </si>
  <si>
    <t>CA-2020-106355</t>
  </si>
  <si>
    <t>Newell 318-106355</t>
  </si>
  <si>
    <t>Newell 318</t>
  </si>
  <si>
    <t>CA-2020-122154</t>
  </si>
  <si>
    <t>Avery 48-122154</t>
  </si>
  <si>
    <t>Avery 48</t>
  </si>
  <si>
    <t>CA-2020-159604</t>
  </si>
  <si>
    <t>Acco 3-Hole Punch-159604</t>
  </si>
  <si>
    <t>Acco 3-Hole Punch</t>
  </si>
  <si>
    <t>US-2016-158400</t>
  </si>
  <si>
    <t>GBC VeloBind Cover Sets-158400</t>
  </si>
  <si>
    <t>US-2016-166828</t>
  </si>
  <si>
    <t>Xerox 1899-166828</t>
  </si>
  <si>
    <t>Envelopes</t>
  </si>
  <si>
    <t>Logitech</t>
  </si>
  <si>
    <t>Hewlett-Packard</t>
  </si>
  <si>
    <t>Wilson</t>
  </si>
  <si>
    <t>Hunt</t>
  </si>
  <si>
    <t>Avery</t>
  </si>
  <si>
    <t>Advantus</t>
  </si>
  <si>
    <t>Xerox</t>
  </si>
  <si>
    <t>Newell</t>
  </si>
  <si>
    <t>SANFORD</t>
  </si>
  <si>
    <t>Epson</t>
  </si>
  <si>
    <t>Ooma</t>
  </si>
  <si>
    <t>G.E.</t>
  </si>
  <si>
    <t>Novimex</t>
  </si>
  <si>
    <t>Acco</t>
  </si>
  <si>
    <t>Computer</t>
  </si>
  <si>
    <t>GBC</t>
  </si>
  <si>
    <t>Nu-Dell</t>
  </si>
  <si>
    <t>Panasonic</t>
  </si>
  <si>
    <t>Boston</t>
  </si>
  <si>
    <t>Fiskars</t>
  </si>
  <si>
    <t>Eldon</t>
  </si>
  <si>
    <t>Lesro</t>
  </si>
  <si>
    <t>Holmes</t>
  </si>
  <si>
    <t>Brown</t>
  </si>
  <si>
    <t>Avanti</t>
  </si>
  <si>
    <t>SanDisk</t>
  </si>
  <si>
    <t>Padded</t>
  </si>
  <si>
    <t>Memorex</t>
  </si>
  <si>
    <t>Southworth</t>
  </si>
  <si>
    <t>Lunatik</t>
  </si>
  <si>
    <t>Bionaire</t>
  </si>
  <si>
    <t>Rogers</t>
  </si>
  <si>
    <t>Belkin</t>
  </si>
  <si>
    <t>Acme</t>
  </si>
  <si>
    <t>Hoover</t>
  </si>
  <si>
    <t>Deflect-o</t>
  </si>
  <si>
    <t>BIC</t>
  </si>
  <si>
    <t>Crayola</t>
  </si>
  <si>
    <t>Cisco</t>
  </si>
  <si>
    <t>Plantronics</t>
  </si>
  <si>
    <t>Howard</t>
  </si>
  <si>
    <t>Vtech</t>
  </si>
  <si>
    <t>C-Line</t>
  </si>
  <si>
    <t>DXL</t>
  </si>
  <si>
    <t>VTech</t>
  </si>
  <si>
    <t>Lenovo</t>
  </si>
  <si>
    <t>Cameo</t>
  </si>
  <si>
    <t>Fellowes</t>
  </si>
  <si>
    <t>AT&amp;T</t>
  </si>
  <si>
    <t>SAFCO</t>
  </si>
  <si>
    <t>OIC</t>
  </si>
  <si>
    <t>Elite</t>
  </si>
  <si>
    <t>Samsung</t>
  </si>
  <si>
    <t>Bush</t>
  </si>
  <si>
    <t>Global</t>
  </si>
  <si>
    <t>NETGEAR</t>
  </si>
  <si>
    <t>Riverside</t>
  </si>
  <si>
    <t>Accohide</t>
  </si>
  <si>
    <t>Sony</t>
  </si>
  <si>
    <t>Avaya</t>
  </si>
  <si>
    <t>Stackable</t>
  </si>
  <si>
    <t>Maxell</t>
  </si>
  <si>
    <t>Rush</t>
  </si>
  <si>
    <t>Atlantic</t>
  </si>
  <si>
    <t>Carina</t>
  </si>
  <si>
    <t>Honeywell</t>
  </si>
  <si>
    <t>Iceberg</t>
  </si>
  <si>
    <t>Kingston</t>
  </si>
  <si>
    <t>Safco</t>
  </si>
  <si>
    <t>Electrix</t>
  </si>
  <si>
    <t>Rosewill</t>
  </si>
  <si>
    <t>IBM</t>
  </si>
  <si>
    <t>Nortel</t>
  </si>
  <si>
    <t>GE</t>
  </si>
  <si>
    <t>Kensington</t>
  </si>
  <si>
    <t>Alliance</t>
  </si>
  <si>
    <t>Motorola</t>
  </si>
  <si>
    <t>Eureka</t>
  </si>
  <si>
    <t>Faber</t>
  </si>
  <si>
    <t>HP</t>
  </si>
  <si>
    <t>JM</t>
  </si>
  <si>
    <t>Artistic</t>
  </si>
  <si>
    <t>Mediabridge</t>
  </si>
  <si>
    <t>Cardinal</t>
  </si>
  <si>
    <t>Chromcraft</t>
  </si>
  <si>
    <t>Cherry</t>
  </si>
  <si>
    <t>3M</t>
  </si>
  <si>
    <t>Angle-D</t>
  </si>
  <si>
    <t>High-Back</t>
  </si>
  <si>
    <t>Bretford</t>
  </si>
  <si>
    <t>DAX</t>
  </si>
  <si>
    <t>JBL</t>
  </si>
  <si>
    <t>Grandstream</t>
  </si>
  <si>
    <t>O'Sullivan</t>
  </si>
  <si>
    <t>Green</t>
  </si>
  <si>
    <t>Decoflex</t>
  </si>
  <si>
    <t>Prismacolor</t>
  </si>
  <si>
    <t>Bestar</t>
  </si>
  <si>
    <t>Acrylic</t>
  </si>
  <si>
    <t>Dana</t>
  </si>
  <si>
    <t>Microsoft</t>
  </si>
  <si>
    <t>Bulldog</t>
  </si>
  <si>
    <t>Adams</t>
  </si>
  <si>
    <t>Career</t>
  </si>
  <si>
    <t>Magna</t>
  </si>
  <si>
    <t>Canvas</t>
  </si>
  <si>
    <t>Manco</t>
  </si>
  <si>
    <t>Bevis</t>
  </si>
  <si>
    <t>Prang</t>
  </si>
  <si>
    <t>Enermax</t>
  </si>
  <si>
    <t>Eaton</t>
  </si>
  <si>
    <t>Hewlett</t>
  </si>
  <si>
    <t>Pastel</t>
  </si>
  <si>
    <t>Sanford</t>
  </si>
  <si>
    <t>Geemarc</t>
  </si>
  <si>
    <t>Gould</t>
  </si>
  <si>
    <t>DMI</t>
  </si>
  <si>
    <t>Akro-Mils</t>
  </si>
  <si>
    <t>Cush</t>
  </si>
  <si>
    <t>Stanley</t>
  </si>
  <si>
    <t>Sabrent</t>
  </si>
  <si>
    <t>Quartet</t>
  </si>
  <si>
    <t>Dell</t>
  </si>
  <si>
    <t>Globe</t>
  </si>
  <si>
    <t>Contico</t>
  </si>
  <si>
    <t>Perma</t>
  </si>
  <si>
    <t>BlackBerry</t>
  </si>
  <si>
    <t>Dixon</t>
  </si>
  <si>
    <t>KI</t>
  </si>
  <si>
    <t>Compact</t>
  </si>
  <si>
    <t>Blue</t>
  </si>
  <si>
    <t>Razer</t>
  </si>
  <si>
    <t>RCA</t>
  </si>
  <si>
    <t>Ampad</t>
  </si>
  <si>
    <t>OtterBox</t>
  </si>
  <si>
    <t>Premier</t>
  </si>
  <si>
    <t>ACCOHIDE</t>
  </si>
  <si>
    <t>Canon</t>
  </si>
  <si>
    <t>Luxo</t>
  </si>
  <si>
    <t>Apple</t>
  </si>
  <si>
    <t>Clarity</t>
  </si>
  <si>
    <t>Martin</t>
  </si>
  <si>
    <t>QVS</t>
  </si>
  <si>
    <t>Dax</t>
  </si>
  <si>
    <t>Pizazz</t>
  </si>
  <si>
    <t>Sauder</t>
  </si>
  <si>
    <t>Iris</t>
  </si>
  <si>
    <t>BPI</t>
  </si>
  <si>
    <t>ARKON</t>
  </si>
  <si>
    <t>Konftel</t>
  </si>
  <si>
    <t>ShoreTel</t>
  </si>
  <si>
    <t>Riverleaf</t>
  </si>
  <si>
    <t>Regeneration</t>
  </si>
  <si>
    <t>Universal</t>
  </si>
  <si>
    <t>Jawbone</t>
  </si>
  <si>
    <t>Pyle</t>
  </si>
  <si>
    <t>Woodgrain</t>
  </si>
  <si>
    <t>HTC</t>
  </si>
  <si>
    <t>Contemporary</t>
  </si>
  <si>
    <t>Lexmark</t>
  </si>
  <si>
    <t>netTALK</t>
  </si>
  <si>
    <t>Ativa</t>
  </si>
  <si>
    <t>Rediform</t>
  </si>
  <si>
    <t>Akro</t>
  </si>
  <si>
    <t>Bose</t>
  </si>
  <si>
    <t>Binney</t>
  </si>
  <si>
    <t>Astroparche</t>
  </si>
  <si>
    <t>Longer-Life</t>
  </si>
  <si>
    <t>Griffin</t>
  </si>
  <si>
    <t>Dual</t>
  </si>
  <si>
    <t>Xiaomi</t>
  </si>
  <si>
    <t>invisibleSHIELD</t>
  </si>
  <si>
    <t>Aastra</t>
  </si>
  <si>
    <t>DIXON</t>
  </si>
  <si>
    <t>REDIFORM</t>
  </si>
  <si>
    <t>Disposable</t>
  </si>
  <si>
    <t>Lumber</t>
  </si>
  <si>
    <t>APC</t>
  </si>
  <si>
    <t>LF</t>
  </si>
  <si>
    <t>Col-Erase</t>
  </si>
  <si>
    <t>Martin-Yale</t>
  </si>
  <si>
    <t>Case</t>
  </si>
  <si>
    <t>Insertable</t>
  </si>
  <si>
    <t>Jabra</t>
  </si>
  <si>
    <t>BOSTON</t>
  </si>
  <si>
    <t>Innergie</t>
  </si>
  <si>
    <t>Dot</t>
  </si>
  <si>
    <t>Space</t>
  </si>
  <si>
    <t>Mitel</t>
  </si>
  <si>
    <t>Revere</t>
  </si>
  <si>
    <t>AmazonBasics</t>
  </si>
  <si>
    <t>Jensen</t>
  </si>
  <si>
    <t>Sanyo</t>
  </si>
  <si>
    <t>Euro-Pro</t>
  </si>
  <si>
    <t>Cubify</t>
  </si>
  <si>
    <t>Sensible</t>
  </si>
  <si>
    <t>Storage</t>
  </si>
  <si>
    <t>Appliances</t>
  </si>
  <si>
    <t>Phones</t>
  </si>
  <si>
    <t>Tables</t>
  </si>
  <si>
    <t>Accessories</t>
  </si>
  <si>
    <t>Chairs</t>
  </si>
  <si>
    <t>Office Refrigerators</t>
  </si>
  <si>
    <t>Category</t>
  </si>
  <si>
    <t>Office Supplies</t>
  </si>
  <si>
    <t>Furniture</t>
  </si>
  <si>
    <t>Technology</t>
  </si>
  <si>
    <t>Printer</t>
  </si>
  <si>
    <t>Others</t>
  </si>
  <si>
    <t>Clock</t>
  </si>
  <si>
    <t>Shelf/Bookcases</t>
  </si>
  <si>
    <t>Desks</t>
  </si>
  <si>
    <t>Lamps</t>
  </si>
  <si>
    <t>Stationary</t>
  </si>
  <si>
    <t>Air Cleaner</t>
  </si>
  <si>
    <t>Sub-category</t>
  </si>
  <si>
    <t>Small brands</t>
  </si>
  <si>
    <t>Opportunity Name - SKU</t>
  </si>
  <si>
    <t>Opportunity Name (PQ)</t>
  </si>
  <si>
    <t>Brand (PQ)</t>
  </si>
  <si>
    <t>Column Name</t>
  </si>
  <si>
    <t>Data Type</t>
  </si>
  <si>
    <t>Details</t>
  </si>
  <si>
    <t>Comments</t>
  </si>
  <si>
    <t>Text</t>
  </si>
  <si>
    <t>Unique ID for opportunities (can be used as a primary key)</t>
  </si>
  <si>
    <t>There were some duplicate entries which needs to be cleaned and fact checked whether they are actually duplicates</t>
  </si>
  <si>
    <t>Product Details at SKU level</t>
  </si>
  <si>
    <t>Ideally this  should also have the clioent name in the opportunity name check with Business team</t>
  </si>
  <si>
    <t>Whether the opportunity is from a new ore expanded from an exisiting customer</t>
  </si>
  <si>
    <t>Hierarchy of the product, connects with opportunity name (subset), a product line can have multiple products</t>
  </si>
  <si>
    <t>Stage at which the sale opportunity lies</t>
  </si>
  <si>
    <t xml:space="preserve">Details - </t>
  </si>
  <si>
    <t>Opportunity Value (converted) Currency</t>
  </si>
  <si>
    <t>Currency of the oopportunity - All USD in our case and hence can be ignored</t>
  </si>
  <si>
    <t>Number - Currency</t>
  </si>
  <si>
    <t>Quantitative value of the opportunity in USD</t>
  </si>
  <si>
    <t>Currency value of the opportunity to be agrregated</t>
  </si>
  <si>
    <t>Current Status of the opportunity whether lost, won or open</t>
  </si>
  <si>
    <t>Number - %</t>
  </si>
  <si>
    <t>The likelihood  of the opportunity converting into a sale based on historical data or sales team judgment.</t>
  </si>
  <si>
    <t>Weighted Amount (converted) Currency</t>
  </si>
  <si>
    <t>Currency of the opportunity - All USD in our case and hence can be ignored</t>
  </si>
  <si>
    <t>The probability-adjusted amount of the opportunity. This is calculated by multiplying the Opportunity Value by the Probability percentage.</t>
  </si>
  <si>
    <t>The market or customer segment the opportunity belongs to.</t>
  </si>
  <si>
    <t>Date</t>
  </si>
  <si>
    <t>The date when the opportunity was added to the CRM tool</t>
  </si>
  <si>
    <t>The actual/expected date when the opportunity would close</t>
  </si>
  <si>
    <t>The actual date when the opportunity was wonr or lost</t>
  </si>
  <si>
    <t>Reason for closed lost, can be used to analyse and anticipate the future</t>
  </si>
  <si>
    <t>The country of the opportunity</t>
  </si>
  <si>
    <t>Region of the country (Region then country)</t>
  </si>
  <si>
    <t>Probable Analysis</t>
  </si>
  <si>
    <r>
      <t>Revenue Forecasting</t>
    </r>
    <r>
      <rPr>
        <sz val="11"/>
        <color theme="1"/>
        <rFont val="Aptos Narrow"/>
        <family val="2"/>
        <scheme val="minor"/>
      </rPr>
      <t xml:space="preserve">: We can use the </t>
    </r>
    <r>
      <rPr>
        <b/>
        <sz val="10"/>
        <color theme="1"/>
        <rFont val="Arial"/>
        <family val="2"/>
      </rPr>
      <t>Opportunity Value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"/>
        <family val="2"/>
      </rPr>
      <t>Probability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0"/>
        <color theme="1"/>
        <rFont val="Arial"/>
        <family val="2"/>
      </rPr>
      <t>Weighted Amount</t>
    </r>
    <r>
      <rPr>
        <sz val="11"/>
        <color theme="1"/>
        <rFont val="Aptos Narrow"/>
        <family val="2"/>
        <scheme val="minor"/>
      </rPr>
      <t xml:space="preserve"> to create more accurate revenue forecasts.</t>
    </r>
  </si>
  <si>
    <r>
      <t>Sales Performance</t>
    </r>
    <r>
      <rPr>
        <sz val="11"/>
        <color theme="1"/>
        <rFont val="Aptos Narrow"/>
        <family val="2"/>
        <scheme val="minor"/>
      </rPr>
      <t xml:space="preserve">: By analyzing </t>
    </r>
    <r>
      <rPr>
        <b/>
        <sz val="10"/>
        <color theme="1"/>
        <rFont val="Arial"/>
        <family val="2"/>
      </rPr>
      <t>Funnel Stage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"/>
        <family val="2"/>
      </rPr>
      <t>Date Won/Lost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0"/>
        <color theme="1"/>
        <rFont val="Arial"/>
        <family val="2"/>
      </rPr>
      <t>Reason Won/Lost</t>
    </r>
    <r>
      <rPr>
        <sz val="11"/>
        <color theme="1"/>
        <rFont val="Aptos Narrow"/>
        <family val="2"/>
        <scheme val="minor"/>
      </rPr>
      <t>, we can assess sales team performance and identify areas for improvement.</t>
    </r>
  </si>
  <si>
    <r>
      <t>Pipeline Health</t>
    </r>
    <r>
      <rPr>
        <sz val="11"/>
        <color theme="1"/>
        <rFont val="Aptos Narrow"/>
        <family val="2"/>
        <scheme val="minor"/>
      </rPr>
      <t xml:space="preserve">: Tracking </t>
    </r>
    <r>
      <rPr>
        <b/>
        <sz val="10"/>
        <color theme="1"/>
        <rFont val="Arial"/>
        <family val="2"/>
      </rPr>
      <t>Created Date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"/>
        <family val="2"/>
      </rPr>
      <t>Close Date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0"/>
        <color theme="1"/>
        <rFont val="Arial"/>
        <family val="2"/>
      </rPr>
      <t>Status</t>
    </r>
    <r>
      <rPr>
        <sz val="11"/>
        <color theme="1"/>
        <rFont val="Aptos Narrow"/>
        <family val="2"/>
        <scheme val="minor"/>
      </rPr>
      <t xml:space="preserve"> can help measure the health of our sales pipeline and ensure there are enough opportunities in different stages.</t>
    </r>
  </si>
  <si>
    <r>
      <t>Geographic Analysis</t>
    </r>
    <r>
      <rPr>
        <sz val="11"/>
        <color theme="1"/>
        <rFont val="Aptos Narrow"/>
        <family val="2"/>
        <scheme val="minor"/>
      </rPr>
      <t xml:space="preserve">: Using </t>
    </r>
    <r>
      <rPr>
        <b/>
        <sz val="10"/>
        <color theme="1"/>
        <rFont val="Arial"/>
        <family val="2"/>
      </rPr>
      <t>Country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0"/>
        <color theme="1"/>
        <rFont val="Arial"/>
        <family val="2"/>
      </rPr>
      <t>Region</t>
    </r>
    <r>
      <rPr>
        <sz val="11"/>
        <color theme="1"/>
        <rFont val="Aptos Narrow"/>
        <family val="2"/>
        <scheme val="minor"/>
      </rPr>
      <t>, we can analyze sales performance by geography.</t>
    </r>
  </si>
  <si>
    <t>Ranking of Funnel</t>
  </si>
  <si>
    <t>Funnel</t>
  </si>
  <si>
    <t>Probablity</t>
  </si>
  <si>
    <t>Stage</t>
  </si>
  <si>
    <t>Unknown</t>
  </si>
  <si>
    <t>Velocity of opportunities getting closed</t>
  </si>
  <si>
    <t>Corrected Date</t>
  </si>
  <si>
    <t>Drawer</t>
  </si>
  <si>
    <t>Imation</t>
  </si>
  <si>
    <t>KeyTronic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</si>
</sst>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0"/>
    <numFmt numFmtId="167" formatCode="[$-409]d\-mmm\-yy;@"/>
  </numFmts>
  <fonts count="1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1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165" fontId="0" fillId="0" borderId="0" xfId="0" applyNumberFormat="1"/>
    <xf numFmtId="0" fontId="1" fillId="0" borderId="0" xfId="1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wrapText="1"/>
    </xf>
    <xf numFmtId="0" fontId="2" fillId="0" borderId="0" xfId="1" applyFont="1"/>
    <xf numFmtId="0" fontId="2" fillId="0" borderId="1" xfId="1" applyFont="1" applyBorder="1"/>
    <xf numFmtId="0" fontId="3" fillId="6" borderId="0" xfId="1" applyFont="1" applyFill="1" applyAlignment="1">
      <alignment horizontal="center" vertical="center"/>
    </xf>
    <xf numFmtId="0" fontId="4" fillId="0" borderId="0" xfId="1" applyFont="1"/>
    <xf numFmtId="0" fontId="3" fillId="6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0" fontId="1" fillId="0" borderId="1" xfId="1" applyBorder="1"/>
    <xf numFmtId="0" fontId="5" fillId="6" borderId="1" xfId="1" applyFont="1" applyFill="1" applyBorder="1" applyAlignment="1">
      <alignment horizontal="center" vertical="center"/>
    </xf>
    <xf numFmtId="0" fontId="5" fillId="6" borderId="2" xfId="1" applyFont="1" applyFill="1" applyBorder="1" applyAlignment="1">
      <alignment horizontal="center" vertical="center"/>
    </xf>
    <xf numFmtId="0" fontId="6" fillId="0" borderId="0" xfId="1" applyFont="1"/>
    <xf numFmtId="0" fontId="5" fillId="6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7" borderId="0" xfId="1" applyFont="1" applyFill="1" applyAlignment="1">
      <alignment horizontal="center" vertical="center"/>
    </xf>
    <xf numFmtId="14" fontId="1" fillId="0" borderId="1" xfId="1" applyNumberFormat="1" applyBorder="1"/>
    <xf numFmtId="14" fontId="1" fillId="0" borderId="0" xfId="1" applyNumberFormat="1"/>
    <xf numFmtId="167" fontId="0" fillId="0" borderId="0" xfId="0" applyNumberFormat="1"/>
    <xf numFmtId="0" fontId="7" fillId="2" borderId="4" xfId="0" applyFont="1" applyFill="1" applyBorder="1"/>
    <xf numFmtId="0" fontId="7" fillId="4" borderId="3" xfId="0" applyFont="1" applyFill="1" applyBorder="1"/>
    <xf numFmtId="0" fontId="7" fillId="3" borderId="3" xfId="0" applyFont="1" applyFill="1" applyBorder="1"/>
    <xf numFmtId="0" fontId="7" fillId="5" borderId="3" xfId="0" applyFont="1" applyFill="1" applyBorder="1"/>
    <xf numFmtId="0" fontId="7" fillId="8" borderId="3" xfId="0" applyFont="1" applyFill="1" applyBorder="1"/>
    <xf numFmtId="0" fontId="7" fillId="2" borderId="3" xfId="0" applyFont="1" applyFill="1" applyBorder="1"/>
    <xf numFmtId="0" fontId="7" fillId="2" borderId="5" xfId="0" applyFont="1" applyFill="1" applyBorder="1"/>
  </cellXfs>
  <cellStyles count="2">
    <cellStyle name="Normal" xfId="0" builtinId="0"/>
    <cellStyle name="Normal 2" xfId="1" xr:uid="{D10016AE-B8C7-4B2E-8AAF-E0B7C78072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682209\OneDrive%20-%20General%20Mills\Desktop\Case%20Study\Casestudy%20Data%20Analytics_SM.xlsx" TargetMode="External"/><Relationship Id="rId1" Type="http://schemas.openxmlformats.org/officeDocument/2006/relationships/externalLinkPath" Target="file:///C:\Users\g682209\OneDrive%20-%20General%20Mills\Desktop\Case%20Study\Casestudy%20Data%20Analytics_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sk"/>
      <sheetName val="Raw Dump"/>
      <sheetName val="Data Dictionary"/>
      <sheetName val="Raw File_with Unknown OID"/>
      <sheetName val="Raw Data Final"/>
      <sheetName val="Approach"/>
    </sheetNames>
    <sheetDataSet>
      <sheetData sheetId="0"/>
      <sheetData sheetId="1"/>
      <sheetData sheetId="2"/>
      <sheetData sheetId="3">
        <row r="1">
          <cell r="E1" t="str">
            <v>Funnel Stage</v>
          </cell>
          <cell r="G1" t="str">
            <v>Status</v>
          </cell>
        </row>
        <row r="2">
          <cell r="E2" t="str">
            <v>Unsuccessful</v>
          </cell>
          <cell r="G2" t="str">
            <v>Lost</v>
          </cell>
        </row>
        <row r="3">
          <cell r="E3" t="str">
            <v>Unsuccessful</v>
          </cell>
          <cell r="G3" t="str">
            <v>Lost</v>
          </cell>
        </row>
        <row r="4">
          <cell r="E4" t="str">
            <v>Unsuccessful</v>
          </cell>
          <cell r="G4" t="str">
            <v>Lost</v>
          </cell>
        </row>
        <row r="5">
          <cell r="E5" t="str">
            <v>Unsuccessful</v>
          </cell>
          <cell r="G5" t="str">
            <v>Lost</v>
          </cell>
        </row>
        <row r="6">
          <cell r="E6" t="str">
            <v>Unsuccessful</v>
          </cell>
          <cell r="G6" t="str">
            <v>Lost</v>
          </cell>
        </row>
        <row r="7">
          <cell r="E7" t="str">
            <v>Unsuccessful</v>
          </cell>
          <cell r="G7" t="str">
            <v>Lost</v>
          </cell>
        </row>
        <row r="8">
          <cell r="E8" t="str">
            <v>Unsuccessful</v>
          </cell>
          <cell r="G8" t="str">
            <v>Lost</v>
          </cell>
        </row>
        <row r="9">
          <cell r="E9" t="str">
            <v>Unsuccessful</v>
          </cell>
          <cell r="G9" t="str">
            <v>Lost</v>
          </cell>
        </row>
        <row r="10">
          <cell r="E10" t="str">
            <v>Unsuccessful</v>
          </cell>
          <cell r="G10" t="str">
            <v>Lost</v>
          </cell>
        </row>
        <row r="11">
          <cell r="E11" t="str">
            <v>Unsuccessful</v>
          </cell>
          <cell r="G11" t="str">
            <v>Lost</v>
          </cell>
        </row>
        <row r="12">
          <cell r="E12" t="str">
            <v>Unsuccessful</v>
          </cell>
          <cell r="G12" t="str">
            <v>Lost</v>
          </cell>
        </row>
        <row r="13">
          <cell r="E13" t="str">
            <v>Unsuccessful</v>
          </cell>
          <cell r="G13" t="str">
            <v>Lost</v>
          </cell>
        </row>
        <row r="14">
          <cell r="E14" t="str">
            <v>Unsuccessful</v>
          </cell>
          <cell r="G14" t="str">
            <v>Lost</v>
          </cell>
        </row>
        <row r="15">
          <cell r="E15" t="str">
            <v>Unsuccessful</v>
          </cell>
          <cell r="G15" t="str">
            <v>Lost</v>
          </cell>
        </row>
        <row r="16">
          <cell r="E16" t="str">
            <v>Unsuccessful</v>
          </cell>
          <cell r="G16" t="str">
            <v>Lost</v>
          </cell>
        </row>
        <row r="17">
          <cell r="E17" t="str">
            <v>Unsuccessful</v>
          </cell>
          <cell r="G17" t="str">
            <v>Lost</v>
          </cell>
        </row>
        <row r="18">
          <cell r="E18" t="str">
            <v>Unsuccessful</v>
          </cell>
          <cell r="G18" t="str">
            <v>Lost</v>
          </cell>
        </row>
        <row r="19">
          <cell r="E19" t="str">
            <v>Unsuccessful</v>
          </cell>
          <cell r="G19" t="str">
            <v>Lost</v>
          </cell>
        </row>
        <row r="20">
          <cell r="E20" t="str">
            <v>Unsuccessful</v>
          </cell>
          <cell r="G20" t="str">
            <v>Lost</v>
          </cell>
        </row>
        <row r="21">
          <cell r="E21" t="str">
            <v>Unsuccessful</v>
          </cell>
          <cell r="G21" t="str">
            <v>Lost</v>
          </cell>
        </row>
        <row r="22">
          <cell r="E22" t="str">
            <v>Unsuccessful</v>
          </cell>
          <cell r="G22" t="str">
            <v>Lost</v>
          </cell>
        </row>
        <row r="23">
          <cell r="E23" t="str">
            <v>Unsuccessful</v>
          </cell>
          <cell r="G23" t="str">
            <v>Lost</v>
          </cell>
        </row>
        <row r="24">
          <cell r="E24" t="str">
            <v>Unsuccessful</v>
          </cell>
          <cell r="G24" t="str">
            <v>Lost</v>
          </cell>
        </row>
        <row r="25">
          <cell r="E25" t="str">
            <v>Unsuccessful</v>
          </cell>
          <cell r="G25" t="str">
            <v>Lost</v>
          </cell>
        </row>
        <row r="26">
          <cell r="E26" t="str">
            <v>Unsuccessful</v>
          </cell>
          <cell r="G26" t="str">
            <v>Lost</v>
          </cell>
        </row>
        <row r="27">
          <cell r="E27" t="str">
            <v>Unsuccessful</v>
          </cell>
          <cell r="G27" t="str">
            <v>Lost</v>
          </cell>
        </row>
        <row r="28">
          <cell r="E28" t="str">
            <v>Unsuccessful</v>
          </cell>
          <cell r="G28" t="str">
            <v>Lost</v>
          </cell>
        </row>
        <row r="29">
          <cell r="E29" t="str">
            <v>Unsuccessful</v>
          </cell>
          <cell r="G29" t="str">
            <v>Lost</v>
          </cell>
        </row>
        <row r="30">
          <cell r="E30" t="str">
            <v>Unsuccessful</v>
          </cell>
          <cell r="G30" t="str">
            <v>Lost</v>
          </cell>
        </row>
        <row r="31">
          <cell r="E31" t="str">
            <v>Unsuccessful</v>
          </cell>
          <cell r="G31" t="str">
            <v>Lost</v>
          </cell>
        </row>
        <row r="32">
          <cell r="E32" t="str">
            <v>Unsuccessful</v>
          </cell>
          <cell r="G32" t="str">
            <v>Lost</v>
          </cell>
        </row>
        <row r="33">
          <cell r="E33" t="str">
            <v>Unsuccessful</v>
          </cell>
          <cell r="G33" t="str">
            <v>Lost</v>
          </cell>
        </row>
        <row r="34">
          <cell r="E34" t="str">
            <v>Unsuccessful</v>
          </cell>
          <cell r="G34" t="str">
            <v>Lost</v>
          </cell>
        </row>
        <row r="35">
          <cell r="E35" t="str">
            <v>Unsuccessful</v>
          </cell>
          <cell r="G35" t="str">
            <v>Lost</v>
          </cell>
        </row>
        <row r="36">
          <cell r="E36" t="str">
            <v>Unsuccessful</v>
          </cell>
          <cell r="G36" t="str">
            <v>Lost</v>
          </cell>
        </row>
        <row r="37">
          <cell r="E37" t="str">
            <v>Unsuccessful</v>
          </cell>
          <cell r="G37" t="str">
            <v>Lost</v>
          </cell>
        </row>
        <row r="38">
          <cell r="E38" t="str">
            <v>Unsuccessful</v>
          </cell>
          <cell r="G38" t="str">
            <v>Lost</v>
          </cell>
        </row>
        <row r="39">
          <cell r="E39" t="str">
            <v>Unsuccessful</v>
          </cell>
          <cell r="G39" t="str">
            <v>Lost</v>
          </cell>
        </row>
        <row r="40">
          <cell r="E40" t="str">
            <v>Unsuccessful</v>
          </cell>
          <cell r="G40" t="str">
            <v>Lost</v>
          </cell>
        </row>
        <row r="41">
          <cell r="E41" t="str">
            <v>Unsuccessful</v>
          </cell>
          <cell r="G41" t="str">
            <v>Lost</v>
          </cell>
        </row>
        <row r="42">
          <cell r="E42" t="str">
            <v>Unsuccessful</v>
          </cell>
          <cell r="G42" t="str">
            <v>Lost</v>
          </cell>
        </row>
        <row r="43">
          <cell r="E43" t="str">
            <v>Unsuccessful</v>
          </cell>
          <cell r="G43" t="str">
            <v>Lost</v>
          </cell>
        </row>
        <row r="44">
          <cell r="E44" t="str">
            <v>Unsuccessful</v>
          </cell>
          <cell r="G44" t="str">
            <v>Lost</v>
          </cell>
        </row>
        <row r="45">
          <cell r="E45" t="str">
            <v>Unsuccessful</v>
          </cell>
          <cell r="G45" t="str">
            <v>Lost</v>
          </cell>
        </row>
        <row r="46">
          <cell r="E46" t="str">
            <v>Unsuccessful</v>
          </cell>
          <cell r="G46" t="str">
            <v>Lost</v>
          </cell>
        </row>
        <row r="47">
          <cell r="E47" t="str">
            <v>Unsuccessful</v>
          </cell>
          <cell r="G47" t="str">
            <v>Lost</v>
          </cell>
        </row>
        <row r="48">
          <cell r="E48" t="str">
            <v>Booked</v>
          </cell>
          <cell r="G48" t="str">
            <v>Won</v>
          </cell>
        </row>
        <row r="49">
          <cell r="E49" t="str">
            <v>Sold Not Booked</v>
          </cell>
          <cell r="G49" t="str">
            <v>Won</v>
          </cell>
        </row>
        <row r="50">
          <cell r="E50" t="str">
            <v>Booked</v>
          </cell>
          <cell r="G50" t="str">
            <v>Won</v>
          </cell>
        </row>
        <row r="51">
          <cell r="E51" t="str">
            <v>Booked</v>
          </cell>
          <cell r="G51" t="str">
            <v>Won</v>
          </cell>
        </row>
        <row r="52">
          <cell r="E52" t="str">
            <v>Sold Not Booked</v>
          </cell>
          <cell r="G52" t="str">
            <v>Won</v>
          </cell>
        </row>
        <row r="53">
          <cell r="E53" t="str">
            <v>Sold Not Booked</v>
          </cell>
          <cell r="G53" t="str">
            <v>Won</v>
          </cell>
        </row>
        <row r="54">
          <cell r="E54" t="str">
            <v>Booked</v>
          </cell>
          <cell r="G54" t="str">
            <v>Won</v>
          </cell>
        </row>
        <row r="55">
          <cell r="E55" t="str">
            <v>Booked</v>
          </cell>
          <cell r="G55" t="str">
            <v>Won</v>
          </cell>
        </row>
        <row r="56">
          <cell r="E56" t="str">
            <v>Booked</v>
          </cell>
          <cell r="G56" t="str">
            <v>Won</v>
          </cell>
        </row>
        <row r="57">
          <cell r="E57" t="str">
            <v>Sold Not Booked</v>
          </cell>
          <cell r="G57" t="str">
            <v>Won</v>
          </cell>
        </row>
        <row r="58">
          <cell r="E58" t="str">
            <v>Sold Not Booked</v>
          </cell>
          <cell r="G58" t="str">
            <v>Won</v>
          </cell>
        </row>
        <row r="59">
          <cell r="E59" t="str">
            <v>Booked</v>
          </cell>
          <cell r="G59" t="str">
            <v>Won</v>
          </cell>
        </row>
        <row r="60">
          <cell r="E60" t="str">
            <v>Booked</v>
          </cell>
          <cell r="G60" t="str">
            <v>Won</v>
          </cell>
        </row>
        <row r="61">
          <cell r="E61" t="str">
            <v>Booked</v>
          </cell>
          <cell r="G61" t="str">
            <v>Won</v>
          </cell>
        </row>
        <row r="62">
          <cell r="E62" t="str">
            <v>Booked</v>
          </cell>
          <cell r="G62" t="str">
            <v>Won</v>
          </cell>
        </row>
        <row r="63">
          <cell r="E63" t="str">
            <v>Booked</v>
          </cell>
          <cell r="G63" t="str">
            <v>Won</v>
          </cell>
        </row>
        <row r="64">
          <cell r="E64" t="str">
            <v>Booked</v>
          </cell>
          <cell r="G64" t="str">
            <v>Won</v>
          </cell>
        </row>
        <row r="65">
          <cell r="E65" t="str">
            <v>Sold Not Booked</v>
          </cell>
          <cell r="G65" t="str">
            <v>Won</v>
          </cell>
        </row>
        <row r="66">
          <cell r="E66" t="str">
            <v>Sold Not Booked</v>
          </cell>
          <cell r="G66" t="str">
            <v>Won</v>
          </cell>
        </row>
        <row r="67">
          <cell r="E67" t="str">
            <v>Booked</v>
          </cell>
          <cell r="G67" t="str">
            <v>Won</v>
          </cell>
        </row>
        <row r="68">
          <cell r="E68" t="str">
            <v>Booked</v>
          </cell>
          <cell r="G68" t="str">
            <v>Won</v>
          </cell>
        </row>
        <row r="69">
          <cell r="E69" t="str">
            <v>Sold Not Booked</v>
          </cell>
          <cell r="G69" t="str">
            <v>Won</v>
          </cell>
        </row>
        <row r="70">
          <cell r="E70" t="str">
            <v>Booked</v>
          </cell>
          <cell r="G70" t="str">
            <v>Won</v>
          </cell>
        </row>
        <row r="71">
          <cell r="E71" t="str">
            <v>Sold Not Booked</v>
          </cell>
          <cell r="G71" t="str">
            <v>Won</v>
          </cell>
        </row>
        <row r="72">
          <cell r="E72" t="str">
            <v>Sold Not Booked</v>
          </cell>
          <cell r="G72" t="str">
            <v>Won</v>
          </cell>
        </row>
        <row r="73">
          <cell r="E73" t="str">
            <v>Sold Not Booked</v>
          </cell>
          <cell r="G73" t="str">
            <v>Won</v>
          </cell>
        </row>
        <row r="74">
          <cell r="E74" t="str">
            <v>Booked</v>
          </cell>
          <cell r="G74" t="str">
            <v>Won</v>
          </cell>
        </row>
        <row r="75">
          <cell r="E75" t="str">
            <v>Booked</v>
          </cell>
          <cell r="G75" t="str">
            <v>Won</v>
          </cell>
        </row>
        <row r="76">
          <cell r="E76" t="str">
            <v>Booked</v>
          </cell>
          <cell r="G76" t="str">
            <v>Won</v>
          </cell>
        </row>
        <row r="77">
          <cell r="E77" t="str">
            <v>Sold Not Booked</v>
          </cell>
          <cell r="G77" t="str">
            <v>Won</v>
          </cell>
        </row>
        <row r="78">
          <cell r="E78" t="str">
            <v>Sold Not Booked</v>
          </cell>
          <cell r="G78" t="str">
            <v>Won</v>
          </cell>
        </row>
        <row r="79">
          <cell r="E79" t="str">
            <v>Sold Not Booked</v>
          </cell>
          <cell r="G79" t="str">
            <v>Won</v>
          </cell>
        </row>
        <row r="80">
          <cell r="E80" t="str">
            <v>Sold Not Booked</v>
          </cell>
          <cell r="G80" t="str">
            <v>Won</v>
          </cell>
        </row>
        <row r="81">
          <cell r="E81" t="str">
            <v>Booked</v>
          </cell>
          <cell r="G81" t="str">
            <v>Won</v>
          </cell>
        </row>
        <row r="82">
          <cell r="E82" t="str">
            <v>Sold Not Booked</v>
          </cell>
          <cell r="G82" t="str">
            <v>Won</v>
          </cell>
        </row>
        <row r="83">
          <cell r="E83" t="str">
            <v>Booked</v>
          </cell>
          <cell r="G83" t="str">
            <v>Won</v>
          </cell>
        </row>
        <row r="84">
          <cell r="E84" t="str">
            <v>Booked</v>
          </cell>
          <cell r="G84" t="str">
            <v>Won</v>
          </cell>
        </row>
        <row r="85">
          <cell r="E85" t="str">
            <v>Sold Not Booked</v>
          </cell>
          <cell r="G85" t="str">
            <v>Won</v>
          </cell>
        </row>
        <row r="86">
          <cell r="E86" t="str">
            <v>Booked</v>
          </cell>
          <cell r="G86" t="str">
            <v>Won</v>
          </cell>
        </row>
        <row r="87">
          <cell r="E87" t="str">
            <v>Booked</v>
          </cell>
          <cell r="G87" t="str">
            <v>Won</v>
          </cell>
        </row>
        <row r="88">
          <cell r="E88" t="str">
            <v>Sold Not Booked</v>
          </cell>
          <cell r="G88" t="str">
            <v>Won</v>
          </cell>
        </row>
        <row r="89">
          <cell r="E89" t="str">
            <v>Booked</v>
          </cell>
          <cell r="G89" t="str">
            <v>Won</v>
          </cell>
        </row>
        <row r="90">
          <cell r="E90" t="str">
            <v>Booked</v>
          </cell>
          <cell r="G90" t="str">
            <v>Won</v>
          </cell>
        </row>
        <row r="91">
          <cell r="E91" t="str">
            <v>Sold Not Booked</v>
          </cell>
          <cell r="G91" t="str">
            <v>Won</v>
          </cell>
        </row>
        <row r="92">
          <cell r="E92" t="str">
            <v>Sold Not Booked</v>
          </cell>
          <cell r="G92" t="str">
            <v>Won</v>
          </cell>
        </row>
        <row r="93">
          <cell r="E93" t="str">
            <v>Sold Not Booked</v>
          </cell>
          <cell r="G93" t="str">
            <v>Won</v>
          </cell>
        </row>
        <row r="94">
          <cell r="E94" t="str">
            <v>Sold Not Booked</v>
          </cell>
          <cell r="G94" t="str">
            <v>Won</v>
          </cell>
        </row>
        <row r="95">
          <cell r="E95" t="str">
            <v>Sold Not Booked</v>
          </cell>
          <cell r="G95" t="str">
            <v>Won</v>
          </cell>
        </row>
        <row r="96">
          <cell r="E96" t="str">
            <v>Sold Not Booked</v>
          </cell>
          <cell r="G96" t="str">
            <v>Won</v>
          </cell>
        </row>
        <row r="97">
          <cell r="E97" t="str">
            <v>Sold Not Booked</v>
          </cell>
          <cell r="G97" t="str">
            <v>Won</v>
          </cell>
        </row>
        <row r="98">
          <cell r="E98" t="str">
            <v>Sold Not Booked</v>
          </cell>
          <cell r="G98" t="str">
            <v>Won</v>
          </cell>
        </row>
        <row r="99">
          <cell r="E99" t="str">
            <v>Booked</v>
          </cell>
          <cell r="G99" t="str">
            <v>Won</v>
          </cell>
        </row>
        <row r="100">
          <cell r="E100" t="str">
            <v>Sold Not Booked</v>
          </cell>
          <cell r="G100" t="str">
            <v>Won</v>
          </cell>
        </row>
        <row r="101">
          <cell r="E101" t="str">
            <v>Booked</v>
          </cell>
          <cell r="G101" t="str">
            <v>Won</v>
          </cell>
        </row>
        <row r="102">
          <cell r="E102" t="str">
            <v>Sold Not Booked</v>
          </cell>
          <cell r="G102" t="str">
            <v>Won</v>
          </cell>
        </row>
        <row r="103">
          <cell r="E103" t="str">
            <v>Booked</v>
          </cell>
          <cell r="G103" t="str">
            <v>Won</v>
          </cell>
        </row>
        <row r="104">
          <cell r="E104" t="str">
            <v>Sold Not Booked</v>
          </cell>
          <cell r="G104" t="str">
            <v>Won</v>
          </cell>
        </row>
        <row r="105">
          <cell r="E105" t="str">
            <v>Booked</v>
          </cell>
          <cell r="G105" t="str">
            <v>Won</v>
          </cell>
        </row>
        <row r="106">
          <cell r="E106" t="str">
            <v>Booked</v>
          </cell>
          <cell r="G106" t="str">
            <v>Won</v>
          </cell>
        </row>
        <row r="107">
          <cell r="E107" t="str">
            <v>Booked</v>
          </cell>
          <cell r="G107" t="str">
            <v>Won</v>
          </cell>
        </row>
        <row r="108">
          <cell r="E108" t="str">
            <v>Sold Not Booked</v>
          </cell>
          <cell r="G108" t="str">
            <v>Won</v>
          </cell>
        </row>
        <row r="109">
          <cell r="E109" t="str">
            <v>Booked</v>
          </cell>
          <cell r="G109" t="str">
            <v>Won</v>
          </cell>
        </row>
        <row r="110">
          <cell r="E110" t="str">
            <v>Booked</v>
          </cell>
          <cell r="G110" t="str">
            <v>Won</v>
          </cell>
        </row>
        <row r="111">
          <cell r="E111" t="str">
            <v>Sold Not Booked</v>
          </cell>
          <cell r="G111" t="str">
            <v>Won</v>
          </cell>
        </row>
        <row r="112">
          <cell r="E112" t="str">
            <v>Booked</v>
          </cell>
          <cell r="G112" t="str">
            <v>Won</v>
          </cell>
        </row>
        <row r="113">
          <cell r="E113" t="str">
            <v>Sold Not Booked</v>
          </cell>
          <cell r="G113" t="str">
            <v>Won</v>
          </cell>
        </row>
        <row r="114">
          <cell r="E114" t="str">
            <v>Booked</v>
          </cell>
          <cell r="G114" t="str">
            <v>Won</v>
          </cell>
        </row>
        <row r="115">
          <cell r="E115" t="str">
            <v>Booked</v>
          </cell>
          <cell r="G115" t="str">
            <v>Won</v>
          </cell>
        </row>
        <row r="116">
          <cell r="E116" t="str">
            <v>Sold Not Booked</v>
          </cell>
          <cell r="G116" t="str">
            <v>Won</v>
          </cell>
        </row>
        <row r="117">
          <cell r="E117" t="str">
            <v>Sold Not Booked</v>
          </cell>
          <cell r="G117" t="str">
            <v>Won</v>
          </cell>
        </row>
        <row r="118">
          <cell r="E118" t="str">
            <v>Booked</v>
          </cell>
          <cell r="G118" t="str">
            <v>Won</v>
          </cell>
        </row>
        <row r="119">
          <cell r="E119" t="str">
            <v>Booked</v>
          </cell>
          <cell r="G119" t="str">
            <v>Won</v>
          </cell>
        </row>
        <row r="120">
          <cell r="E120" t="str">
            <v>Sold Not Booked</v>
          </cell>
          <cell r="G120" t="str">
            <v>Won</v>
          </cell>
        </row>
        <row r="121">
          <cell r="E121" t="str">
            <v>Booked</v>
          </cell>
          <cell r="G121" t="str">
            <v>Won</v>
          </cell>
        </row>
        <row r="122">
          <cell r="E122" t="str">
            <v>Sold Not Booked</v>
          </cell>
          <cell r="G122" t="str">
            <v>Won</v>
          </cell>
        </row>
        <row r="123">
          <cell r="E123" t="str">
            <v>Booked</v>
          </cell>
          <cell r="G123" t="str">
            <v>Won</v>
          </cell>
        </row>
        <row r="124">
          <cell r="E124" t="str">
            <v>Sold Not Booked</v>
          </cell>
          <cell r="G124" t="str">
            <v>Won</v>
          </cell>
        </row>
        <row r="125">
          <cell r="E125" t="str">
            <v>Sold Not Booked</v>
          </cell>
          <cell r="G125" t="str">
            <v>Won</v>
          </cell>
        </row>
        <row r="126">
          <cell r="E126" t="str">
            <v>Booked</v>
          </cell>
          <cell r="G126" t="str">
            <v>Won</v>
          </cell>
        </row>
        <row r="127">
          <cell r="E127" t="str">
            <v>Sold Not Booked</v>
          </cell>
          <cell r="G127" t="str">
            <v>Won</v>
          </cell>
        </row>
        <row r="128">
          <cell r="E128" t="str">
            <v>Booked</v>
          </cell>
          <cell r="G128" t="str">
            <v>Won</v>
          </cell>
        </row>
        <row r="129">
          <cell r="E129" t="str">
            <v>Booked</v>
          </cell>
          <cell r="G129" t="str">
            <v>Won</v>
          </cell>
        </row>
        <row r="130">
          <cell r="E130" t="str">
            <v>Booked</v>
          </cell>
          <cell r="G130" t="str">
            <v>Won</v>
          </cell>
        </row>
        <row r="131">
          <cell r="E131" t="str">
            <v>Booked</v>
          </cell>
          <cell r="G131" t="str">
            <v>Won</v>
          </cell>
        </row>
        <row r="132">
          <cell r="E132" t="str">
            <v>Sold Not Booked</v>
          </cell>
          <cell r="G132" t="str">
            <v>Won</v>
          </cell>
        </row>
        <row r="133">
          <cell r="E133" t="str">
            <v>Booked</v>
          </cell>
          <cell r="G133" t="str">
            <v>Won</v>
          </cell>
        </row>
        <row r="134">
          <cell r="E134" t="str">
            <v>Sold Not Booked</v>
          </cell>
          <cell r="G134" t="str">
            <v>Won</v>
          </cell>
        </row>
        <row r="135">
          <cell r="E135" t="str">
            <v>Booked</v>
          </cell>
          <cell r="G135" t="str">
            <v>Won</v>
          </cell>
        </row>
        <row r="136">
          <cell r="E136" t="str">
            <v>Sold Not Booked</v>
          </cell>
          <cell r="G136" t="str">
            <v>Won</v>
          </cell>
        </row>
        <row r="137">
          <cell r="E137" t="str">
            <v>Booked</v>
          </cell>
          <cell r="G137" t="str">
            <v>Won</v>
          </cell>
        </row>
        <row r="138">
          <cell r="E138" t="str">
            <v>Sold Not Booked</v>
          </cell>
          <cell r="G138" t="str">
            <v>Won</v>
          </cell>
        </row>
        <row r="139">
          <cell r="E139" t="str">
            <v>Sold Not Booked</v>
          </cell>
          <cell r="G139" t="str">
            <v>Won</v>
          </cell>
        </row>
        <row r="140">
          <cell r="E140" t="str">
            <v>Booked</v>
          </cell>
          <cell r="G140" t="str">
            <v>Won</v>
          </cell>
        </row>
        <row r="141">
          <cell r="E141" t="str">
            <v>Sold Not Booked</v>
          </cell>
          <cell r="G141" t="str">
            <v>Won</v>
          </cell>
        </row>
        <row r="142">
          <cell r="E142" t="str">
            <v>Sold Not Booked</v>
          </cell>
          <cell r="G142" t="str">
            <v>Won</v>
          </cell>
        </row>
        <row r="143">
          <cell r="E143" t="str">
            <v>Booked</v>
          </cell>
          <cell r="G143" t="str">
            <v>Won</v>
          </cell>
        </row>
        <row r="144">
          <cell r="E144" t="str">
            <v>Booked</v>
          </cell>
          <cell r="G144" t="str">
            <v>Won</v>
          </cell>
        </row>
        <row r="145">
          <cell r="E145" t="str">
            <v>Sold Not Booked</v>
          </cell>
          <cell r="G145" t="str">
            <v>Won</v>
          </cell>
        </row>
        <row r="146">
          <cell r="E146" t="str">
            <v>Sold Not Booked</v>
          </cell>
          <cell r="G146" t="str">
            <v>Won</v>
          </cell>
        </row>
        <row r="147">
          <cell r="E147" t="str">
            <v>Booked</v>
          </cell>
          <cell r="G147" t="str">
            <v>Won</v>
          </cell>
        </row>
        <row r="148">
          <cell r="E148" t="str">
            <v>Sold Not Booked</v>
          </cell>
          <cell r="G148" t="str">
            <v>Won</v>
          </cell>
        </row>
        <row r="149">
          <cell r="E149" t="str">
            <v>Sold Not Booked</v>
          </cell>
          <cell r="G149" t="str">
            <v>Won</v>
          </cell>
        </row>
        <row r="150">
          <cell r="E150" t="str">
            <v>Sold Not Booked</v>
          </cell>
          <cell r="G150" t="str">
            <v>Won</v>
          </cell>
        </row>
        <row r="151">
          <cell r="E151" t="str">
            <v>Sold Not Booked</v>
          </cell>
          <cell r="G151" t="str">
            <v>Won</v>
          </cell>
        </row>
        <row r="152">
          <cell r="E152" t="str">
            <v>Sold Not Booked</v>
          </cell>
          <cell r="G152" t="str">
            <v>Won</v>
          </cell>
        </row>
        <row r="153">
          <cell r="E153" t="str">
            <v>Sold Not Booked</v>
          </cell>
          <cell r="G153" t="str">
            <v>Won</v>
          </cell>
        </row>
        <row r="154">
          <cell r="E154" t="str">
            <v>Sold Not Booked</v>
          </cell>
          <cell r="G154" t="str">
            <v>Won</v>
          </cell>
        </row>
        <row r="155">
          <cell r="E155" t="str">
            <v>Booked</v>
          </cell>
          <cell r="G155" t="str">
            <v>Won</v>
          </cell>
        </row>
        <row r="156">
          <cell r="E156" t="str">
            <v>Sold Not Booked</v>
          </cell>
          <cell r="G156" t="str">
            <v>Won</v>
          </cell>
        </row>
        <row r="157">
          <cell r="E157" t="str">
            <v>Booked</v>
          </cell>
          <cell r="G157" t="str">
            <v>Won</v>
          </cell>
        </row>
        <row r="158">
          <cell r="E158" t="str">
            <v>Booked</v>
          </cell>
          <cell r="G158" t="str">
            <v>Won</v>
          </cell>
        </row>
        <row r="159">
          <cell r="E159" t="str">
            <v>Booked</v>
          </cell>
          <cell r="G159" t="str">
            <v>Won</v>
          </cell>
        </row>
        <row r="160">
          <cell r="E160" t="str">
            <v>Booked</v>
          </cell>
          <cell r="G160" t="str">
            <v>Won</v>
          </cell>
        </row>
        <row r="161">
          <cell r="E161" t="str">
            <v>Sold Not Booked</v>
          </cell>
          <cell r="G161" t="str">
            <v>Won</v>
          </cell>
        </row>
        <row r="162">
          <cell r="E162" t="str">
            <v>Booked</v>
          </cell>
          <cell r="G162" t="str">
            <v>Won</v>
          </cell>
        </row>
        <row r="163">
          <cell r="E163" t="str">
            <v>Sold Not Booked</v>
          </cell>
          <cell r="G163" t="str">
            <v>Won</v>
          </cell>
        </row>
        <row r="164">
          <cell r="E164" t="str">
            <v>Sold Not Booked</v>
          </cell>
          <cell r="G164" t="str">
            <v>Won</v>
          </cell>
        </row>
        <row r="165">
          <cell r="E165" t="str">
            <v>Booked</v>
          </cell>
          <cell r="G165" t="str">
            <v>Won</v>
          </cell>
        </row>
        <row r="166">
          <cell r="E166" t="str">
            <v>Booked</v>
          </cell>
          <cell r="G166" t="str">
            <v>Won</v>
          </cell>
        </row>
        <row r="167">
          <cell r="E167" t="str">
            <v>Booked</v>
          </cell>
          <cell r="G167" t="str">
            <v>Won</v>
          </cell>
        </row>
        <row r="168">
          <cell r="E168" t="str">
            <v>Booked</v>
          </cell>
          <cell r="G168" t="str">
            <v>Won</v>
          </cell>
        </row>
        <row r="169">
          <cell r="E169" t="str">
            <v>Booked</v>
          </cell>
          <cell r="G169" t="str">
            <v>Won</v>
          </cell>
        </row>
        <row r="170">
          <cell r="E170" t="str">
            <v>Sold Not Booked</v>
          </cell>
          <cell r="G170" t="str">
            <v>Won</v>
          </cell>
        </row>
        <row r="171">
          <cell r="E171" t="str">
            <v>Booked</v>
          </cell>
          <cell r="G171" t="str">
            <v>Won</v>
          </cell>
        </row>
        <row r="172">
          <cell r="E172" t="str">
            <v>Booked</v>
          </cell>
          <cell r="G172" t="str">
            <v>Won</v>
          </cell>
        </row>
        <row r="173">
          <cell r="E173" t="str">
            <v>Sold Not Booked</v>
          </cell>
          <cell r="G173" t="str">
            <v>Won</v>
          </cell>
        </row>
        <row r="174">
          <cell r="E174" t="str">
            <v>Sold Not Booked</v>
          </cell>
          <cell r="G174" t="str">
            <v>Won</v>
          </cell>
        </row>
        <row r="175">
          <cell r="E175" t="str">
            <v>Booked</v>
          </cell>
          <cell r="G175" t="str">
            <v>Won</v>
          </cell>
        </row>
        <row r="176">
          <cell r="E176" t="str">
            <v>Sold Not Booked</v>
          </cell>
          <cell r="G176" t="str">
            <v>Won</v>
          </cell>
        </row>
        <row r="177">
          <cell r="E177" t="str">
            <v>Sold Not Booked</v>
          </cell>
          <cell r="G177" t="str">
            <v>Won</v>
          </cell>
        </row>
        <row r="178">
          <cell r="E178" t="str">
            <v>Sold Not Booked</v>
          </cell>
          <cell r="G178" t="str">
            <v>Won</v>
          </cell>
        </row>
        <row r="179">
          <cell r="E179" t="str">
            <v>Booked</v>
          </cell>
          <cell r="G179" t="str">
            <v>Won</v>
          </cell>
        </row>
        <row r="180">
          <cell r="E180" t="str">
            <v>Unsuccessful</v>
          </cell>
          <cell r="G180" t="str">
            <v>Lost</v>
          </cell>
        </row>
        <row r="181">
          <cell r="E181" t="str">
            <v>Unsuccessful</v>
          </cell>
          <cell r="G181" t="str">
            <v>Lost</v>
          </cell>
        </row>
        <row r="182">
          <cell r="E182" t="str">
            <v>Sold Not Booked</v>
          </cell>
          <cell r="G182" t="str">
            <v>Won</v>
          </cell>
        </row>
        <row r="183">
          <cell r="E183" t="str">
            <v>Sold Not Booked</v>
          </cell>
          <cell r="G183" t="str">
            <v>Won</v>
          </cell>
        </row>
        <row r="184">
          <cell r="E184" t="str">
            <v>Booked</v>
          </cell>
          <cell r="G184" t="str">
            <v>Won</v>
          </cell>
        </row>
        <row r="185">
          <cell r="E185" t="str">
            <v>Sold Not Booked</v>
          </cell>
          <cell r="G185" t="str">
            <v>Won</v>
          </cell>
        </row>
        <row r="186">
          <cell r="E186" t="str">
            <v>Unsuccessful</v>
          </cell>
          <cell r="G186" t="str">
            <v>Lost</v>
          </cell>
        </row>
        <row r="187">
          <cell r="E187" t="str">
            <v>Booked</v>
          </cell>
          <cell r="G187" t="str">
            <v>Won</v>
          </cell>
        </row>
        <row r="188">
          <cell r="E188" t="str">
            <v>Sold Not Booked</v>
          </cell>
          <cell r="G188" t="str">
            <v>Won</v>
          </cell>
        </row>
        <row r="189">
          <cell r="E189" t="str">
            <v>Sold Not Booked</v>
          </cell>
          <cell r="G189" t="str">
            <v>Won</v>
          </cell>
        </row>
        <row r="190">
          <cell r="E190" t="str">
            <v>Booked</v>
          </cell>
          <cell r="G190" t="str">
            <v>Won</v>
          </cell>
        </row>
        <row r="191">
          <cell r="E191" t="str">
            <v>Sold Not Booked</v>
          </cell>
          <cell r="G191" t="str">
            <v>Won</v>
          </cell>
        </row>
        <row r="192">
          <cell r="E192" t="str">
            <v>Booked</v>
          </cell>
          <cell r="G192" t="str">
            <v>Won</v>
          </cell>
        </row>
        <row r="193">
          <cell r="E193" t="str">
            <v>Booked</v>
          </cell>
          <cell r="G193" t="str">
            <v>Won</v>
          </cell>
        </row>
        <row r="194">
          <cell r="E194" t="str">
            <v>Sold Not Booked</v>
          </cell>
          <cell r="G194" t="str">
            <v>Won</v>
          </cell>
        </row>
        <row r="195">
          <cell r="E195" t="str">
            <v>Booked</v>
          </cell>
          <cell r="G195" t="str">
            <v>Won</v>
          </cell>
        </row>
        <row r="196">
          <cell r="E196" t="str">
            <v>Sold Not Booked</v>
          </cell>
          <cell r="G196" t="str">
            <v>Won</v>
          </cell>
        </row>
        <row r="197">
          <cell r="E197" t="str">
            <v>Sold Not Booked</v>
          </cell>
          <cell r="G197" t="str">
            <v>Won</v>
          </cell>
        </row>
        <row r="198">
          <cell r="E198" t="str">
            <v>Booked</v>
          </cell>
          <cell r="G198" t="str">
            <v>Won</v>
          </cell>
        </row>
        <row r="199">
          <cell r="E199" t="str">
            <v>Booked</v>
          </cell>
          <cell r="G199" t="str">
            <v>Won</v>
          </cell>
        </row>
        <row r="200">
          <cell r="E200" t="str">
            <v>Booked</v>
          </cell>
          <cell r="G200" t="str">
            <v>Won</v>
          </cell>
        </row>
        <row r="201">
          <cell r="E201" t="str">
            <v>Booked</v>
          </cell>
          <cell r="G201" t="str">
            <v>Won</v>
          </cell>
        </row>
        <row r="202">
          <cell r="E202" t="str">
            <v>Unsuccessful</v>
          </cell>
          <cell r="G202" t="str">
            <v>Lost</v>
          </cell>
        </row>
        <row r="203">
          <cell r="E203" t="str">
            <v>Sold Not Booked</v>
          </cell>
          <cell r="G203" t="str">
            <v>Won</v>
          </cell>
        </row>
        <row r="204">
          <cell r="E204" t="str">
            <v>Booked</v>
          </cell>
          <cell r="G204" t="str">
            <v>Won</v>
          </cell>
        </row>
        <row r="205">
          <cell r="E205" t="str">
            <v>Sold Not Booked</v>
          </cell>
          <cell r="G205" t="str">
            <v>Won</v>
          </cell>
        </row>
        <row r="206">
          <cell r="E206" t="str">
            <v>Unsuccessful</v>
          </cell>
          <cell r="G206" t="str">
            <v>Lost</v>
          </cell>
        </row>
        <row r="207">
          <cell r="E207" t="str">
            <v>Booked</v>
          </cell>
          <cell r="G207" t="str">
            <v>Won</v>
          </cell>
        </row>
        <row r="208">
          <cell r="E208" t="str">
            <v>Sold Not Booked</v>
          </cell>
          <cell r="G208" t="str">
            <v>Won</v>
          </cell>
        </row>
        <row r="209">
          <cell r="E209" t="str">
            <v>Sold Not Booked</v>
          </cell>
          <cell r="G209" t="str">
            <v>Won</v>
          </cell>
        </row>
        <row r="210">
          <cell r="E210" t="str">
            <v>Sold Not Booked</v>
          </cell>
          <cell r="G210" t="str">
            <v>Won</v>
          </cell>
        </row>
        <row r="211">
          <cell r="E211" t="str">
            <v>Sold Not Booked</v>
          </cell>
          <cell r="G211" t="str">
            <v>Won</v>
          </cell>
        </row>
        <row r="212">
          <cell r="E212" t="str">
            <v>Sold Not Booked</v>
          </cell>
          <cell r="G212" t="str">
            <v>Won</v>
          </cell>
        </row>
        <row r="213">
          <cell r="E213" t="str">
            <v>Booked</v>
          </cell>
          <cell r="G213" t="str">
            <v>Won</v>
          </cell>
        </row>
        <row r="214">
          <cell r="E214" t="str">
            <v>Sold Not Booked</v>
          </cell>
          <cell r="G214" t="str">
            <v>Won</v>
          </cell>
        </row>
        <row r="215">
          <cell r="E215" t="str">
            <v>Unsuccessful</v>
          </cell>
          <cell r="G215" t="str">
            <v>Lost</v>
          </cell>
        </row>
        <row r="216">
          <cell r="E216" t="str">
            <v>Booked</v>
          </cell>
          <cell r="G216" t="str">
            <v>Won</v>
          </cell>
        </row>
        <row r="217">
          <cell r="E217" t="str">
            <v>Booked</v>
          </cell>
          <cell r="G217" t="str">
            <v>Won</v>
          </cell>
        </row>
        <row r="218">
          <cell r="E218" t="str">
            <v>Booked</v>
          </cell>
          <cell r="G218" t="str">
            <v>Won</v>
          </cell>
        </row>
        <row r="219">
          <cell r="E219" t="str">
            <v>Booked</v>
          </cell>
          <cell r="G219" t="str">
            <v>Won</v>
          </cell>
        </row>
        <row r="220">
          <cell r="E220" t="str">
            <v>Booked</v>
          </cell>
          <cell r="G220" t="str">
            <v>Won</v>
          </cell>
        </row>
        <row r="221">
          <cell r="E221" t="str">
            <v>Booked</v>
          </cell>
          <cell r="G221" t="str">
            <v>Won</v>
          </cell>
        </row>
        <row r="222">
          <cell r="E222" t="str">
            <v>Sold Not Booked</v>
          </cell>
          <cell r="G222" t="str">
            <v>Won</v>
          </cell>
        </row>
        <row r="223">
          <cell r="E223" t="str">
            <v>Sold Not Booked</v>
          </cell>
          <cell r="G223" t="str">
            <v>Won</v>
          </cell>
        </row>
        <row r="224">
          <cell r="E224" t="str">
            <v>Unsuccessful</v>
          </cell>
          <cell r="G224" t="str">
            <v>Lost</v>
          </cell>
        </row>
        <row r="225">
          <cell r="E225" t="str">
            <v>Unsuccessful</v>
          </cell>
          <cell r="G225" t="str">
            <v>Lost</v>
          </cell>
        </row>
        <row r="226">
          <cell r="E226" t="str">
            <v>Booked</v>
          </cell>
          <cell r="G226" t="str">
            <v>Won</v>
          </cell>
        </row>
        <row r="227">
          <cell r="E227" t="str">
            <v>Sold Not Booked</v>
          </cell>
          <cell r="G227" t="str">
            <v>Won</v>
          </cell>
        </row>
        <row r="228">
          <cell r="E228" t="str">
            <v>Booked</v>
          </cell>
          <cell r="G228" t="str">
            <v>Won</v>
          </cell>
        </row>
        <row r="229">
          <cell r="E229" t="str">
            <v>Booked</v>
          </cell>
          <cell r="G229" t="str">
            <v>Won</v>
          </cell>
        </row>
        <row r="230">
          <cell r="E230" t="str">
            <v>Sold Not Booked</v>
          </cell>
          <cell r="G230" t="str">
            <v>Won</v>
          </cell>
        </row>
        <row r="231">
          <cell r="E231" t="str">
            <v>Unsuccessful</v>
          </cell>
          <cell r="G231" t="str">
            <v>Lost</v>
          </cell>
        </row>
        <row r="232">
          <cell r="E232" t="str">
            <v>Sold Not Booked</v>
          </cell>
          <cell r="G232" t="str">
            <v>Won</v>
          </cell>
        </row>
        <row r="233">
          <cell r="E233" t="str">
            <v>Booked</v>
          </cell>
          <cell r="G233" t="str">
            <v>Won</v>
          </cell>
        </row>
        <row r="234">
          <cell r="E234" t="str">
            <v>Sold Not Booked</v>
          </cell>
          <cell r="G234" t="str">
            <v>Won</v>
          </cell>
        </row>
        <row r="235">
          <cell r="E235" t="str">
            <v>Booked</v>
          </cell>
          <cell r="G235" t="str">
            <v>Won</v>
          </cell>
        </row>
        <row r="236">
          <cell r="E236" t="str">
            <v>Unsuccessful</v>
          </cell>
          <cell r="G236" t="str">
            <v>Lost</v>
          </cell>
        </row>
        <row r="237">
          <cell r="E237" t="str">
            <v>Booked</v>
          </cell>
          <cell r="G237" t="str">
            <v>Won</v>
          </cell>
        </row>
        <row r="238">
          <cell r="E238" t="str">
            <v>Sold Not Booked</v>
          </cell>
          <cell r="G238" t="str">
            <v>Won</v>
          </cell>
        </row>
        <row r="239">
          <cell r="E239" t="str">
            <v>Booked</v>
          </cell>
          <cell r="G239" t="str">
            <v>Won</v>
          </cell>
        </row>
        <row r="240">
          <cell r="E240" t="str">
            <v>Booked</v>
          </cell>
          <cell r="G240" t="str">
            <v>Won</v>
          </cell>
        </row>
        <row r="241">
          <cell r="E241" t="str">
            <v>Booked</v>
          </cell>
          <cell r="G241" t="str">
            <v>Won</v>
          </cell>
        </row>
        <row r="242">
          <cell r="E242" t="str">
            <v>Sold Not Booked</v>
          </cell>
          <cell r="G242" t="str">
            <v>Won</v>
          </cell>
        </row>
        <row r="243">
          <cell r="E243" t="str">
            <v>Sold Not Booked</v>
          </cell>
          <cell r="G243" t="str">
            <v>Won</v>
          </cell>
        </row>
        <row r="244">
          <cell r="E244" t="str">
            <v>Sold Not Booked</v>
          </cell>
          <cell r="G244" t="str">
            <v>Won</v>
          </cell>
        </row>
        <row r="245">
          <cell r="E245" t="str">
            <v>Booked</v>
          </cell>
          <cell r="G245" t="str">
            <v>Won</v>
          </cell>
        </row>
        <row r="246">
          <cell r="E246" t="str">
            <v>Booked</v>
          </cell>
          <cell r="G246" t="str">
            <v>Won</v>
          </cell>
        </row>
        <row r="247">
          <cell r="E247" t="str">
            <v>Booked</v>
          </cell>
          <cell r="G247" t="str">
            <v>Won</v>
          </cell>
        </row>
        <row r="248">
          <cell r="E248" t="str">
            <v>Booked</v>
          </cell>
          <cell r="G248" t="str">
            <v>Won</v>
          </cell>
        </row>
        <row r="249">
          <cell r="E249" t="str">
            <v>Sold Not Booked</v>
          </cell>
          <cell r="G249" t="str">
            <v>Won</v>
          </cell>
        </row>
        <row r="250">
          <cell r="E250" t="str">
            <v>Unsuccessful</v>
          </cell>
          <cell r="G250" t="str">
            <v>Lost</v>
          </cell>
        </row>
        <row r="251">
          <cell r="E251" t="str">
            <v>Booked</v>
          </cell>
          <cell r="G251" t="str">
            <v>Won</v>
          </cell>
        </row>
        <row r="252">
          <cell r="E252" t="str">
            <v>Unsuccessful</v>
          </cell>
          <cell r="G252" t="str">
            <v>Lost</v>
          </cell>
        </row>
        <row r="253">
          <cell r="E253" t="str">
            <v>Booked</v>
          </cell>
          <cell r="G253" t="str">
            <v>Won</v>
          </cell>
        </row>
        <row r="254">
          <cell r="E254" t="str">
            <v>Unsuccessful</v>
          </cell>
          <cell r="G254" t="str">
            <v>Lost</v>
          </cell>
        </row>
        <row r="255">
          <cell r="E255" t="str">
            <v>Booked</v>
          </cell>
          <cell r="G255" t="str">
            <v>Won</v>
          </cell>
        </row>
        <row r="256">
          <cell r="E256" t="str">
            <v>Sold Not Booked</v>
          </cell>
          <cell r="G256" t="str">
            <v>Won</v>
          </cell>
        </row>
        <row r="257">
          <cell r="E257" t="str">
            <v>Unsuccessful</v>
          </cell>
          <cell r="G257" t="str">
            <v>Lost</v>
          </cell>
        </row>
        <row r="258">
          <cell r="E258" t="str">
            <v>Sold Not Booked</v>
          </cell>
          <cell r="G258" t="str">
            <v>Won</v>
          </cell>
        </row>
        <row r="259">
          <cell r="E259" t="str">
            <v>Unsuccessful</v>
          </cell>
          <cell r="G259" t="str">
            <v>Lost</v>
          </cell>
        </row>
        <row r="260">
          <cell r="E260" t="str">
            <v>Booked</v>
          </cell>
          <cell r="G260" t="str">
            <v>Won</v>
          </cell>
        </row>
        <row r="261">
          <cell r="E261" t="str">
            <v>Booked</v>
          </cell>
          <cell r="G261" t="str">
            <v>Won</v>
          </cell>
        </row>
        <row r="262">
          <cell r="E262" t="str">
            <v>Sold Not Booked</v>
          </cell>
          <cell r="G262" t="str">
            <v>Won</v>
          </cell>
        </row>
        <row r="263">
          <cell r="E263" t="str">
            <v>Booked</v>
          </cell>
          <cell r="G263" t="str">
            <v>Won</v>
          </cell>
        </row>
        <row r="264">
          <cell r="E264" t="str">
            <v>Booked</v>
          </cell>
          <cell r="G264" t="str">
            <v>Won</v>
          </cell>
        </row>
        <row r="265">
          <cell r="E265" t="str">
            <v>Sold Not Booked</v>
          </cell>
          <cell r="G265" t="str">
            <v>Won</v>
          </cell>
        </row>
        <row r="266">
          <cell r="E266" t="str">
            <v>Booked</v>
          </cell>
          <cell r="G266" t="str">
            <v>Won</v>
          </cell>
        </row>
        <row r="267">
          <cell r="E267" t="str">
            <v>Sold Not Booked</v>
          </cell>
          <cell r="G267" t="str">
            <v>Won</v>
          </cell>
        </row>
        <row r="268">
          <cell r="E268" t="str">
            <v>Booked</v>
          </cell>
          <cell r="G268" t="str">
            <v>Won</v>
          </cell>
        </row>
        <row r="269">
          <cell r="E269" t="str">
            <v>Sold Not Booked</v>
          </cell>
          <cell r="G269" t="str">
            <v>Won</v>
          </cell>
        </row>
        <row r="270">
          <cell r="E270" t="str">
            <v>Sold Not Booked</v>
          </cell>
          <cell r="G270" t="str">
            <v>Won</v>
          </cell>
        </row>
        <row r="271">
          <cell r="E271" t="str">
            <v>Unsuccessful</v>
          </cell>
          <cell r="G271" t="str">
            <v>Lost</v>
          </cell>
        </row>
        <row r="272">
          <cell r="E272" t="str">
            <v>Unsuccessful</v>
          </cell>
          <cell r="G272" t="str">
            <v>Lost</v>
          </cell>
        </row>
        <row r="273">
          <cell r="E273" t="str">
            <v>Booked</v>
          </cell>
          <cell r="G273" t="str">
            <v>Won</v>
          </cell>
        </row>
        <row r="274">
          <cell r="E274" t="str">
            <v>Sold Not Booked</v>
          </cell>
          <cell r="G274" t="str">
            <v>Won</v>
          </cell>
        </row>
        <row r="275">
          <cell r="E275" t="str">
            <v>Booked</v>
          </cell>
          <cell r="G275" t="str">
            <v>Won</v>
          </cell>
        </row>
        <row r="276">
          <cell r="E276" t="str">
            <v>Booked</v>
          </cell>
          <cell r="G276" t="str">
            <v>Won</v>
          </cell>
        </row>
        <row r="277">
          <cell r="E277" t="str">
            <v>Booked</v>
          </cell>
          <cell r="G277" t="str">
            <v>Won</v>
          </cell>
        </row>
        <row r="278">
          <cell r="E278" t="str">
            <v>Booked</v>
          </cell>
          <cell r="G278" t="str">
            <v>Won</v>
          </cell>
        </row>
        <row r="279">
          <cell r="E279" t="str">
            <v>Unsuccessful</v>
          </cell>
          <cell r="G279" t="str">
            <v>Lost</v>
          </cell>
        </row>
        <row r="280">
          <cell r="E280" t="str">
            <v>Sold Not Booked</v>
          </cell>
          <cell r="G280" t="str">
            <v>Won</v>
          </cell>
        </row>
        <row r="281">
          <cell r="E281" t="str">
            <v>Booked</v>
          </cell>
          <cell r="G281" t="str">
            <v>Won</v>
          </cell>
        </row>
        <row r="282">
          <cell r="E282" t="str">
            <v>Sold Not Booked</v>
          </cell>
          <cell r="G282" t="str">
            <v>Won</v>
          </cell>
        </row>
        <row r="283">
          <cell r="E283" t="str">
            <v>Booked</v>
          </cell>
          <cell r="G283" t="str">
            <v>Won</v>
          </cell>
        </row>
        <row r="284">
          <cell r="E284" t="str">
            <v>Sold Not Booked</v>
          </cell>
          <cell r="G284" t="str">
            <v>Won</v>
          </cell>
        </row>
        <row r="285">
          <cell r="E285" t="str">
            <v>Booked</v>
          </cell>
          <cell r="G285" t="str">
            <v>Won</v>
          </cell>
        </row>
        <row r="286">
          <cell r="E286" t="str">
            <v>Booked</v>
          </cell>
          <cell r="G286" t="str">
            <v>Won</v>
          </cell>
        </row>
        <row r="287">
          <cell r="E287" t="str">
            <v>Booked</v>
          </cell>
          <cell r="G287" t="str">
            <v>Won</v>
          </cell>
        </row>
        <row r="288">
          <cell r="E288" t="str">
            <v>Sold Not Booked</v>
          </cell>
          <cell r="G288" t="str">
            <v>Won</v>
          </cell>
        </row>
        <row r="289">
          <cell r="E289" t="str">
            <v>Booked</v>
          </cell>
          <cell r="G289" t="str">
            <v>Won</v>
          </cell>
        </row>
        <row r="290">
          <cell r="E290" t="str">
            <v>Sold Not Booked</v>
          </cell>
          <cell r="G290" t="str">
            <v>Won</v>
          </cell>
        </row>
        <row r="291">
          <cell r="E291" t="str">
            <v>Sold Not Booked</v>
          </cell>
          <cell r="G291" t="str">
            <v>Won</v>
          </cell>
        </row>
        <row r="292">
          <cell r="E292" t="str">
            <v>Booked</v>
          </cell>
          <cell r="G292" t="str">
            <v>Won</v>
          </cell>
        </row>
        <row r="293">
          <cell r="E293" t="str">
            <v>Booked</v>
          </cell>
          <cell r="G293" t="str">
            <v>Won</v>
          </cell>
        </row>
        <row r="294">
          <cell r="E294" t="str">
            <v>Booked</v>
          </cell>
          <cell r="G294" t="str">
            <v>Won</v>
          </cell>
        </row>
        <row r="295">
          <cell r="E295" t="str">
            <v>Unsuccessful</v>
          </cell>
          <cell r="G295" t="str">
            <v>Lost</v>
          </cell>
        </row>
        <row r="296">
          <cell r="E296" t="str">
            <v>Sold Not Booked</v>
          </cell>
          <cell r="G296" t="str">
            <v>Won</v>
          </cell>
        </row>
        <row r="297">
          <cell r="E297" t="str">
            <v>Sold Not Booked</v>
          </cell>
          <cell r="G297" t="str">
            <v>Won</v>
          </cell>
        </row>
        <row r="298">
          <cell r="E298" t="str">
            <v>Unsuccessful</v>
          </cell>
          <cell r="G298" t="str">
            <v>Lost</v>
          </cell>
        </row>
        <row r="299">
          <cell r="E299" t="str">
            <v>Booked</v>
          </cell>
          <cell r="G299" t="str">
            <v>Won</v>
          </cell>
        </row>
        <row r="300">
          <cell r="E300" t="str">
            <v>Sold Not Booked</v>
          </cell>
          <cell r="G300" t="str">
            <v>Won</v>
          </cell>
        </row>
        <row r="301">
          <cell r="E301" t="str">
            <v>Booked</v>
          </cell>
          <cell r="G301" t="str">
            <v>Won</v>
          </cell>
        </row>
        <row r="302">
          <cell r="E302" t="str">
            <v>Sold Not Booked</v>
          </cell>
          <cell r="G302" t="str">
            <v>Won</v>
          </cell>
        </row>
        <row r="303">
          <cell r="E303" t="str">
            <v>Sold Not Booked</v>
          </cell>
          <cell r="G303" t="str">
            <v>Won</v>
          </cell>
        </row>
        <row r="304">
          <cell r="E304" t="str">
            <v>Booked</v>
          </cell>
          <cell r="G304" t="str">
            <v>Won</v>
          </cell>
        </row>
        <row r="305">
          <cell r="E305" t="str">
            <v>Sold Not Booked</v>
          </cell>
          <cell r="G305" t="str">
            <v>Won</v>
          </cell>
        </row>
        <row r="306">
          <cell r="E306" t="str">
            <v>Booked</v>
          </cell>
          <cell r="G306" t="str">
            <v>Won</v>
          </cell>
        </row>
        <row r="307">
          <cell r="E307" t="str">
            <v>Booked</v>
          </cell>
          <cell r="G307" t="str">
            <v>Won</v>
          </cell>
        </row>
        <row r="308">
          <cell r="E308" t="str">
            <v>Booked</v>
          </cell>
          <cell r="G308" t="str">
            <v>Won</v>
          </cell>
        </row>
        <row r="309">
          <cell r="E309" t="str">
            <v>Booked</v>
          </cell>
          <cell r="G309" t="str">
            <v>Won</v>
          </cell>
        </row>
        <row r="310">
          <cell r="E310" t="str">
            <v>Booked</v>
          </cell>
          <cell r="G310" t="str">
            <v>Won</v>
          </cell>
        </row>
        <row r="311">
          <cell r="E311" t="str">
            <v>Sold Not Booked</v>
          </cell>
          <cell r="G311" t="str">
            <v>Won</v>
          </cell>
        </row>
        <row r="312">
          <cell r="E312" t="str">
            <v>Unsuccessful</v>
          </cell>
          <cell r="G312" t="str">
            <v>Lost</v>
          </cell>
        </row>
        <row r="313">
          <cell r="E313" t="str">
            <v>Booked</v>
          </cell>
          <cell r="G313" t="str">
            <v>Won</v>
          </cell>
        </row>
        <row r="314">
          <cell r="E314" t="str">
            <v>Best Few</v>
          </cell>
          <cell r="G314" t="str">
            <v>Open</v>
          </cell>
        </row>
        <row r="315">
          <cell r="E315" t="str">
            <v>Sold Not Booked</v>
          </cell>
          <cell r="G315" t="str">
            <v>Won</v>
          </cell>
        </row>
        <row r="316">
          <cell r="E316" t="str">
            <v>In the Funnel</v>
          </cell>
          <cell r="G316" t="str">
            <v>Open</v>
          </cell>
        </row>
        <row r="317">
          <cell r="E317" t="str">
            <v>Above the Funnel</v>
          </cell>
          <cell r="G317" t="str">
            <v>Open</v>
          </cell>
        </row>
        <row r="318">
          <cell r="E318" t="str">
            <v>In the Funnel</v>
          </cell>
          <cell r="G318" t="str">
            <v>Open</v>
          </cell>
        </row>
        <row r="319">
          <cell r="E319" t="str">
            <v>Best Few</v>
          </cell>
          <cell r="G319" t="str">
            <v>Open</v>
          </cell>
        </row>
        <row r="320">
          <cell r="E320" t="str">
            <v>Best Few</v>
          </cell>
          <cell r="G320" t="str">
            <v>Open</v>
          </cell>
        </row>
        <row r="321">
          <cell r="E321" t="str">
            <v>Best Few</v>
          </cell>
          <cell r="G321" t="str">
            <v>Open</v>
          </cell>
        </row>
        <row r="322">
          <cell r="E322" t="str">
            <v>In the Funnel</v>
          </cell>
          <cell r="G322" t="str">
            <v>Open</v>
          </cell>
        </row>
        <row r="323">
          <cell r="E323" t="str">
            <v>Best Few</v>
          </cell>
          <cell r="G323" t="str">
            <v>Open</v>
          </cell>
        </row>
        <row r="324">
          <cell r="E324" t="str">
            <v>In the Funnel</v>
          </cell>
          <cell r="G324" t="str">
            <v>Open</v>
          </cell>
        </row>
        <row r="325">
          <cell r="E325" t="str">
            <v>Above the Funnel</v>
          </cell>
          <cell r="G325" t="str">
            <v>Open</v>
          </cell>
        </row>
        <row r="326">
          <cell r="E326" t="str">
            <v>Best Few</v>
          </cell>
          <cell r="G326" t="str">
            <v>Open</v>
          </cell>
        </row>
        <row r="327">
          <cell r="E327" t="str">
            <v>Best Few</v>
          </cell>
          <cell r="G327" t="str">
            <v>Open</v>
          </cell>
        </row>
        <row r="328">
          <cell r="E328" t="str">
            <v>Best Few</v>
          </cell>
          <cell r="G328" t="str">
            <v>Open</v>
          </cell>
        </row>
        <row r="329">
          <cell r="E329" t="str">
            <v>Best Few</v>
          </cell>
          <cell r="G329" t="str">
            <v>Open</v>
          </cell>
        </row>
        <row r="330">
          <cell r="E330" t="str">
            <v>Unsuccessful</v>
          </cell>
          <cell r="G330" t="str">
            <v>Lost</v>
          </cell>
        </row>
        <row r="331">
          <cell r="E331" t="str">
            <v>Above the Funnel</v>
          </cell>
          <cell r="G331" t="str">
            <v>Open</v>
          </cell>
        </row>
        <row r="332">
          <cell r="E332" t="str">
            <v>Above the Funnel</v>
          </cell>
          <cell r="G332" t="str">
            <v>Open</v>
          </cell>
        </row>
        <row r="333">
          <cell r="E333" t="str">
            <v>In the Funnel</v>
          </cell>
          <cell r="G333" t="str">
            <v>Open</v>
          </cell>
        </row>
        <row r="334">
          <cell r="E334" t="str">
            <v>Unsuccessful</v>
          </cell>
          <cell r="G334" t="str">
            <v>Lost</v>
          </cell>
        </row>
        <row r="335">
          <cell r="E335" t="str">
            <v>Best Few</v>
          </cell>
          <cell r="G335" t="str">
            <v>Open</v>
          </cell>
        </row>
        <row r="336">
          <cell r="E336" t="str">
            <v>Unsuccessful</v>
          </cell>
          <cell r="G336" t="str">
            <v>Lost</v>
          </cell>
        </row>
        <row r="337">
          <cell r="E337" t="str">
            <v>Above the Funnel</v>
          </cell>
          <cell r="G337" t="str">
            <v>Open</v>
          </cell>
        </row>
        <row r="338">
          <cell r="E338" t="str">
            <v>Above the Funnel</v>
          </cell>
          <cell r="G338" t="str">
            <v>Open</v>
          </cell>
        </row>
        <row r="339">
          <cell r="E339" t="str">
            <v>Above the Funnel</v>
          </cell>
          <cell r="G339" t="str">
            <v>Open</v>
          </cell>
        </row>
        <row r="340">
          <cell r="E340" t="str">
            <v>In the Funnel</v>
          </cell>
          <cell r="G340" t="str">
            <v>Open</v>
          </cell>
        </row>
        <row r="341">
          <cell r="E341" t="str">
            <v>Above the Funnel</v>
          </cell>
          <cell r="G341" t="str">
            <v>Open</v>
          </cell>
        </row>
        <row r="342">
          <cell r="E342" t="str">
            <v>Above the Funnel</v>
          </cell>
          <cell r="G342" t="str">
            <v>Open</v>
          </cell>
        </row>
        <row r="343">
          <cell r="E343" t="str">
            <v>Best Few</v>
          </cell>
          <cell r="G343" t="str">
            <v>Open</v>
          </cell>
        </row>
        <row r="344">
          <cell r="E344" t="str">
            <v>In the Funnel</v>
          </cell>
          <cell r="G344" t="str">
            <v>Open</v>
          </cell>
        </row>
        <row r="345">
          <cell r="E345" t="str">
            <v>Above the Funnel</v>
          </cell>
          <cell r="G345" t="str">
            <v>Open</v>
          </cell>
        </row>
        <row r="346">
          <cell r="E346" t="str">
            <v>Best Few</v>
          </cell>
          <cell r="G346" t="str">
            <v>Open</v>
          </cell>
        </row>
        <row r="347">
          <cell r="E347" t="str">
            <v>Best Few</v>
          </cell>
          <cell r="G347" t="str">
            <v>Open</v>
          </cell>
        </row>
        <row r="348">
          <cell r="E348" t="str">
            <v>In the Funnel</v>
          </cell>
          <cell r="G348" t="str">
            <v>Open</v>
          </cell>
        </row>
        <row r="349">
          <cell r="E349" t="str">
            <v>Above the Funnel</v>
          </cell>
          <cell r="G349" t="str">
            <v>Open</v>
          </cell>
        </row>
        <row r="350">
          <cell r="E350" t="str">
            <v>Best Few</v>
          </cell>
          <cell r="G350" t="str">
            <v>Open</v>
          </cell>
        </row>
        <row r="351">
          <cell r="E351" t="str">
            <v>In the Funnel</v>
          </cell>
          <cell r="G351" t="str">
            <v>Open</v>
          </cell>
        </row>
        <row r="352">
          <cell r="E352" t="str">
            <v>In the Funnel</v>
          </cell>
          <cell r="G352" t="str">
            <v>Open</v>
          </cell>
        </row>
        <row r="353">
          <cell r="E353" t="str">
            <v>Best Few</v>
          </cell>
          <cell r="G353" t="str">
            <v>Open</v>
          </cell>
        </row>
        <row r="354">
          <cell r="E354" t="str">
            <v>In the Funnel</v>
          </cell>
          <cell r="G354" t="str">
            <v>Open</v>
          </cell>
        </row>
        <row r="355">
          <cell r="E355" t="str">
            <v>Above the Funnel</v>
          </cell>
          <cell r="G355" t="str">
            <v>Open</v>
          </cell>
        </row>
        <row r="356">
          <cell r="E356" t="str">
            <v>Above the Funnel</v>
          </cell>
          <cell r="G356" t="str">
            <v>Open</v>
          </cell>
        </row>
        <row r="357">
          <cell r="E357" t="str">
            <v>Unsuccessful</v>
          </cell>
          <cell r="G357" t="str">
            <v>Lost</v>
          </cell>
        </row>
        <row r="358">
          <cell r="E358" t="str">
            <v>Best Few</v>
          </cell>
          <cell r="G358" t="str">
            <v>Open</v>
          </cell>
        </row>
        <row r="359">
          <cell r="E359" t="str">
            <v>Unsuccessful</v>
          </cell>
          <cell r="G359" t="str">
            <v>Lost</v>
          </cell>
        </row>
        <row r="360">
          <cell r="E360" t="str">
            <v>Best Few</v>
          </cell>
          <cell r="G360" t="str">
            <v>Open</v>
          </cell>
        </row>
        <row r="361">
          <cell r="E361" t="str">
            <v>In the Funnel</v>
          </cell>
          <cell r="G361" t="str">
            <v>Open</v>
          </cell>
        </row>
        <row r="362">
          <cell r="E362" t="str">
            <v>Best Few</v>
          </cell>
          <cell r="G362" t="str">
            <v>Open</v>
          </cell>
        </row>
        <row r="363">
          <cell r="E363" t="str">
            <v>Best Few</v>
          </cell>
          <cell r="G363" t="str">
            <v>Open</v>
          </cell>
        </row>
        <row r="364">
          <cell r="E364" t="str">
            <v>Unsuccessful</v>
          </cell>
          <cell r="G364" t="str">
            <v>Lost</v>
          </cell>
        </row>
        <row r="365">
          <cell r="E365" t="str">
            <v>Above the Funnel</v>
          </cell>
          <cell r="G365" t="str">
            <v>Open</v>
          </cell>
        </row>
        <row r="366">
          <cell r="E366" t="str">
            <v>Above the Funnel</v>
          </cell>
          <cell r="G366" t="str">
            <v>Open</v>
          </cell>
        </row>
        <row r="367">
          <cell r="E367" t="str">
            <v>Best Few</v>
          </cell>
          <cell r="G367" t="str">
            <v>Open</v>
          </cell>
        </row>
        <row r="368">
          <cell r="E368" t="str">
            <v>Best Few</v>
          </cell>
          <cell r="G368" t="str">
            <v>Open</v>
          </cell>
        </row>
        <row r="369">
          <cell r="E369" t="str">
            <v>In the Funnel</v>
          </cell>
          <cell r="G369" t="str">
            <v>Open</v>
          </cell>
        </row>
        <row r="370">
          <cell r="E370" t="str">
            <v>In the Funnel</v>
          </cell>
          <cell r="G370" t="str">
            <v>Open</v>
          </cell>
        </row>
        <row r="371">
          <cell r="E371" t="str">
            <v>Best Few</v>
          </cell>
          <cell r="G371" t="str">
            <v>Open</v>
          </cell>
        </row>
        <row r="372">
          <cell r="E372" t="str">
            <v>Best Few</v>
          </cell>
          <cell r="G372" t="str">
            <v>Open</v>
          </cell>
        </row>
        <row r="373">
          <cell r="E373" t="str">
            <v>Above the Funnel</v>
          </cell>
          <cell r="G373" t="str">
            <v>Open</v>
          </cell>
        </row>
        <row r="374">
          <cell r="E374" t="str">
            <v>Above the Funnel</v>
          </cell>
          <cell r="G374" t="str">
            <v>Open</v>
          </cell>
        </row>
        <row r="375">
          <cell r="E375" t="str">
            <v>In the Funnel</v>
          </cell>
          <cell r="G375" t="str">
            <v>Open</v>
          </cell>
        </row>
        <row r="376">
          <cell r="E376" t="str">
            <v>Unsuccessful</v>
          </cell>
          <cell r="G376" t="str">
            <v>Lost</v>
          </cell>
        </row>
        <row r="377">
          <cell r="E377" t="str">
            <v>Unsuccessful</v>
          </cell>
          <cell r="G377" t="str">
            <v>Lost</v>
          </cell>
        </row>
        <row r="378">
          <cell r="E378" t="str">
            <v>Best Few</v>
          </cell>
          <cell r="G378" t="str">
            <v>Open</v>
          </cell>
        </row>
        <row r="379">
          <cell r="E379" t="str">
            <v>Best Few</v>
          </cell>
          <cell r="G379" t="str">
            <v>Open</v>
          </cell>
        </row>
        <row r="380">
          <cell r="E380" t="str">
            <v>Best Few</v>
          </cell>
          <cell r="G380" t="str">
            <v>Open</v>
          </cell>
        </row>
        <row r="381">
          <cell r="E381" t="str">
            <v>In the Funnel</v>
          </cell>
          <cell r="G381" t="str">
            <v>Open</v>
          </cell>
        </row>
        <row r="382">
          <cell r="E382" t="str">
            <v>Unsuccessful</v>
          </cell>
          <cell r="G382" t="str">
            <v>Lost</v>
          </cell>
        </row>
        <row r="383">
          <cell r="E383" t="str">
            <v>Best Few</v>
          </cell>
          <cell r="G383" t="str">
            <v>Open</v>
          </cell>
        </row>
        <row r="384">
          <cell r="E384" t="str">
            <v>In the Funnel</v>
          </cell>
          <cell r="G384" t="str">
            <v>Open</v>
          </cell>
        </row>
        <row r="385">
          <cell r="E385" t="str">
            <v>Best Few</v>
          </cell>
          <cell r="G385" t="str">
            <v>Open</v>
          </cell>
        </row>
        <row r="386">
          <cell r="E386" t="str">
            <v>Above the Funnel</v>
          </cell>
          <cell r="G386" t="str">
            <v>Open</v>
          </cell>
        </row>
        <row r="387">
          <cell r="E387" t="str">
            <v>In the Funnel</v>
          </cell>
          <cell r="G387" t="str">
            <v>Open</v>
          </cell>
        </row>
        <row r="388">
          <cell r="E388" t="str">
            <v>Unsuccessful</v>
          </cell>
          <cell r="G388" t="str">
            <v>Lost</v>
          </cell>
        </row>
        <row r="389">
          <cell r="E389" t="str">
            <v>Best Few</v>
          </cell>
          <cell r="G389" t="str">
            <v>Open</v>
          </cell>
        </row>
        <row r="390">
          <cell r="E390" t="str">
            <v>In the Funnel</v>
          </cell>
          <cell r="G390" t="str">
            <v>Open</v>
          </cell>
        </row>
        <row r="391">
          <cell r="E391" t="str">
            <v>In the Funnel</v>
          </cell>
          <cell r="G391" t="str">
            <v>Open</v>
          </cell>
        </row>
        <row r="392">
          <cell r="E392" t="str">
            <v>In the Funnel</v>
          </cell>
          <cell r="G392" t="str">
            <v>Open</v>
          </cell>
        </row>
        <row r="393">
          <cell r="E393" t="str">
            <v>Above the Funnel</v>
          </cell>
          <cell r="G393" t="str">
            <v>Open</v>
          </cell>
        </row>
        <row r="394">
          <cell r="E394" t="str">
            <v>Best Few</v>
          </cell>
          <cell r="G394" t="str">
            <v>Open</v>
          </cell>
        </row>
        <row r="395">
          <cell r="E395" t="str">
            <v>Above the Funnel</v>
          </cell>
          <cell r="G395" t="str">
            <v>Open</v>
          </cell>
        </row>
        <row r="396">
          <cell r="E396" t="str">
            <v>In the Funnel</v>
          </cell>
          <cell r="G396" t="str">
            <v>Open</v>
          </cell>
        </row>
        <row r="397">
          <cell r="E397" t="str">
            <v>Above the Funnel</v>
          </cell>
          <cell r="G397" t="str">
            <v>Open</v>
          </cell>
        </row>
        <row r="398">
          <cell r="E398" t="str">
            <v>Unsuccessful</v>
          </cell>
          <cell r="G398" t="str">
            <v>Lost</v>
          </cell>
        </row>
        <row r="399">
          <cell r="E399" t="str">
            <v>Unsuccessful</v>
          </cell>
          <cell r="G399" t="str">
            <v>Lost</v>
          </cell>
        </row>
        <row r="400">
          <cell r="E400" t="str">
            <v>Unsuccessful</v>
          </cell>
          <cell r="G400" t="str">
            <v>Lost</v>
          </cell>
        </row>
        <row r="401">
          <cell r="E401" t="str">
            <v>Unsuccessful</v>
          </cell>
          <cell r="G401" t="str">
            <v>Lost</v>
          </cell>
        </row>
        <row r="402">
          <cell r="E402" t="str">
            <v>Unsuccessful</v>
          </cell>
          <cell r="G402" t="str">
            <v>Lost</v>
          </cell>
        </row>
        <row r="403">
          <cell r="E403" t="str">
            <v>Unsuccessful</v>
          </cell>
          <cell r="G403" t="str">
            <v>Lost</v>
          </cell>
        </row>
        <row r="404">
          <cell r="E404" t="str">
            <v>Unsuccessful</v>
          </cell>
          <cell r="G404" t="str">
            <v>Lost</v>
          </cell>
        </row>
        <row r="405">
          <cell r="E405" t="str">
            <v>Unsuccessful</v>
          </cell>
          <cell r="G405" t="str">
            <v>Lost</v>
          </cell>
        </row>
        <row r="406">
          <cell r="E406" t="str">
            <v>Unsuccessful</v>
          </cell>
          <cell r="G406" t="str">
            <v>Lost</v>
          </cell>
        </row>
        <row r="407">
          <cell r="E407" t="str">
            <v>Unsuccessful</v>
          </cell>
          <cell r="G407" t="str">
            <v>Lost</v>
          </cell>
        </row>
        <row r="408">
          <cell r="E408" t="str">
            <v>Unsuccessful</v>
          </cell>
          <cell r="G408" t="str">
            <v>Lost</v>
          </cell>
        </row>
        <row r="409">
          <cell r="E409" t="str">
            <v>Unsuccessful</v>
          </cell>
          <cell r="G409" t="str">
            <v>Lost</v>
          </cell>
        </row>
        <row r="410">
          <cell r="E410" t="str">
            <v>Unsuccessful</v>
          </cell>
          <cell r="G410" t="str">
            <v>Lost</v>
          </cell>
        </row>
        <row r="411">
          <cell r="E411" t="str">
            <v>Unsuccessful</v>
          </cell>
          <cell r="G411" t="str">
            <v>Lost</v>
          </cell>
        </row>
        <row r="412">
          <cell r="E412" t="str">
            <v>Unsuccessful</v>
          </cell>
          <cell r="G412" t="str">
            <v>Lost</v>
          </cell>
        </row>
        <row r="413">
          <cell r="E413" t="str">
            <v>Unsuccessful</v>
          </cell>
          <cell r="G413" t="str">
            <v>Lost</v>
          </cell>
        </row>
        <row r="414">
          <cell r="E414" t="str">
            <v>Unsuccessful</v>
          </cell>
          <cell r="G414" t="str">
            <v>Lost</v>
          </cell>
        </row>
        <row r="415">
          <cell r="E415" t="str">
            <v>Unsuccessful</v>
          </cell>
          <cell r="G415" t="str">
            <v>Lost</v>
          </cell>
        </row>
        <row r="416">
          <cell r="E416" t="str">
            <v>Unsuccessful</v>
          </cell>
          <cell r="G416" t="str">
            <v>Lost</v>
          </cell>
        </row>
        <row r="417">
          <cell r="E417" t="str">
            <v>Unsuccessful</v>
          </cell>
          <cell r="G417" t="str">
            <v>Lost</v>
          </cell>
        </row>
        <row r="418">
          <cell r="E418" t="str">
            <v>Unsuccessful</v>
          </cell>
          <cell r="G418" t="str">
            <v>Lost</v>
          </cell>
        </row>
        <row r="419">
          <cell r="E419" t="str">
            <v>Unsuccessful</v>
          </cell>
          <cell r="G419" t="str">
            <v>Lost</v>
          </cell>
        </row>
        <row r="420">
          <cell r="E420" t="str">
            <v>Unsuccessful</v>
          </cell>
          <cell r="G420" t="str">
            <v>Lost</v>
          </cell>
        </row>
        <row r="421">
          <cell r="E421" t="str">
            <v>Unsuccessful</v>
          </cell>
          <cell r="G421" t="str">
            <v>Lost</v>
          </cell>
        </row>
        <row r="422">
          <cell r="E422" t="str">
            <v>Unsuccessful</v>
          </cell>
          <cell r="G422" t="str">
            <v>Lost</v>
          </cell>
        </row>
        <row r="423">
          <cell r="E423" t="str">
            <v>Unsuccessful</v>
          </cell>
          <cell r="G423" t="str">
            <v>Lost</v>
          </cell>
        </row>
        <row r="424">
          <cell r="E424" t="str">
            <v>Unsuccessful</v>
          </cell>
          <cell r="G424" t="str">
            <v>Lost</v>
          </cell>
        </row>
        <row r="425">
          <cell r="E425" t="str">
            <v>Unsuccessful</v>
          </cell>
          <cell r="G425" t="str">
            <v>Lost</v>
          </cell>
        </row>
        <row r="426">
          <cell r="E426" t="str">
            <v>Unsuccessful</v>
          </cell>
          <cell r="G426" t="str">
            <v>Lost</v>
          </cell>
        </row>
        <row r="427">
          <cell r="E427" t="str">
            <v>Unsuccessful</v>
          </cell>
          <cell r="G427" t="str">
            <v>Lost</v>
          </cell>
        </row>
        <row r="428">
          <cell r="E428" t="str">
            <v>Unsuccessful</v>
          </cell>
          <cell r="G428" t="str">
            <v>Lost</v>
          </cell>
        </row>
        <row r="429">
          <cell r="E429" t="str">
            <v>Unsuccessful</v>
          </cell>
          <cell r="G429" t="str">
            <v>Lost</v>
          </cell>
        </row>
        <row r="430">
          <cell r="E430" t="str">
            <v>Unsuccessful</v>
          </cell>
          <cell r="G430" t="str">
            <v>Lost</v>
          </cell>
        </row>
        <row r="431">
          <cell r="E431" t="str">
            <v>Unsuccessful</v>
          </cell>
          <cell r="G431" t="str">
            <v>Lost</v>
          </cell>
        </row>
        <row r="432">
          <cell r="E432" t="str">
            <v>Unsuccessful</v>
          </cell>
          <cell r="G432" t="str">
            <v>Lost</v>
          </cell>
        </row>
        <row r="433">
          <cell r="E433" t="str">
            <v>Unsuccessful</v>
          </cell>
          <cell r="G433" t="str">
            <v>Lost</v>
          </cell>
        </row>
        <row r="434">
          <cell r="E434" t="str">
            <v>Unsuccessful</v>
          </cell>
          <cell r="G434" t="str">
            <v>Lost</v>
          </cell>
        </row>
        <row r="435">
          <cell r="E435" t="str">
            <v>Unsuccessful</v>
          </cell>
          <cell r="G435" t="str">
            <v>Lost</v>
          </cell>
        </row>
        <row r="436">
          <cell r="E436" t="str">
            <v>Unsuccessful</v>
          </cell>
          <cell r="G436" t="str">
            <v>Lost</v>
          </cell>
        </row>
        <row r="437">
          <cell r="E437" t="str">
            <v>Unsuccessful</v>
          </cell>
          <cell r="G437" t="str">
            <v>Lost</v>
          </cell>
        </row>
        <row r="438">
          <cell r="E438" t="str">
            <v>Unsuccessful</v>
          </cell>
          <cell r="G438" t="str">
            <v>Lost</v>
          </cell>
        </row>
        <row r="439">
          <cell r="E439" t="str">
            <v>Unsuccessful</v>
          </cell>
          <cell r="G439" t="str">
            <v>Lost</v>
          </cell>
        </row>
        <row r="440">
          <cell r="E440" t="str">
            <v>Unsuccessful</v>
          </cell>
          <cell r="G440" t="str">
            <v>Lost</v>
          </cell>
        </row>
        <row r="441">
          <cell r="E441" t="str">
            <v>Unsuccessful</v>
          </cell>
          <cell r="G441" t="str">
            <v>Lost</v>
          </cell>
        </row>
        <row r="442">
          <cell r="E442" t="str">
            <v>Unsuccessful</v>
          </cell>
          <cell r="G442" t="str">
            <v>Lost</v>
          </cell>
        </row>
        <row r="443">
          <cell r="E443" t="str">
            <v>Unsuccessful</v>
          </cell>
          <cell r="G443" t="str">
            <v>Lost</v>
          </cell>
        </row>
        <row r="444">
          <cell r="E444" t="str">
            <v>Unsuccessful</v>
          </cell>
          <cell r="G444" t="str">
            <v>Lost</v>
          </cell>
        </row>
        <row r="445">
          <cell r="E445" t="str">
            <v>Unsuccessful</v>
          </cell>
          <cell r="G445" t="str">
            <v>Lost</v>
          </cell>
        </row>
        <row r="446">
          <cell r="E446" t="str">
            <v>Unsuccessful</v>
          </cell>
          <cell r="G446" t="str">
            <v>Lost</v>
          </cell>
        </row>
        <row r="447">
          <cell r="E447" t="str">
            <v>Unsuccessful</v>
          </cell>
          <cell r="G447" t="str">
            <v>Lost</v>
          </cell>
        </row>
        <row r="448">
          <cell r="E448" t="str">
            <v>Unsuccessful</v>
          </cell>
          <cell r="G448" t="str">
            <v>Lost</v>
          </cell>
        </row>
        <row r="449">
          <cell r="E449" t="str">
            <v>Unsuccessful</v>
          </cell>
          <cell r="G449" t="str">
            <v>Lost</v>
          </cell>
        </row>
        <row r="450">
          <cell r="E450" t="str">
            <v>Unsuccessful</v>
          </cell>
          <cell r="G450" t="str">
            <v>Lost</v>
          </cell>
        </row>
        <row r="451">
          <cell r="E451" t="str">
            <v>Unsuccessful</v>
          </cell>
          <cell r="G451" t="str">
            <v>Lost</v>
          </cell>
        </row>
        <row r="452">
          <cell r="E452" t="str">
            <v>Unsuccessful</v>
          </cell>
          <cell r="G452" t="str">
            <v>Lost</v>
          </cell>
        </row>
        <row r="453">
          <cell r="E453" t="str">
            <v>Unsuccessful</v>
          </cell>
          <cell r="G453" t="str">
            <v>Lost</v>
          </cell>
        </row>
        <row r="454">
          <cell r="E454" t="str">
            <v>Unsuccessful</v>
          </cell>
          <cell r="G454" t="str">
            <v>Lost</v>
          </cell>
        </row>
        <row r="455">
          <cell r="E455" t="str">
            <v>Unsuccessful</v>
          </cell>
          <cell r="G455" t="str">
            <v>Lost</v>
          </cell>
        </row>
        <row r="456">
          <cell r="E456" t="str">
            <v>Sold Not Booked</v>
          </cell>
          <cell r="G456" t="str">
            <v>Won</v>
          </cell>
        </row>
        <row r="457">
          <cell r="E457" t="str">
            <v>Sold Not Booked</v>
          </cell>
          <cell r="G457" t="str">
            <v>Won</v>
          </cell>
        </row>
        <row r="458">
          <cell r="E458" t="str">
            <v>Booked</v>
          </cell>
          <cell r="G458" t="str">
            <v>Won</v>
          </cell>
        </row>
        <row r="459">
          <cell r="E459" t="str">
            <v>Sold Not Booked</v>
          </cell>
          <cell r="G459" t="str">
            <v>Won</v>
          </cell>
        </row>
        <row r="460">
          <cell r="E460" t="str">
            <v>Sold Not Booked</v>
          </cell>
          <cell r="G460" t="str">
            <v>Won</v>
          </cell>
        </row>
        <row r="461">
          <cell r="E461" t="str">
            <v>Booked</v>
          </cell>
          <cell r="G461" t="str">
            <v>Won</v>
          </cell>
        </row>
        <row r="462">
          <cell r="E462" t="str">
            <v>Booked</v>
          </cell>
          <cell r="G462" t="str">
            <v>Won</v>
          </cell>
        </row>
        <row r="463">
          <cell r="E463" t="str">
            <v>Booked</v>
          </cell>
          <cell r="G463" t="str">
            <v>Won</v>
          </cell>
        </row>
        <row r="464">
          <cell r="E464" t="str">
            <v>Booked</v>
          </cell>
          <cell r="G464" t="str">
            <v>Won</v>
          </cell>
        </row>
        <row r="465">
          <cell r="E465" t="str">
            <v>Booked</v>
          </cell>
          <cell r="G465" t="str">
            <v>Won</v>
          </cell>
        </row>
        <row r="466">
          <cell r="E466" t="str">
            <v>Sold Not Booked</v>
          </cell>
          <cell r="G466" t="str">
            <v>Won</v>
          </cell>
        </row>
        <row r="467">
          <cell r="E467" t="str">
            <v>Booked</v>
          </cell>
          <cell r="G467" t="str">
            <v>Won</v>
          </cell>
        </row>
        <row r="468">
          <cell r="E468" t="str">
            <v>Booked</v>
          </cell>
          <cell r="G468" t="str">
            <v>Won</v>
          </cell>
        </row>
        <row r="469">
          <cell r="E469" t="str">
            <v>Booked</v>
          </cell>
          <cell r="G469" t="str">
            <v>Won</v>
          </cell>
        </row>
        <row r="470">
          <cell r="E470" t="str">
            <v>Sold Not Booked</v>
          </cell>
          <cell r="G470" t="str">
            <v>Won</v>
          </cell>
        </row>
        <row r="471">
          <cell r="E471" t="str">
            <v>Sold Not Booked</v>
          </cell>
          <cell r="G471" t="str">
            <v>Won</v>
          </cell>
        </row>
        <row r="472">
          <cell r="E472" t="str">
            <v>Booked</v>
          </cell>
          <cell r="G472" t="str">
            <v>Won</v>
          </cell>
        </row>
        <row r="473">
          <cell r="E473" t="str">
            <v>Booked</v>
          </cell>
          <cell r="G473" t="str">
            <v>Won</v>
          </cell>
        </row>
        <row r="474">
          <cell r="E474" t="str">
            <v>Sold Not Booked</v>
          </cell>
          <cell r="G474" t="str">
            <v>Won</v>
          </cell>
        </row>
        <row r="475">
          <cell r="E475" t="str">
            <v>Sold Not Booked</v>
          </cell>
          <cell r="G475" t="str">
            <v>Won</v>
          </cell>
        </row>
        <row r="476">
          <cell r="E476" t="str">
            <v>Sold Not Booked</v>
          </cell>
          <cell r="G476" t="str">
            <v>Won</v>
          </cell>
        </row>
        <row r="477">
          <cell r="E477" t="str">
            <v>Sold Not Booked</v>
          </cell>
          <cell r="G477" t="str">
            <v>Won</v>
          </cell>
        </row>
        <row r="478">
          <cell r="E478" t="str">
            <v>Sold Not Booked</v>
          </cell>
          <cell r="G478" t="str">
            <v>Won</v>
          </cell>
        </row>
        <row r="479">
          <cell r="E479" t="str">
            <v>Sold Not Booked</v>
          </cell>
          <cell r="G479" t="str">
            <v>Won</v>
          </cell>
        </row>
        <row r="480">
          <cell r="E480" t="str">
            <v>Booked</v>
          </cell>
          <cell r="G480" t="str">
            <v>Won</v>
          </cell>
        </row>
        <row r="481">
          <cell r="E481" t="str">
            <v>Booked</v>
          </cell>
          <cell r="G481" t="str">
            <v>Won</v>
          </cell>
        </row>
        <row r="482">
          <cell r="E482" t="str">
            <v>Sold Not Booked</v>
          </cell>
          <cell r="G482" t="str">
            <v>Won</v>
          </cell>
        </row>
        <row r="483">
          <cell r="E483" t="str">
            <v>Booked</v>
          </cell>
          <cell r="G483" t="str">
            <v>Won</v>
          </cell>
        </row>
        <row r="484">
          <cell r="E484" t="str">
            <v>Booked</v>
          </cell>
          <cell r="G484" t="str">
            <v>Won</v>
          </cell>
        </row>
        <row r="485">
          <cell r="E485" t="str">
            <v>Booked</v>
          </cell>
          <cell r="G485" t="str">
            <v>Won</v>
          </cell>
        </row>
        <row r="486">
          <cell r="E486" t="str">
            <v>Sold Not Booked</v>
          </cell>
          <cell r="G486" t="str">
            <v>Won</v>
          </cell>
        </row>
        <row r="487">
          <cell r="E487" t="str">
            <v>Sold Not Booked</v>
          </cell>
          <cell r="G487" t="str">
            <v>Won</v>
          </cell>
        </row>
        <row r="488">
          <cell r="E488" t="str">
            <v>Booked</v>
          </cell>
          <cell r="G488" t="str">
            <v>Won</v>
          </cell>
        </row>
        <row r="489">
          <cell r="E489" t="str">
            <v>Booked</v>
          </cell>
          <cell r="G489" t="str">
            <v>Won</v>
          </cell>
        </row>
        <row r="490">
          <cell r="E490" t="str">
            <v>Booked</v>
          </cell>
          <cell r="G490" t="str">
            <v>Won</v>
          </cell>
        </row>
        <row r="491">
          <cell r="E491" t="str">
            <v>Sold Not Booked</v>
          </cell>
          <cell r="G491" t="str">
            <v>Won</v>
          </cell>
        </row>
        <row r="492">
          <cell r="E492" t="str">
            <v>Sold Not Booked</v>
          </cell>
          <cell r="G492" t="str">
            <v>Won</v>
          </cell>
        </row>
        <row r="493">
          <cell r="E493" t="str">
            <v>Sold Not Booked</v>
          </cell>
          <cell r="G493" t="str">
            <v>Won</v>
          </cell>
        </row>
        <row r="494">
          <cell r="E494" t="str">
            <v>Booked</v>
          </cell>
          <cell r="G494" t="str">
            <v>Won</v>
          </cell>
        </row>
        <row r="495">
          <cell r="E495" t="str">
            <v>Booked</v>
          </cell>
          <cell r="G495" t="str">
            <v>Won</v>
          </cell>
        </row>
        <row r="496">
          <cell r="E496" t="str">
            <v>Sold Not Booked</v>
          </cell>
          <cell r="G496" t="str">
            <v>Won</v>
          </cell>
        </row>
        <row r="497">
          <cell r="E497" t="str">
            <v>Sold Not Booked</v>
          </cell>
          <cell r="G497" t="str">
            <v>Won</v>
          </cell>
        </row>
        <row r="498">
          <cell r="E498" t="str">
            <v>Booked</v>
          </cell>
          <cell r="G498" t="str">
            <v>Won</v>
          </cell>
        </row>
        <row r="499">
          <cell r="E499" t="str">
            <v>Sold Not Booked</v>
          </cell>
          <cell r="G499" t="str">
            <v>Won</v>
          </cell>
        </row>
        <row r="500">
          <cell r="E500" t="str">
            <v>Sold Not Booked</v>
          </cell>
          <cell r="G500" t="str">
            <v>Won</v>
          </cell>
        </row>
        <row r="501">
          <cell r="E501" t="str">
            <v>Sold Not Booked</v>
          </cell>
          <cell r="G501" t="str">
            <v>Won</v>
          </cell>
        </row>
        <row r="502">
          <cell r="E502" t="str">
            <v>Booked</v>
          </cell>
          <cell r="G502" t="str">
            <v>Won</v>
          </cell>
        </row>
        <row r="503">
          <cell r="E503" t="str">
            <v>Sold Not Booked</v>
          </cell>
          <cell r="G503" t="str">
            <v>Won</v>
          </cell>
        </row>
        <row r="504">
          <cell r="E504" t="str">
            <v>Booked</v>
          </cell>
          <cell r="G504" t="str">
            <v>Won</v>
          </cell>
        </row>
        <row r="505">
          <cell r="E505" t="str">
            <v>Booked</v>
          </cell>
          <cell r="G505" t="str">
            <v>Won</v>
          </cell>
        </row>
        <row r="506">
          <cell r="E506" t="str">
            <v>Booked</v>
          </cell>
          <cell r="G506" t="str">
            <v>Won</v>
          </cell>
        </row>
        <row r="507">
          <cell r="E507" t="str">
            <v>Booked</v>
          </cell>
          <cell r="G507" t="str">
            <v>Won</v>
          </cell>
        </row>
        <row r="508">
          <cell r="E508" t="str">
            <v>Sold Not Booked</v>
          </cell>
          <cell r="G508" t="str">
            <v>Won</v>
          </cell>
        </row>
        <row r="509">
          <cell r="E509" t="str">
            <v>Sold Not Booked</v>
          </cell>
          <cell r="G509" t="str">
            <v>Won</v>
          </cell>
        </row>
        <row r="510">
          <cell r="E510" t="str">
            <v>Booked</v>
          </cell>
          <cell r="G510" t="str">
            <v>Won</v>
          </cell>
        </row>
        <row r="511">
          <cell r="E511" t="str">
            <v>Booked</v>
          </cell>
          <cell r="G511" t="str">
            <v>Won</v>
          </cell>
        </row>
        <row r="512">
          <cell r="E512" t="str">
            <v>Booked</v>
          </cell>
          <cell r="G512" t="str">
            <v>Won</v>
          </cell>
        </row>
        <row r="513">
          <cell r="E513" t="str">
            <v>Booked</v>
          </cell>
          <cell r="G513" t="str">
            <v>Won</v>
          </cell>
        </row>
        <row r="514">
          <cell r="E514" t="str">
            <v>Booked</v>
          </cell>
          <cell r="G514" t="str">
            <v>Won</v>
          </cell>
        </row>
        <row r="515">
          <cell r="E515" t="str">
            <v>Booked</v>
          </cell>
          <cell r="G515" t="str">
            <v>Won</v>
          </cell>
        </row>
        <row r="516">
          <cell r="E516" t="str">
            <v>Sold Not Booked</v>
          </cell>
          <cell r="G516" t="str">
            <v>Won</v>
          </cell>
        </row>
        <row r="517">
          <cell r="E517" t="str">
            <v>Booked</v>
          </cell>
          <cell r="G517" t="str">
            <v>Won</v>
          </cell>
        </row>
        <row r="518">
          <cell r="E518" t="str">
            <v>Sold Not Booked</v>
          </cell>
          <cell r="G518" t="str">
            <v>Won</v>
          </cell>
        </row>
        <row r="519">
          <cell r="E519" t="str">
            <v>Booked</v>
          </cell>
          <cell r="G519" t="str">
            <v>Won</v>
          </cell>
        </row>
        <row r="520">
          <cell r="E520" t="str">
            <v>Sold Not Booked</v>
          </cell>
          <cell r="G520" t="str">
            <v>Won</v>
          </cell>
        </row>
        <row r="521">
          <cell r="E521" t="str">
            <v>Sold Not Booked</v>
          </cell>
          <cell r="G521" t="str">
            <v>Won</v>
          </cell>
        </row>
        <row r="522">
          <cell r="E522" t="str">
            <v>Sold Not Booked</v>
          </cell>
          <cell r="G522" t="str">
            <v>Won</v>
          </cell>
        </row>
        <row r="523">
          <cell r="E523" t="str">
            <v>Sold Not Booked</v>
          </cell>
          <cell r="G523" t="str">
            <v>Won</v>
          </cell>
        </row>
        <row r="524">
          <cell r="E524" t="str">
            <v>Sold Not Booked</v>
          </cell>
          <cell r="G524" t="str">
            <v>Won</v>
          </cell>
        </row>
        <row r="525">
          <cell r="E525" t="str">
            <v>Sold Not Booked</v>
          </cell>
          <cell r="G525" t="str">
            <v>Won</v>
          </cell>
        </row>
        <row r="526">
          <cell r="E526" t="str">
            <v>Sold Not Booked</v>
          </cell>
          <cell r="G526" t="str">
            <v>Won</v>
          </cell>
        </row>
        <row r="527">
          <cell r="E527" t="str">
            <v>Booked</v>
          </cell>
          <cell r="G527" t="str">
            <v>Won</v>
          </cell>
        </row>
        <row r="528">
          <cell r="E528" t="str">
            <v>Sold Not Booked</v>
          </cell>
          <cell r="G528" t="str">
            <v>Won</v>
          </cell>
        </row>
        <row r="529">
          <cell r="E529" t="str">
            <v>Booked</v>
          </cell>
          <cell r="G529" t="str">
            <v>Won</v>
          </cell>
        </row>
        <row r="530">
          <cell r="E530" t="str">
            <v>Sold Not Booked</v>
          </cell>
          <cell r="G530" t="str">
            <v>Won</v>
          </cell>
        </row>
        <row r="531">
          <cell r="E531" t="str">
            <v>Booked</v>
          </cell>
          <cell r="G531" t="str">
            <v>Won</v>
          </cell>
        </row>
        <row r="532">
          <cell r="E532" t="str">
            <v>Sold Not Booked</v>
          </cell>
          <cell r="G532" t="str">
            <v>Won</v>
          </cell>
        </row>
        <row r="533">
          <cell r="E533" t="str">
            <v>Booked</v>
          </cell>
          <cell r="G533" t="str">
            <v>Won</v>
          </cell>
        </row>
        <row r="534">
          <cell r="E534" t="str">
            <v>Booked</v>
          </cell>
          <cell r="G534" t="str">
            <v>Won</v>
          </cell>
        </row>
        <row r="535">
          <cell r="E535" t="str">
            <v>Sold Not Booked</v>
          </cell>
          <cell r="G535" t="str">
            <v>Won</v>
          </cell>
        </row>
        <row r="536">
          <cell r="E536" t="str">
            <v>Booked</v>
          </cell>
          <cell r="G536" t="str">
            <v>Won</v>
          </cell>
        </row>
        <row r="537">
          <cell r="E537" t="str">
            <v>Sold Not Booked</v>
          </cell>
          <cell r="G537" t="str">
            <v>Won</v>
          </cell>
        </row>
        <row r="538">
          <cell r="E538" t="str">
            <v>Booked</v>
          </cell>
          <cell r="G538" t="str">
            <v>Won</v>
          </cell>
        </row>
        <row r="539">
          <cell r="E539" t="str">
            <v>Sold Not Booked</v>
          </cell>
          <cell r="G539" t="str">
            <v>Won</v>
          </cell>
        </row>
        <row r="540">
          <cell r="E540" t="str">
            <v>Sold Not Booked</v>
          </cell>
          <cell r="G540" t="str">
            <v>Won</v>
          </cell>
        </row>
        <row r="541">
          <cell r="E541" t="str">
            <v>Sold Not Booked</v>
          </cell>
          <cell r="G541" t="str">
            <v>Won</v>
          </cell>
        </row>
        <row r="542">
          <cell r="E542" t="str">
            <v>Sold Not Booked</v>
          </cell>
          <cell r="G542" t="str">
            <v>Won</v>
          </cell>
        </row>
        <row r="543">
          <cell r="E543" t="str">
            <v>Booked</v>
          </cell>
          <cell r="G543" t="str">
            <v>Won</v>
          </cell>
        </row>
        <row r="544">
          <cell r="E544" t="str">
            <v>Sold Not Booked</v>
          </cell>
          <cell r="G544" t="str">
            <v>Won</v>
          </cell>
        </row>
        <row r="545">
          <cell r="E545" t="str">
            <v>Sold Not Booked</v>
          </cell>
          <cell r="G545" t="str">
            <v>Won</v>
          </cell>
        </row>
        <row r="546">
          <cell r="E546" t="str">
            <v>Booked</v>
          </cell>
          <cell r="G546" t="str">
            <v>Won</v>
          </cell>
        </row>
        <row r="547">
          <cell r="E547" t="str">
            <v>Sold Not Booked</v>
          </cell>
          <cell r="G547" t="str">
            <v>Won</v>
          </cell>
        </row>
        <row r="548">
          <cell r="E548" t="str">
            <v>Sold Not Booked</v>
          </cell>
          <cell r="G548" t="str">
            <v>Won</v>
          </cell>
        </row>
        <row r="549">
          <cell r="E549" t="str">
            <v>Sold Not Booked</v>
          </cell>
          <cell r="G549" t="str">
            <v>Won</v>
          </cell>
        </row>
        <row r="550">
          <cell r="E550" t="str">
            <v>Sold Not Booked</v>
          </cell>
          <cell r="G550" t="str">
            <v>Won</v>
          </cell>
        </row>
        <row r="551">
          <cell r="E551" t="str">
            <v>Booked</v>
          </cell>
          <cell r="G551" t="str">
            <v>Won</v>
          </cell>
        </row>
        <row r="552">
          <cell r="E552" t="str">
            <v>Sold Not Booked</v>
          </cell>
          <cell r="G552" t="str">
            <v>Won</v>
          </cell>
        </row>
        <row r="553">
          <cell r="E553" t="str">
            <v>Booked</v>
          </cell>
          <cell r="G553" t="str">
            <v>Won</v>
          </cell>
        </row>
        <row r="554">
          <cell r="E554" t="str">
            <v>Sold Not Booked</v>
          </cell>
          <cell r="G554" t="str">
            <v>Won</v>
          </cell>
        </row>
        <row r="555">
          <cell r="E555" t="str">
            <v>Booked</v>
          </cell>
          <cell r="G555" t="str">
            <v>Won</v>
          </cell>
        </row>
        <row r="556">
          <cell r="E556" t="str">
            <v>Sold Not Booked</v>
          </cell>
          <cell r="G556" t="str">
            <v>Won</v>
          </cell>
        </row>
        <row r="557">
          <cell r="E557" t="str">
            <v>Sold Not Booked</v>
          </cell>
          <cell r="G557" t="str">
            <v>Won</v>
          </cell>
        </row>
        <row r="558">
          <cell r="E558" t="str">
            <v>Booked</v>
          </cell>
          <cell r="G558" t="str">
            <v>Won</v>
          </cell>
        </row>
        <row r="559">
          <cell r="E559" t="str">
            <v>Booked</v>
          </cell>
          <cell r="G559" t="str">
            <v>Won</v>
          </cell>
        </row>
        <row r="560">
          <cell r="E560" t="str">
            <v>Sold Not Booked</v>
          </cell>
          <cell r="G560" t="str">
            <v>Won</v>
          </cell>
        </row>
        <row r="561">
          <cell r="E561" t="str">
            <v>Sold Not Booked</v>
          </cell>
          <cell r="G561" t="str">
            <v>Won</v>
          </cell>
        </row>
        <row r="562">
          <cell r="E562" t="str">
            <v>Sold Not Booked</v>
          </cell>
          <cell r="G562" t="str">
            <v>Won</v>
          </cell>
        </row>
        <row r="563">
          <cell r="E563" t="str">
            <v>Sold Not Booked</v>
          </cell>
          <cell r="G563" t="str">
            <v>Won</v>
          </cell>
        </row>
        <row r="564">
          <cell r="E564" t="str">
            <v>Sold Not Booked</v>
          </cell>
          <cell r="G564" t="str">
            <v>Won</v>
          </cell>
        </row>
        <row r="565">
          <cell r="E565" t="str">
            <v>Booked</v>
          </cell>
          <cell r="G565" t="str">
            <v>Won</v>
          </cell>
        </row>
        <row r="566">
          <cell r="E566" t="str">
            <v>Booked</v>
          </cell>
          <cell r="G566" t="str">
            <v>Won</v>
          </cell>
        </row>
        <row r="567">
          <cell r="E567" t="str">
            <v>Sold Not Booked</v>
          </cell>
          <cell r="G567" t="str">
            <v>Won</v>
          </cell>
        </row>
        <row r="568">
          <cell r="E568" t="str">
            <v>Booked</v>
          </cell>
          <cell r="G568" t="str">
            <v>Won</v>
          </cell>
        </row>
        <row r="569">
          <cell r="E569" t="str">
            <v>Sold Not Booked</v>
          </cell>
          <cell r="G569" t="str">
            <v>Won</v>
          </cell>
        </row>
        <row r="570">
          <cell r="E570" t="str">
            <v>Sold Not Booked</v>
          </cell>
          <cell r="G570" t="str">
            <v>Won</v>
          </cell>
        </row>
        <row r="571">
          <cell r="E571" t="str">
            <v>Booked</v>
          </cell>
          <cell r="G571" t="str">
            <v>Won</v>
          </cell>
        </row>
        <row r="572">
          <cell r="E572" t="str">
            <v>Sold Not Booked</v>
          </cell>
          <cell r="G572" t="str">
            <v>Won</v>
          </cell>
        </row>
        <row r="573">
          <cell r="E573" t="str">
            <v>Booked</v>
          </cell>
          <cell r="G573" t="str">
            <v>Won</v>
          </cell>
        </row>
        <row r="574">
          <cell r="E574" t="str">
            <v>Sold Not Booked</v>
          </cell>
          <cell r="G574" t="str">
            <v>Won</v>
          </cell>
        </row>
        <row r="575">
          <cell r="E575" t="str">
            <v>Booked</v>
          </cell>
          <cell r="G575" t="str">
            <v>Won</v>
          </cell>
        </row>
        <row r="576">
          <cell r="E576" t="str">
            <v>Sold Not Booked</v>
          </cell>
          <cell r="G576" t="str">
            <v>Won</v>
          </cell>
        </row>
        <row r="577">
          <cell r="E577" t="str">
            <v>Booked</v>
          </cell>
          <cell r="G577" t="str">
            <v>Won</v>
          </cell>
        </row>
        <row r="578">
          <cell r="E578" t="str">
            <v>Sold Not Booked</v>
          </cell>
          <cell r="G578" t="str">
            <v>Won</v>
          </cell>
        </row>
        <row r="579">
          <cell r="E579" t="str">
            <v>Sold Not Booked</v>
          </cell>
          <cell r="G579" t="str">
            <v>Won</v>
          </cell>
        </row>
        <row r="580">
          <cell r="E580" t="str">
            <v>Booked</v>
          </cell>
          <cell r="G580" t="str">
            <v>Won</v>
          </cell>
        </row>
        <row r="581">
          <cell r="E581" t="str">
            <v>Booked</v>
          </cell>
          <cell r="G581" t="str">
            <v>Won</v>
          </cell>
        </row>
        <row r="582">
          <cell r="E582" t="str">
            <v>Sold Not Booked</v>
          </cell>
          <cell r="G582" t="str">
            <v>Won</v>
          </cell>
        </row>
        <row r="583">
          <cell r="E583" t="str">
            <v>Sold Not Booked</v>
          </cell>
          <cell r="G583" t="str">
            <v>Won</v>
          </cell>
        </row>
        <row r="584">
          <cell r="E584" t="str">
            <v>Booked</v>
          </cell>
          <cell r="G584" t="str">
            <v>Won</v>
          </cell>
        </row>
        <row r="585">
          <cell r="E585" t="str">
            <v>Sold Not Booked</v>
          </cell>
          <cell r="G585" t="str">
            <v>Won</v>
          </cell>
        </row>
        <row r="586">
          <cell r="E586" t="str">
            <v>Booked</v>
          </cell>
          <cell r="G586" t="str">
            <v>Won</v>
          </cell>
        </row>
        <row r="587">
          <cell r="E587" t="str">
            <v>Sold Not Booked</v>
          </cell>
          <cell r="G587" t="str">
            <v>Won</v>
          </cell>
        </row>
        <row r="588">
          <cell r="E588" t="str">
            <v>Booked</v>
          </cell>
          <cell r="G588" t="str">
            <v>Won</v>
          </cell>
        </row>
        <row r="589">
          <cell r="E589" t="str">
            <v>Sold Not Booked</v>
          </cell>
          <cell r="G589" t="str">
            <v>Won</v>
          </cell>
        </row>
        <row r="590">
          <cell r="E590" t="str">
            <v>Sold Not Booked</v>
          </cell>
          <cell r="G590" t="str">
            <v>Won</v>
          </cell>
        </row>
        <row r="591">
          <cell r="E591" t="str">
            <v>Sold Not Booked</v>
          </cell>
          <cell r="G591" t="str">
            <v>Won</v>
          </cell>
        </row>
        <row r="592">
          <cell r="E592" t="str">
            <v>Booked</v>
          </cell>
          <cell r="G592" t="str">
            <v>Won</v>
          </cell>
        </row>
        <row r="593">
          <cell r="E593" t="str">
            <v>Booked</v>
          </cell>
          <cell r="G593" t="str">
            <v>Won</v>
          </cell>
        </row>
        <row r="594">
          <cell r="E594" t="str">
            <v>Booked</v>
          </cell>
          <cell r="G594" t="str">
            <v>Won</v>
          </cell>
        </row>
        <row r="595">
          <cell r="E595" t="str">
            <v>Booked</v>
          </cell>
          <cell r="G595" t="str">
            <v>Won</v>
          </cell>
        </row>
        <row r="596">
          <cell r="E596" t="str">
            <v>Sold Not Booked</v>
          </cell>
          <cell r="G596" t="str">
            <v>Won</v>
          </cell>
        </row>
        <row r="597">
          <cell r="E597" t="str">
            <v>Sold Not Booked</v>
          </cell>
          <cell r="G597" t="str">
            <v>Won</v>
          </cell>
        </row>
        <row r="598">
          <cell r="E598" t="str">
            <v>Booked</v>
          </cell>
          <cell r="G598" t="str">
            <v>Won</v>
          </cell>
        </row>
        <row r="599">
          <cell r="E599" t="str">
            <v>Sold Not Booked</v>
          </cell>
          <cell r="G599" t="str">
            <v>Won</v>
          </cell>
        </row>
        <row r="600">
          <cell r="E600" t="str">
            <v>Booked</v>
          </cell>
          <cell r="G600" t="str">
            <v>Won</v>
          </cell>
        </row>
        <row r="601">
          <cell r="E601" t="str">
            <v>Sold Not Booked</v>
          </cell>
          <cell r="G601" t="str">
            <v>Won</v>
          </cell>
        </row>
        <row r="602">
          <cell r="E602" t="str">
            <v>Booked</v>
          </cell>
          <cell r="G602" t="str">
            <v>Won</v>
          </cell>
        </row>
        <row r="603">
          <cell r="E603" t="str">
            <v>Booked</v>
          </cell>
          <cell r="G603" t="str">
            <v>Won</v>
          </cell>
        </row>
        <row r="604">
          <cell r="E604" t="str">
            <v>Booked</v>
          </cell>
          <cell r="G604" t="str">
            <v>Won</v>
          </cell>
        </row>
        <row r="605">
          <cell r="E605" t="str">
            <v>Booked</v>
          </cell>
          <cell r="G605" t="str">
            <v>Won</v>
          </cell>
        </row>
        <row r="606">
          <cell r="E606" t="str">
            <v>Sold Not Booked</v>
          </cell>
          <cell r="G606" t="str">
            <v>Won</v>
          </cell>
        </row>
        <row r="607">
          <cell r="E607" t="str">
            <v>Sold Not Booked</v>
          </cell>
          <cell r="G607" t="str">
            <v>Won</v>
          </cell>
        </row>
        <row r="608">
          <cell r="E608" t="str">
            <v>Booked</v>
          </cell>
          <cell r="G608" t="str">
            <v>Won</v>
          </cell>
        </row>
        <row r="609">
          <cell r="E609" t="str">
            <v>Sold Not Booked</v>
          </cell>
          <cell r="G609" t="str">
            <v>Won</v>
          </cell>
        </row>
        <row r="610">
          <cell r="E610" t="str">
            <v>Sold Not Booked</v>
          </cell>
          <cell r="G610" t="str">
            <v>Won</v>
          </cell>
        </row>
        <row r="611">
          <cell r="E611" t="str">
            <v>Sold Not Booked</v>
          </cell>
          <cell r="G611" t="str">
            <v>Won</v>
          </cell>
        </row>
        <row r="612">
          <cell r="E612" t="str">
            <v>Sold Not Booked</v>
          </cell>
          <cell r="G612" t="str">
            <v>Won</v>
          </cell>
        </row>
        <row r="613">
          <cell r="E613" t="str">
            <v>Booked</v>
          </cell>
          <cell r="G613" t="str">
            <v>Won</v>
          </cell>
        </row>
        <row r="614">
          <cell r="E614" t="str">
            <v>Booked</v>
          </cell>
          <cell r="G614" t="str">
            <v>Won</v>
          </cell>
        </row>
        <row r="615">
          <cell r="E615" t="str">
            <v>Sold Not Booked</v>
          </cell>
          <cell r="G615" t="str">
            <v>Won</v>
          </cell>
        </row>
        <row r="616">
          <cell r="E616" t="str">
            <v>Booked</v>
          </cell>
          <cell r="G616" t="str">
            <v>Won</v>
          </cell>
        </row>
        <row r="617">
          <cell r="E617" t="str">
            <v>Sold Not Booked</v>
          </cell>
          <cell r="G617" t="str">
            <v>Won</v>
          </cell>
        </row>
        <row r="618">
          <cell r="E618" t="str">
            <v>Unsuccessful</v>
          </cell>
          <cell r="G618" t="str">
            <v>Lost</v>
          </cell>
        </row>
        <row r="619">
          <cell r="E619" t="str">
            <v>Sold Not Booked</v>
          </cell>
          <cell r="G619" t="str">
            <v>Won</v>
          </cell>
        </row>
        <row r="620">
          <cell r="E620" t="str">
            <v>Sold Not Booked</v>
          </cell>
          <cell r="G620" t="str">
            <v>Won</v>
          </cell>
        </row>
        <row r="621">
          <cell r="E621" t="str">
            <v>Sold Not Booked</v>
          </cell>
          <cell r="G621" t="str">
            <v>Won</v>
          </cell>
        </row>
        <row r="622">
          <cell r="E622" t="str">
            <v>Booked</v>
          </cell>
          <cell r="G622" t="str">
            <v>Won</v>
          </cell>
        </row>
        <row r="623">
          <cell r="E623" t="str">
            <v>Booked</v>
          </cell>
          <cell r="G623" t="str">
            <v>Won</v>
          </cell>
        </row>
        <row r="624">
          <cell r="E624" t="str">
            <v>Booked</v>
          </cell>
          <cell r="G624" t="str">
            <v>Won</v>
          </cell>
        </row>
        <row r="625">
          <cell r="E625" t="str">
            <v>Booked</v>
          </cell>
          <cell r="G625" t="str">
            <v>Won</v>
          </cell>
        </row>
        <row r="626">
          <cell r="E626" t="str">
            <v>Sold Not Booked</v>
          </cell>
          <cell r="G626" t="str">
            <v>Won</v>
          </cell>
        </row>
        <row r="627">
          <cell r="E627" t="str">
            <v>Booked</v>
          </cell>
          <cell r="G627" t="str">
            <v>Won</v>
          </cell>
        </row>
        <row r="628">
          <cell r="E628" t="str">
            <v>Booked</v>
          </cell>
          <cell r="G628" t="str">
            <v>Won</v>
          </cell>
        </row>
        <row r="629">
          <cell r="E629" t="str">
            <v>Unsuccessful</v>
          </cell>
          <cell r="G629" t="str">
            <v>Lost</v>
          </cell>
        </row>
        <row r="630">
          <cell r="E630" t="str">
            <v>Sold Not Booked</v>
          </cell>
          <cell r="G630" t="str">
            <v>Won</v>
          </cell>
        </row>
        <row r="631">
          <cell r="E631" t="str">
            <v>Sold Not Booked</v>
          </cell>
          <cell r="G631" t="str">
            <v>Won</v>
          </cell>
        </row>
        <row r="632">
          <cell r="E632" t="str">
            <v>Sold Not Booked</v>
          </cell>
          <cell r="G632" t="str">
            <v>Won</v>
          </cell>
        </row>
        <row r="633">
          <cell r="E633" t="str">
            <v>Booked</v>
          </cell>
          <cell r="G633" t="str">
            <v>Won</v>
          </cell>
        </row>
        <row r="634">
          <cell r="E634" t="str">
            <v>Sold Not Booked</v>
          </cell>
          <cell r="G634" t="str">
            <v>Won</v>
          </cell>
        </row>
        <row r="635">
          <cell r="E635" t="str">
            <v>Booked</v>
          </cell>
          <cell r="G635" t="str">
            <v>Won</v>
          </cell>
        </row>
        <row r="636">
          <cell r="E636" t="str">
            <v>Booked</v>
          </cell>
          <cell r="G636" t="str">
            <v>Won</v>
          </cell>
        </row>
        <row r="637">
          <cell r="E637" t="str">
            <v>Booked</v>
          </cell>
          <cell r="G637" t="str">
            <v>Won</v>
          </cell>
        </row>
        <row r="638">
          <cell r="E638" t="str">
            <v>Sold Not Booked</v>
          </cell>
          <cell r="G638" t="str">
            <v>Won</v>
          </cell>
        </row>
        <row r="639">
          <cell r="E639" t="str">
            <v>Sold Not Booked</v>
          </cell>
          <cell r="G639" t="str">
            <v>Won</v>
          </cell>
        </row>
        <row r="640">
          <cell r="E640" t="str">
            <v>Sold Not Booked</v>
          </cell>
          <cell r="G640" t="str">
            <v>Won</v>
          </cell>
        </row>
        <row r="641">
          <cell r="E641" t="str">
            <v>Sold Not Booked</v>
          </cell>
          <cell r="G641" t="str">
            <v>Won</v>
          </cell>
        </row>
        <row r="642">
          <cell r="E642" t="str">
            <v>Sold Not Booked</v>
          </cell>
          <cell r="G642" t="str">
            <v>Won</v>
          </cell>
        </row>
        <row r="643">
          <cell r="E643" t="str">
            <v>Booked</v>
          </cell>
          <cell r="G643" t="str">
            <v>Won</v>
          </cell>
        </row>
        <row r="644">
          <cell r="E644" t="str">
            <v>Sold Not Booked</v>
          </cell>
          <cell r="G644" t="str">
            <v>Won</v>
          </cell>
        </row>
        <row r="645">
          <cell r="E645" t="str">
            <v>Unsuccessful</v>
          </cell>
          <cell r="G645" t="str">
            <v>Lost</v>
          </cell>
        </row>
        <row r="646">
          <cell r="E646" t="str">
            <v>Sold Not Booked</v>
          </cell>
          <cell r="G646" t="str">
            <v>Won</v>
          </cell>
        </row>
        <row r="647">
          <cell r="E647" t="str">
            <v>Booked</v>
          </cell>
          <cell r="G647" t="str">
            <v>Won</v>
          </cell>
        </row>
        <row r="648">
          <cell r="E648" t="str">
            <v>Sold Not Booked</v>
          </cell>
          <cell r="G648" t="str">
            <v>Won</v>
          </cell>
        </row>
        <row r="649">
          <cell r="E649" t="str">
            <v>Sold Not Booked</v>
          </cell>
          <cell r="G649" t="str">
            <v>Won</v>
          </cell>
        </row>
        <row r="650">
          <cell r="E650" t="str">
            <v>Sold Not Booked</v>
          </cell>
          <cell r="G650" t="str">
            <v>Won</v>
          </cell>
        </row>
        <row r="651">
          <cell r="E651" t="str">
            <v>Unsuccessful</v>
          </cell>
          <cell r="G651" t="str">
            <v>Lost</v>
          </cell>
        </row>
        <row r="652">
          <cell r="E652" t="str">
            <v>Booked</v>
          </cell>
          <cell r="G652" t="str">
            <v>Won</v>
          </cell>
        </row>
        <row r="653">
          <cell r="E653" t="str">
            <v>Booked</v>
          </cell>
          <cell r="G653" t="str">
            <v>Won</v>
          </cell>
        </row>
        <row r="654">
          <cell r="E654" t="str">
            <v>Booked</v>
          </cell>
          <cell r="G654" t="str">
            <v>Won</v>
          </cell>
        </row>
        <row r="655">
          <cell r="E655" t="str">
            <v>Sold Not Booked</v>
          </cell>
          <cell r="G655" t="str">
            <v>Won</v>
          </cell>
        </row>
        <row r="656">
          <cell r="E656" t="str">
            <v>Booked</v>
          </cell>
          <cell r="G656" t="str">
            <v>Won</v>
          </cell>
        </row>
        <row r="657">
          <cell r="E657" t="str">
            <v>Booked</v>
          </cell>
          <cell r="G657" t="str">
            <v>Won</v>
          </cell>
        </row>
        <row r="658">
          <cell r="E658" t="str">
            <v>Sold Not Booked</v>
          </cell>
          <cell r="G658" t="str">
            <v>Won</v>
          </cell>
        </row>
        <row r="659">
          <cell r="E659" t="str">
            <v>Booked</v>
          </cell>
          <cell r="G659" t="str">
            <v>Won</v>
          </cell>
        </row>
        <row r="660">
          <cell r="E660" t="str">
            <v>Booked</v>
          </cell>
          <cell r="G660" t="str">
            <v>Won</v>
          </cell>
        </row>
        <row r="661">
          <cell r="E661" t="str">
            <v>Sold Not Booked</v>
          </cell>
          <cell r="G661" t="str">
            <v>Won</v>
          </cell>
        </row>
        <row r="662">
          <cell r="E662" t="str">
            <v>Booked</v>
          </cell>
          <cell r="G662" t="str">
            <v>Won</v>
          </cell>
        </row>
        <row r="663">
          <cell r="E663" t="str">
            <v>Unsuccessful</v>
          </cell>
          <cell r="G663" t="str">
            <v>Lost</v>
          </cell>
        </row>
        <row r="664">
          <cell r="E664" t="str">
            <v>Booked</v>
          </cell>
          <cell r="G664" t="str">
            <v>Won</v>
          </cell>
        </row>
        <row r="665">
          <cell r="E665" t="str">
            <v>Unsuccessful</v>
          </cell>
          <cell r="G665" t="str">
            <v>Lost</v>
          </cell>
        </row>
        <row r="666">
          <cell r="E666" t="str">
            <v>Booked</v>
          </cell>
          <cell r="G666" t="str">
            <v>Won</v>
          </cell>
        </row>
        <row r="667">
          <cell r="E667" t="str">
            <v>Sold Not Booked</v>
          </cell>
          <cell r="G667" t="str">
            <v>Won</v>
          </cell>
        </row>
        <row r="668">
          <cell r="E668" t="str">
            <v>Booked</v>
          </cell>
          <cell r="G668" t="str">
            <v>Won</v>
          </cell>
        </row>
        <row r="669">
          <cell r="E669" t="str">
            <v>Unsuccessful</v>
          </cell>
          <cell r="G669" t="str">
            <v>Lost</v>
          </cell>
        </row>
        <row r="670">
          <cell r="E670" t="str">
            <v>Sold Not Booked</v>
          </cell>
          <cell r="G670" t="str">
            <v>Won</v>
          </cell>
        </row>
        <row r="671">
          <cell r="E671" t="str">
            <v>Sold Not Booked</v>
          </cell>
          <cell r="G671" t="str">
            <v>Won</v>
          </cell>
        </row>
        <row r="672">
          <cell r="E672" t="str">
            <v>Sold Not Booked</v>
          </cell>
          <cell r="G672" t="str">
            <v>Won</v>
          </cell>
        </row>
        <row r="673">
          <cell r="E673" t="str">
            <v>Sold Not Booked</v>
          </cell>
          <cell r="G673" t="str">
            <v>Won</v>
          </cell>
        </row>
        <row r="674">
          <cell r="E674" t="str">
            <v>Sold Not Booked</v>
          </cell>
          <cell r="G674" t="str">
            <v>Won</v>
          </cell>
        </row>
        <row r="675">
          <cell r="E675" t="str">
            <v>Sold Not Booked</v>
          </cell>
          <cell r="G675" t="str">
            <v>Won</v>
          </cell>
        </row>
        <row r="676">
          <cell r="E676" t="str">
            <v>Booked</v>
          </cell>
          <cell r="G676" t="str">
            <v>Won</v>
          </cell>
        </row>
        <row r="677">
          <cell r="E677" t="str">
            <v>Booked</v>
          </cell>
          <cell r="G677" t="str">
            <v>Won</v>
          </cell>
        </row>
        <row r="678">
          <cell r="E678" t="str">
            <v>Sold Not Booked</v>
          </cell>
          <cell r="G678" t="str">
            <v>Won</v>
          </cell>
        </row>
        <row r="679">
          <cell r="E679" t="str">
            <v>Sold Not Booked</v>
          </cell>
          <cell r="G679" t="str">
            <v>Won</v>
          </cell>
        </row>
        <row r="680">
          <cell r="E680" t="str">
            <v>Sold Not Booked</v>
          </cell>
          <cell r="G680" t="str">
            <v>Won</v>
          </cell>
        </row>
        <row r="681">
          <cell r="E681" t="str">
            <v>Sold Not Booked</v>
          </cell>
          <cell r="G681" t="str">
            <v>Won</v>
          </cell>
        </row>
        <row r="682">
          <cell r="E682" t="str">
            <v>Booked</v>
          </cell>
          <cell r="G682" t="str">
            <v>Won</v>
          </cell>
        </row>
        <row r="683">
          <cell r="E683" t="str">
            <v>Sold Not Booked</v>
          </cell>
          <cell r="G683" t="str">
            <v>Won</v>
          </cell>
        </row>
        <row r="684">
          <cell r="E684" t="str">
            <v>Unsuccessful</v>
          </cell>
          <cell r="G684" t="str">
            <v>Lost</v>
          </cell>
        </row>
        <row r="685">
          <cell r="E685" t="str">
            <v>Booked</v>
          </cell>
          <cell r="G685" t="str">
            <v>Won</v>
          </cell>
        </row>
        <row r="686">
          <cell r="E686" t="str">
            <v>Sold Not Booked</v>
          </cell>
          <cell r="G686" t="str">
            <v>Won</v>
          </cell>
        </row>
        <row r="687">
          <cell r="E687" t="str">
            <v>Booked</v>
          </cell>
          <cell r="G687" t="str">
            <v>Won</v>
          </cell>
        </row>
        <row r="688">
          <cell r="E688" t="str">
            <v>Booked</v>
          </cell>
          <cell r="G688" t="str">
            <v>Won</v>
          </cell>
        </row>
        <row r="689">
          <cell r="E689" t="str">
            <v>Sold Not Booked</v>
          </cell>
          <cell r="G689" t="str">
            <v>Won</v>
          </cell>
        </row>
        <row r="690">
          <cell r="E690" t="str">
            <v>Booked</v>
          </cell>
          <cell r="G690" t="str">
            <v>Won</v>
          </cell>
        </row>
        <row r="691">
          <cell r="E691" t="str">
            <v>Sold Not Booked</v>
          </cell>
          <cell r="G691" t="str">
            <v>Won</v>
          </cell>
        </row>
        <row r="692">
          <cell r="E692" t="str">
            <v>Booked</v>
          </cell>
          <cell r="G692" t="str">
            <v>Won</v>
          </cell>
        </row>
        <row r="693">
          <cell r="E693" t="str">
            <v>Booked</v>
          </cell>
          <cell r="G693" t="str">
            <v>Won</v>
          </cell>
        </row>
        <row r="694">
          <cell r="E694" t="str">
            <v>Sold Not Booked</v>
          </cell>
          <cell r="G694" t="str">
            <v>Won</v>
          </cell>
        </row>
        <row r="695">
          <cell r="E695" t="str">
            <v>Unsuccessful</v>
          </cell>
          <cell r="G695" t="str">
            <v>Lost</v>
          </cell>
        </row>
        <row r="696">
          <cell r="E696" t="str">
            <v>Sold Not Booked</v>
          </cell>
          <cell r="G696" t="str">
            <v>Won</v>
          </cell>
        </row>
        <row r="697">
          <cell r="E697" t="str">
            <v>Booked</v>
          </cell>
          <cell r="G697" t="str">
            <v>Won</v>
          </cell>
        </row>
        <row r="698">
          <cell r="E698" t="str">
            <v>Sold Not Booked</v>
          </cell>
          <cell r="G698" t="str">
            <v>Won</v>
          </cell>
        </row>
        <row r="699">
          <cell r="E699" t="str">
            <v>Booked</v>
          </cell>
          <cell r="G699" t="str">
            <v>Won</v>
          </cell>
        </row>
        <row r="700">
          <cell r="E700" t="str">
            <v>Sold Not Booked</v>
          </cell>
          <cell r="G700" t="str">
            <v>Won</v>
          </cell>
        </row>
        <row r="701">
          <cell r="E701" t="str">
            <v>Booked</v>
          </cell>
          <cell r="G701" t="str">
            <v>Won</v>
          </cell>
        </row>
        <row r="702">
          <cell r="E702" t="str">
            <v>Booked</v>
          </cell>
          <cell r="G702" t="str">
            <v>Won</v>
          </cell>
        </row>
        <row r="703">
          <cell r="E703" t="str">
            <v>Booked</v>
          </cell>
          <cell r="G703" t="str">
            <v>Won</v>
          </cell>
        </row>
        <row r="704">
          <cell r="E704" t="str">
            <v>Sold Not Booked</v>
          </cell>
          <cell r="G704" t="str">
            <v>Won</v>
          </cell>
        </row>
        <row r="705">
          <cell r="E705" t="str">
            <v>Sold Not Booked</v>
          </cell>
          <cell r="G705" t="str">
            <v>Won</v>
          </cell>
        </row>
        <row r="706">
          <cell r="E706" t="str">
            <v>Booked</v>
          </cell>
          <cell r="G706" t="str">
            <v>Won</v>
          </cell>
        </row>
        <row r="707">
          <cell r="E707" t="str">
            <v>Booked</v>
          </cell>
          <cell r="G707" t="str">
            <v>Won</v>
          </cell>
        </row>
        <row r="708">
          <cell r="E708" t="str">
            <v>Sold Not Booked</v>
          </cell>
          <cell r="G708" t="str">
            <v>Won</v>
          </cell>
        </row>
        <row r="709">
          <cell r="E709" t="str">
            <v>Sold Not Booked</v>
          </cell>
          <cell r="G709" t="str">
            <v>Won</v>
          </cell>
        </row>
        <row r="710">
          <cell r="E710" t="str">
            <v>Sold Not Booked</v>
          </cell>
          <cell r="G710" t="str">
            <v>Won</v>
          </cell>
        </row>
        <row r="711">
          <cell r="E711" t="str">
            <v>Sold Not Booked</v>
          </cell>
          <cell r="G711" t="str">
            <v>Won</v>
          </cell>
        </row>
        <row r="712">
          <cell r="E712" t="str">
            <v>Booked</v>
          </cell>
          <cell r="G712" t="str">
            <v>Won</v>
          </cell>
        </row>
        <row r="713">
          <cell r="E713" t="str">
            <v>Sold Not Booked</v>
          </cell>
          <cell r="G713" t="str">
            <v>Won</v>
          </cell>
        </row>
        <row r="714">
          <cell r="E714" t="str">
            <v>Booked</v>
          </cell>
          <cell r="G714" t="str">
            <v>Won</v>
          </cell>
        </row>
        <row r="715">
          <cell r="E715" t="str">
            <v>Sold Not Booked</v>
          </cell>
          <cell r="G715" t="str">
            <v>Won</v>
          </cell>
        </row>
        <row r="716">
          <cell r="E716" t="str">
            <v>Booked</v>
          </cell>
          <cell r="G716" t="str">
            <v>Won</v>
          </cell>
        </row>
        <row r="717">
          <cell r="E717" t="str">
            <v>Booked</v>
          </cell>
          <cell r="G717" t="str">
            <v>Won</v>
          </cell>
        </row>
        <row r="718">
          <cell r="E718" t="str">
            <v>Booked</v>
          </cell>
          <cell r="G718" t="str">
            <v>Won</v>
          </cell>
        </row>
        <row r="719">
          <cell r="E719" t="str">
            <v>Sold Not Booked</v>
          </cell>
          <cell r="G719" t="str">
            <v>Won</v>
          </cell>
        </row>
        <row r="720">
          <cell r="E720" t="str">
            <v>Booked</v>
          </cell>
          <cell r="G720" t="str">
            <v>Won</v>
          </cell>
        </row>
        <row r="721">
          <cell r="E721" t="str">
            <v>Unsuccessful</v>
          </cell>
          <cell r="G721" t="str">
            <v>Lost</v>
          </cell>
        </row>
        <row r="722">
          <cell r="E722" t="str">
            <v>Sold Not Booked</v>
          </cell>
          <cell r="G722" t="str">
            <v>Won</v>
          </cell>
        </row>
        <row r="723">
          <cell r="E723" t="str">
            <v>Sold Not Booked</v>
          </cell>
          <cell r="G723" t="str">
            <v>Won</v>
          </cell>
        </row>
        <row r="724">
          <cell r="E724" t="str">
            <v>Sold Not Booked</v>
          </cell>
          <cell r="G724" t="str">
            <v>Won</v>
          </cell>
        </row>
        <row r="725">
          <cell r="E725" t="str">
            <v>Booked</v>
          </cell>
          <cell r="G725" t="str">
            <v>Won</v>
          </cell>
        </row>
        <row r="726">
          <cell r="E726" t="str">
            <v>Sold Not Booked</v>
          </cell>
          <cell r="G726" t="str">
            <v>Won</v>
          </cell>
        </row>
        <row r="727">
          <cell r="E727" t="str">
            <v>Sold Not Booked</v>
          </cell>
          <cell r="G727" t="str">
            <v>Won</v>
          </cell>
        </row>
        <row r="728">
          <cell r="E728" t="str">
            <v>Sold Not Booked</v>
          </cell>
          <cell r="G728" t="str">
            <v>Won</v>
          </cell>
        </row>
        <row r="729">
          <cell r="E729" t="str">
            <v>Sold Not Booked</v>
          </cell>
          <cell r="G729" t="str">
            <v>Won</v>
          </cell>
        </row>
        <row r="730">
          <cell r="E730" t="str">
            <v>Booked</v>
          </cell>
          <cell r="G730" t="str">
            <v>Won</v>
          </cell>
        </row>
        <row r="731">
          <cell r="E731" t="str">
            <v>Sold Not Booked</v>
          </cell>
          <cell r="G731" t="str">
            <v>Won</v>
          </cell>
        </row>
        <row r="732">
          <cell r="E732" t="str">
            <v>Sold Not Booked</v>
          </cell>
          <cell r="G732" t="str">
            <v>Won</v>
          </cell>
        </row>
        <row r="733">
          <cell r="E733" t="str">
            <v>Booked</v>
          </cell>
          <cell r="G733" t="str">
            <v>Won</v>
          </cell>
        </row>
        <row r="734">
          <cell r="E734" t="str">
            <v>Booked</v>
          </cell>
          <cell r="G734" t="str">
            <v>Won</v>
          </cell>
        </row>
        <row r="735">
          <cell r="E735" t="str">
            <v>Sold Not Booked</v>
          </cell>
          <cell r="G735" t="str">
            <v>Won</v>
          </cell>
        </row>
        <row r="736">
          <cell r="E736" t="str">
            <v>Sold Not Booked</v>
          </cell>
          <cell r="G736" t="str">
            <v>Won</v>
          </cell>
        </row>
        <row r="737">
          <cell r="E737" t="str">
            <v>Booked</v>
          </cell>
          <cell r="G737" t="str">
            <v>Won</v>
          </cell>
        </row>
        <row r="738">
          <cell r="E738" t="str">
            <v>Booked</v>
          </cell>
          <cell r="G738" t="str">
            <v>Won</v>
          </cell>
        </row>
        <row r="739">
          <cell r="E739" t="str">
            <v>Sold Not Booked</v>
          </cell>
          <cell r="G739" t="str">
            <v>Won</v>
          </cell>
        </row>
        <row r="740">
          <cell r="E740" t="str">
            <v>Sold Not Booked</v>
          </cell>
          <cell r="G740" t="str">
            <v>Won</v>
          </cell>
        </row>
        <row r="741">
          <cell r="E741" t="str">
            <v>Sold Not Booked</v>
          </cell>
          <cell r="G741" t="str">
            <v>Won</v>
          </cell>
        </row>
        <row r="742">
          <cell r="E742" t="str">
            <v>Unsuccessful</v>
          </cell>
          <cell r="G742" t="str">
            <v>Lost</v>
          </cell>
        </row>
        <row r="743">
          <cell r="E743" t="str">
            <v>Booked</v>
          </cell>
          <cell r="G743" t="str">
            <v>Won</v>
          </cell>
        </row>
        <row r="744">
          <cell r="E744" t="str">
            <v>Booked</v>
          </cell>
          <cell r="G744" t="str">
            <v>Won</v>
          </cell>
        </row>
        <row r="745">
          <cell r="E745" t="str">
            <v>Sold Not Booked</v>
          </cell>
          <cell r="G745" t="str">
            <v>Won</v>
          </cell>
        </row>
        <row r="746">
          <cell r="E746" t="str">
            <v>Unsuccessful</v>
          </cell>
          <cell r="G746" t="str">
            <v>Lost</v>
          </cell>
        </row>
        <row r="747">
          <cell r="E747" t="str">
            <v>Unsuccessful</v>
          </cell>
          <cell r="G747" t="str">
            <v>Lost</v>
          </cell>
        </row>
        <row r="748">
          <cell r="E748" t="str">
            <v>Booked</v>
          </cell>
          <cell r="G748" t="str">
            <v>Won</v>
          </cell>
        </row>
        <row r="749">
          <cell r="E749" t="str">
            <v>Above the Funnel</v>
          </cell>
          <cell r="G749" t="str">
            <v>Open</v>
          </cell>
        </row>
        <row r="750">
          <cell r="E750" t="str">
            <v>Unsuccessful</v>
          </cell>
          <cell r="G750" t="str">
            <v>Lost</v>
          </cell>
        </row>
        <row r="751">
          <cell r="E751" t="str">
            <v>Above the Funnel</v>
          </cell>
          <cell r="G751" t="str">
            <v>Open</v>
          </cell>
        </row>
        <row r="752">
          <cell r="E752" t="str">
            <v>In the Funnel</v>
          </cell>
          <cell r="G752" t="str">
            <v>Open</v>
          </cell>
        </row>
        <row r="753">
          <cell r="E753" t="str">
            <v>In the Funnel</v>
          </cell>
          <cell r="G753" t="str">
            <v>Open</v>
          </cell>
        </row>
        <row r="754">
          <cell r="E754" t="str">
            <v>In the Funnel</v>
          </cell>
          <cell r="G754" t="str">
            <v>Open</v>
          </cell>
        </row>
        <row r="755">
          <cell r="E755" t="str">
            <v>In the Funnel</v>
          </cell>
          <cell r="G755" t="str">
            <v>Open</v>
          </cell>
        </row>
        <row r="756">
          <cell r="E756" t="str">
            <v>Best Few</v>
          </cell>
          <cell r="G756" t="str">
            <v>Open</v>
          </cell>
        </row>
        <row r="757">
          <cell r="E757" t="str">
            <v>In the Funnel</v>
          </cell>
          <cell r="G757" t="str">
            <v>Open</v>
          </cell>
        </row>
        <row r="758">
          <cell r="E758" t="str">
            <v>Best Few</v>
          </cell>
          <cell r="G758" t="str">
            <v>Open</v>
          </cell>
        </row>
        <row r="759">
          <cell r="E759" t="str">
            <v>In the Funnel</v>
          </cell>
          <cell r="G759" t="str">
            <v>Open</v>
          </cell>
        </row>
        <row r="760">
          <cell r="E760" t="str">
            <v>In the Funnel</v>
          </cell>
          <cell r="G760" t="str">
            <v>Open</v>
          </cell>
        </row>
        <row r="761">
          <cell r="E761" t="str">
            <v>Best Few</v>
          </cell>
          <cell r="G761" t="str">
            <v>Open</v>
          </cell>
        </row>
        <row r="762">
          <cell r="E762" t="str">
            <v>Above the Funnel</v>
          </cell>
          <cell r="G762" t="str">
            <v>Open</v>
          </cell>
        </row>
        <row r="763">
          <cell r="E763" t="str">
            <v>Unsuccessful</v>
          </cell>
          <cell r="G763" t="str">
            <v>Lost</v>
          </cell>
        </row>
        <row r="764">
          <cell r="E764" t="str">
            <v>Best Few</v>
          </cell>
          <cell r="G764" t="str">
            <v>Open</v>
          </cell>
        </row>
        <row r="765">
          <cell r="E765" t="str">
            <v>Above the Funnel</v>
          </cell>
          <cell r="G765" t="str">
            <v>Open</v>
          </cell>
        </row>
        <row r="766">
          <cell r="E766" t="str">
            <v>In the Funnel</v>
          </cell>
          <cell r="G766" t="str">
            <v>Open</v>
          </cell>
        </row>
        <row r="767">
          <cell r="E767" t="str">
            <v>Unsuccessful</v>
          </cell>
          <cell r="G767" t="str">
            <v>Lost</v>
          </cell>
        </row>
        <row r="768">
          <cell r="E768" t="str">
            <v>In the Funnel</v>
          </cell>
          <cell r="G768" t="str">
            <v>Open</v>
          </cell>
        </row>
        <row r="769">
          <cell r="E769" t="str">
            <v>Above the Funnel</v>
          </cell>
          <cell r="G769" t="str">
            <v>Open</v>
          </cell>
        </row>
        <row r="770">
          <cell r="E770" t="str">
            <v>Best Few</v>
          </cell>
          <cell r="G770" t="str">
            <v>Open</v>
          </cell>
        </row>
        <row r="771">
          <cell r="E771" t="str">
            <v>Best Few</v>
          </cell>
          <cell r="G771" t="str">
            <v>Open</v>
          </cell>
        </row>
        <row r="772">
          <cell r="E772" t="str">
            <v>Above the Funnel</v>
          </cell>
          <cell r="G772" t="str">
            <v>Open</v>
          </cell>
        </row>
        <row r="773">
          <cell r="E773" t="str">
            <v>In the Funnel</v>
          </cell>
          <cell r="G773" t="str">
            <v>Open</v>
          </cell>
        </row>
        <row r="774">
          <cell r="E774" t="str">
            <v>Unsuccessful</v>
          </cell>
          <cell r="G774" t="str">
            <v>Lost</v>
          </cell>
        </row>
        <row r="775">
          <cell r="E775" t="str">
            <v>Unsuccessful</v>
          </cell>
          <cell r="G775" t="str">
            <v>Lost</v>
          </cell>
        </row>
        <row r="776">
          <cell r="E776" t="str">
            <v>Unsuccessful</v>
          </cell>
          <cell r="G776" t="str">
            <v>Lost</v>
          </cell>
        </row>
        <row r="777">
          <cell r="E777" t="str">
            <v>In the Funnel</v>
          </cell>
          <cell r="G777" t="str">
            <v>Open</v>
          </cell>
        </row>
        <row r="778">
          <cell r="E778" t="str">
            <v>Best Few</v>
          </cell>
          <cell r="G778" t="str">
            <v>Open</v>
          </cell>
        </row>
        <row r="779">
          <cell r="E779" t="str">
            <v>Above the Funnel</v>
          </cell>
          <cell r="G779" t="str">
            <v>Open</v>
          </cell>
        </row>
        <row r="780">
          <cell r="E780" t="str">
            <v>In the Funnel</v>
          </cell>
          <cell r="G780" t="str">
            <v>Open</v>
          </cell>
        </row>
        <row r="781">
          <cell r="E781" t="str">
            <v>In the Funnel</v>
          </cell>
          <cell r="G781" t="str">
            <v>Open</v>
          </cell>
        </row>
        <row r="782">
          <cell r="E782" t="str">
            <v>Above the Funnel</v>
          </cell>
          <cell r="G782" t="str">
            <v>Open</v>
          </cell>
        </row>
        <row r="783">
          <cell r="E783" t="str">
            <v>Best Few</v>
          </cell>
          <cell r="G783" t="str">
            <v>Open</v>
          </cell>
        </row>
        <row r="784">
          <cell r="E784" t="str">
            <v>Above the Funnel</v>
          </cell>
          <cell r="G784" t="str">
            <v>Open</v>
          </cell>
        </row>
        <row r="785">
          <cell r="E785" t="str">
            <v>Best Few</v>
          </cell>
          <cell r="G785" t="str">
            <v>Open</v>
          </cell>
        </row>
        <row r="786">
          <cell r="E786" t="str">
            <v>Best Few</v>
          </cell>
          <cell r="G786" t="str">
            <v>Open</v>
          </cell>
        </row>
        <row r="787">
          <cell r="E787" t="str">
            <v>In the Funnel</v>
          </cell>
          <cell r="G787" t="str">
            <v>Open</v>
          </cell>
        </row>
        <row r="788">
          <cell r="E788" t="str">
            <v>Unsuccessful</v>
          </cell>
          <cell r="G788" t="str">
            <v>Lost</v>
          </cell>
        </row>
        <row r="789">
          <cell r="E789" t="str">
            <v>Best Few</v>
          </cell>
          <cell r="G789" t="str">
            <v>Open</v>
          </cell>
        </row>
        <row r="790">
          <cell r="E790" t="str">
            <v>In the Funnel</v>
          </cell>
          <cell r="G790" t="str">
            <v>Open</v>
          </cell>
        </row>
        <row r="791">
          <cell r="E791" t="str">
            <v>Best Few</v>
          </cell>
          <cell r="G791" t="str">
            <v>Open</v>
          </cell>
        </row>
        <row r="792">
          <cell r="E792" t="str">
            <v>Above the Funnel</v>
          </cell>
          <cell r="G792" t="str">
            <v>Open</v>
          </cell>
        </row>
        <row r="793">
          <cell r="E793" t="str">
            <v>In the Funnel</v>
          </cell>
          <cell r="G793" t="str">
            <v>Open</v>
          </cell>
        </row>
        <row r="794">
          <cell r="E794" t="str">
            <v>Best Few</v>
          </cell>
          <cell r="G794" t="str">
            <v>Open</v>
          </cell>
        </row>
        <row r="795">
          <cell r="E795" t="str">
            <v>Above the Funnel</v>
          </cell>
          <cell r="G795" t="str">
            <v>Open</v>
          </cell>
        </row>
        <row r="796">
          <cell r="E796" t="str">
            <v>Best Few</v>
          </cell>
          <cell r="G796" t="str">
            <v>Open</v>
          </cell>
        </row>
        <row r="797">
          <cell r="E797" t="str">
            <v>Best Few</v>
          </cell>
          <cell r="G797" t="str">
            <v>Open</v>
          </cell>
        </row>
        <row r="798">
          <cell r="E798" t="str">
            <v>Best Few</v>
          </cell>
          <cell r="G798" t="str">
            <v>Open</v>
          </cell>
        </row>
        <row r="799">
          <cell r="E799" t="str">
            <v>In the Funnel</v>
          </cell>
          <cell r="G799" t="str">
            <v>Open</v>
          </cell>
        </row>
        <row r="800">
          <cell r="E800" t="str">
            <v>Best Few</v>
          </cell>
          <cell r="G800" t="str">
            <v>Open</v>
          </cell>
        </row>
        <row r="801">
          <cell r="E801" t="str">
            <v>Above the Funnel</v>
          </cell>
          <cell r="G801" t="str">
            <v>Open</v>
          </cell>
        </row>
        <row r="802">
          <cell r="E802" t="str">
            <v>Above the Funnel</v>
          </cell>
          <cell r="G802" t="str">
            <v>Open</v>
          </cell>
        </row>
        <row r="803">
          <cell r="E803" t="str">
            <v>In the Funnel</v>
          </cell>
          <cell r="G803" t="str">
            <v>Open</v>
          </cell>
        </row>
        <row r="804">
          <cell r="E804" t="str">
            <v>Best Few</v>
          </cell>
          <cell r="G804" t="str">
            <v>Open</v>
          </cell>
        </row>
        <row r="805">
          <cell r="E805" t="str">
            <v>Best Few</v>
          </cell>
          <cell r="G805" t="str">
            <v>Open</v>
          </cell>
        </row>
        <row r="806">
          <cell r="E806" t="str">
            <v>Above the Funnel</v>
          </cell>
          <cell r="G806" t="str">
            <v>Open</v>
          </cell>
        </row>
        <row r="807">
          <cell r="E807" t="str">
            <v>Above the Funnel</v>
          </cell>
          <cell r="G807" t="str">
            <v>Open</v>
          </cell>
        </row>
        <row r="808">
          <cell r="E808" t="str">
            <v>Unsuccessful</v>
          </cell>
          <cell r="G808" t="str">
            <v>Lost</v>
          </cell>
        </row>
        <row r="809">
          <cell r="E809" t="str">
            <v>Unsuccessful</v>
          </cell>
          <cell r="G809" t="str">
            <v>Lost</v>
          </cell>
        </row>
        <row r="810">
          <cell r="E810" t="str">
            <v>In the Funnel</v>
          </cell>
          <cell r="G810" t="str">
            <v>Open</v>
          </cell>
        </row>
        <row r="811">
          <cell r="E811" t="str">
            <v>Best Few</v>
          </cell>
          <cell r="G811" t="str">
            <v>Open</v>
          </cell>
        </row>
        <row r="812">
          <cell r="E812" t="str">
            <v>Best Few</v>
          </cell>
          <cell r="G812" t="str">
            <v>Open</v>
          </cell>
        </row>
        <row r="813">
          <cell r="E813" t="str">
            <v>In the Funnel</v>
          </cell>
          <cell r="G813" t="str">
            <v>Open</v>
          </cell>
        </row>
        <row r="814">
          <cell r="E814" t="str">
            <v>In the Funnel</v>
          </cell>
          <cell r="G814" t="str">
            <v>Open</v>
          </cell>
        </row>
        <row r="815">
          <cell r="E815" t="str">
            <v>Best Few</v>
          </cell>
          <cell r="G815" t="str">
            <v>Open</v>
          </cell>
        </row>
        <row r="816">
          <cell r="E816" t="str">
            <v>Best Few</v>
          </cell>
          <cell r="G816" t="str">
            <v>Open</v>
          </cell>
        </row>
        <row r="817">
          <cell r="E817" t="str">
            <v>Above the Funnel</v>
          </cell>
          <cell r="G817" t="str">
            <v>Open</v>
          </cell>
        </row>
        <row r="818">
          <cell r="E818" t="str">
            <v>Best Few</v>
          </cell>
          <cell r="G818" t="str">
            <v>Open</v>
          </cell>
        </row>
        <row r="819">
          <cell r="E819" t="str">
            <v>Best Few</v>
          </cell>
          <cell r="G819" t="str">
            <v>Open</v>
          </cell>
        </row>
        <row r="820">
          <cell r="E820" t="str">
            <v>Above the Funnel</v>
          </cell>
          <cell r="G820" t="str">
            <v>Open</v>
          </cell>
        </row>
        <row r="821">
          <cell r="E821" t="str">
            <v>In the Funnel</v>
          </cell>
          <cell r="G821" t="str">
            <v>Open</v>
          </cell>
        </row>
        <row r="822">
          <cell r="E822" t="str">
            <v>Unsuccessful</v>
          </cell>
          <cell r="G822" t="str">
            <v>Lost</v>
          </cell>
        </row>
        <row r="823">
          <cell r="E823" t="str">
            <v>Above the Funnel</v>
          </cell>
          <cell r="G823" t="str">
            <v>Open</v>
          </cell>
        </row>
        <row r="824">
          <cell r="E824" t="str">
            <v>In the Funnel</v>
          </cell>
          <cell r="G824" t="str">
            <v>Open</v>
          </cell>
        </row>
        <row r="825">
          <cell r="E825" t="str">
            <v>In the Funnel</v>
          </cell>
          <cell r="G825" t="str">
            <v>Open</v>
          </cell>
        </row>
        <row r="826">
          <cell r="E826" t="str">
            <v>Best Few</v>
          </cell>
          <cell r="G826" t="str">
            <v>Open</v>
          </cell>
        </row>
        <row r="827">
          <cell r="E827" t="str">
            <v>Best Few</v>
          </cell>
          <cell r="G827" t="str">
            <v>Open</v>
          </cell>
        </row>
        <row r="828">
          <cell r="E828" t="str">
            <v>Above the Funnel</v>
          </cell>
          <cell r="G828" t="str">
            <v>Open</v>
          </cell>
        </row>
        <row r="829">
          <cell r="E829" t="str">
            <v>Best Few</v>
          </cell>
          <cell r="G829" t="str">
            <v>Open</v>
          </cell>
        </row>
        <row r="830">
          <cell r="E830" t="str">
            <v>Unsuccessful</v>
          </cell>
          <cell r="G830" t="str">
            <v>Lost</v>
          </cell>
        </row>
        <row r="831">
          <cell r="E831" t="str">
            <v>Above the Funnel</v>
          </cell>
          <cell r="G831" t="str">
            <v>Open</v>
          </cell>
        </row>
        <row r="832">
          <cell r="E832" t="str">
            <v>In the Funnel</v>
          </cell>
          <cell r="G832" t="str">
            <v>Open</v>
          </cell>
        </row>
        <row r="833">
          <cell r="E833" t="str">
            <v>Unsuccessful</v>
          </cell>
          <cell r="G833" t="str">
            <v>Lost</v>
          </cell>
        </row>
        <row r="834">
          <cell r="E834" t="str">
            <v>In the Funnel</v>
          </cell>
          <cell r="G834" t="str">
            <v>Open</v>
          </cell>
        </row>
        <row r="835">
          <cell r="E835" t="str">
            <v>Unsuccessful</v>
          </cell>
          <cell r="G835" t="str">
            <v>Lost</v>
          </cell>
        </row>
        <row r="836">
          <cell r="E836" t="str">
            <v>Unsuccessful</v>
          </cell>
          <cell r="G836" t="str">
            <v>Lost</v>
          </cell>
        </row>
        <row r="837">
          <cell r="E837" t="str">
            <v>In the Funnel</v>
          </cell>
          <cell r="G837" t="str">
            <v>Open</v>
          </cell>
        </row>
        <row r="838">
          <cell r="E838" t="str">
            <v>Above the Funnel</v>
          </cell>
          <cell r="G838" t="str">
            <v>Open</v>
          </cell>
        </row>
        <row r="839">
          <cell r="E839" t="str">
            <v>Unsuccessful</v>
          </cell>
          <cell r="G839" t="str">
            <v>Lost</v>
          </cell>
        </row>
        <row r="840">
          <cell r="E840" t="str">
            <v>Unsuccessful</v>
          </cell>
          <cell r="G840" t="str">
            <v>Lost</v>
          </cell>
        </row>
        <row r="841">
          <cell r="E841" t="str">
            <v>Unsuccessful</v>
          </cell>
          <cell r="G841" t="str">
            <v>Lost</v>
          </cell>
        </row>
        <row r="842">
          <cell r="E842" t="str">
            <v>Unsuccessful</v>
          </cell>
          <cell r="G842" t="str">
            <v>Lost</v>
          </cell>
        </row>
        <row r="843">
          <cell r="E843" t="str">
            <v>Unsuccessful</v>
          </cell>
          <cell r="G843" t="str">
            <v>Lost</v>
          </cell>
        </row>
        <row r="844">
          <cell r="E844" t="str">
            <v>Unsuccessful</v>
          </cell>
          <cell r="G844" t="str">
            <v>Lost</v>
          </cell>
        </row>
        <row r="845">
          <cell r="E845" t="str">
            <v>Unsuccessful</v>
          </cell>
          <cell r="G845" t="str">
            <v>Lost</v>
          </cell>
        </row>
        <row r="846">
          <cell r="E846" t="str">
            <v>Unsuccessful</v>
          </cell>
          <cell r="G846" t="str">
            <v>Lost</v>
          </cell>
        </row>
        <row r="847">
          <cell r="E847" t="str">
            <v>Unsuccessful</v>
          </cell>
          <cell r="G847" t="str">
            <v>Lost</v>
          </cell>
        </row>
        <row r="848">
          <cell r="E848" t="str">
            <v>Unsuccessful</v>
          </cell>
          <cell r="G848" t="str">
            <v>Lost</v>
          </cell>
        </row>
        <row r="849">
          <cell r="E849" t="str">
            <v>Unsuccessful</v>
          </cell>
          <cell r="G849" t="str">
            <v>Lost</v>
          </cell>
        </row>
        <row r="850">
          <cell r="E850" t="str">
            <v>Unsuccessful</v>
          </cell>
          <cell r="G850" t="str">
            <v>Lost</v>
          </cell>
        </row>
        <row r="851">
          <cell r="E851" t="str">
            <v>Unsuccessful</v>
          </cell>
          <cell r="G851" t="str">
            <v>Lost</v>
          </cell>
        </row>
        <row r="852">
          <cell r="E852" t="str">
            <v>Unsuccessful</v>
          </cell>
          <cell r="G852" t="str">
            <v>Lost</v>
          </cell>
        </row>
        <row r="853">
          <cell r="E853" t="str">
            <v>Unsuccessful</v>
          </cell>
          <cell r="G853" t="str">
            <v>Lost</v>
          </cell>
        </row>
        <row r="854">
          <cell r="E854" t="str">
            <v>Unsuccessful</v>
          </cell>
          <cell r="G854" t="str">
            <v>Lost</v>
          </cell>
        </row>
        <row r="855">
          <cell r="E855" t="str">
            <v>Unsuccessful</v>
          </cell>
          <cell r="G855" t="str">
            <v>Lost</v>
          </cell>
        </row>
        <row r="856">
          <cell r="E856" t="str">
            <v>Unsuccessful</v>
          </cell>
          <cell r="G856" t="str">
            <v>Lost</v>
          </cell>
        </row>
        <row r="857">
          <cell r="E857" t="str">
            <v>Unsuccessful</v>
          </cell>
          <cell r="G857" t="str">
            <v>Lost</v>
          </cell>
        </row>
        <row r="858">
          <cell r="E858" t="str">
            <v>Unsuccessful</v>
          </cell>
          <cell r="G858" t="str">
            <v>Lost</v>
          </cell>
        </row>
        <row r="859">
          <cell r="E859" t="str">
            <v>Unsuccessful</v>
          </cell>
          <cell r="G859" t="str">
            <v>Lost</v>
          </cell>
        </row>
        <row r="860">
          <cell r="E860" t="str">
            <v>Unsuccessful</v>
          </cell>
          <cell r="G860" t="str">
            <v>Lost</v>
          </cell>
        </row>
        <row r="861">
          <cell r="E861" t="str">
            <v>Unsuccessful</v>
          </cell>
          <cell r="G861" t="str">
            <v>Lost</v>
          </cell>
        </row>
        <row r="862">
          <cell r="E862" t="str">
            <v>Unsuccessful</v>
          </cell>
          <cell r="G862" t="str">
            <v>Lost</v>
          </cell>
        </row>
        <row r="863">
          <cell r="E863" t="str">
            <v>Unsuccessful</v>
          </cell>
          <cell r="G863" t="str">
            <v>Lost</v>
          </cell>
        </row>
        <row r="864">
          <cell r="E864" t="str">
            <v>Unsuccessful</v>
          </cell>
          <cell r="G864" t="str">
            <v>Lost</v>
          </cell>
        </row>
        <row r="865">
          <cell r="E865" t="str">
            <v>Unsuccessful</v>
          </cell>
          <cell r="G865" t="str">
            <v>Lost</v>
          </cell>
        </row>
        <row r="866">
          <cell r="E866" t="str">
            <v>Unsuccessful</v>
          </cell>
          <cell r="G866" t="str">
            <v>Lost</v>
          </cell>
        </row>
        <row r="867">
          <cell r="E867" t="str">
            <v>Unsuccessful</v>
          </cell>
          <cell r="G867" t="str">
            <v>Lost</v>
          </cell>
        </row>
        <row r="868">
          <cell r="E868" t="str">
            <v>Unsuccessful</v>
          </cell>
          <cell r="G868" t="str">
            <v>Lost</v>
          </cell>
        </row>
        <row r="869">
          <cell r="E869" t="str">
            <v>Unsuccessful</v>
          </cell>
          <cell r="G869" t="str">
            <v>Lost</v>
          </cell>
        </row>
        <row r="870">
          <cell r="E870" t="str">
            <v>Unsuccessful</v>
          </cell>
          <cell r="G870" t="str">
            <v>Lost</v>
          </cell>
        </row>
        <row r="871">
          <cell r="E871" t="str">
            <v>Unsuccessful</v>
          </cell>
          <cell r="G871" t="str">
            <v>Lost</v>
          </cell>
        </row>
        <row r="872">
          <cell r="E872" t="str">
            <v>Unsuccessful</v>
          </cell>
          <cell r="G872" t="str">
            <v>Lost</v>
          </cell>
        </row>
        <row r="873">
          <cell r="E873" t="str">
            <v>Unsuccessful</v>
          </cell>
          <cell r="G873" t="str">
            <v>Lost</v>
          </cell>
        </row>
        <row r="874">
          <cell r="E874" t="str">
            <v>Unsuccessful</v>
          </cell>
          <cell r="G874" t="str">
            <v>Lost</v>
          </cell>
        </row>
        <row r="875">
          <cell r="E875" t="str">
            <v>Unsuccessful</v>
          </cell>
          <cell r="G875" t="str">
            <v>Lost</v>
          </cell>
        </row>
        <row r="876">
          <cell r="E876" t="str">
            <v>Unsuccessful</v>
          </cell>
          <cell r="G876" t="str">
            <v>Lost</v>
          </cell>
        </row>
        <row r="877">
          <cell r="E877" t="str">
            <v>Unsuccessful</v>
          </cell>
          <cell r="G877" t="str">
            <v>Lost</v>
          </cell>
        </row>
        <row r="878">
          <cell r="E878" t="str">
            <v>Unsuccessful</v>
          </cell>
          <cell r="G878" t="str">
            <v>Lost</v>
          </cell>
        </row>
        <row r="879">
          <cell r="E879" t="str">
            <v>Unsuccessful</v>
          </cell>
          <cell r="G879" t="str">
            <v>Lost</v>
          </cell>
        </row>
        <row r="880">
          <cell r="E880" t="str">
            <v>Unsuccessful</v>
          </cell>
          <cell r="G880" t="str">
            <v>Lost</v>
          </cell>
        </row>
        <row r="881">
          <cell r="E881" t="str">
            <v>Unsuccessful</v>
          </cell>
          <cell r="G881" t="str">
            <v>Lost</v>
          </cell>
        </row>
        <row r="882">
          <cell r="E882" t="str">
            <v>Unsuccessful</v>
          </cell>
          <cell r="G882" t="str">
            <v>Lost</v>
          </cell>
        </row>
        <row r="883">
          <cell r="E883" t="str">
            <v>Unsuccessful</v>
          </cell>
          <cell r="G883" t="str">
            <v>Lost</v>
          </cell>
        </row>
        <row r="884">
          <cell r="E884" t="str">
            <v>Unsuccessful</v>
          </cell>
          <cell r="G884" t="str">
            <v>Lost</v>
          </cell>
        </row>
        <row r="885">
          <cell r="E885" t="str">
            <v>Unsuccessful</v>
          </cell>
          <cell r="G885" t="str">
            <v>Lost</v>
          </cell>
        </row>
        <row r="886">
          <cell r="E886" t="str">
            <v>Unsuccessful</v>
          </cell>
          <cell r="G886" t="str">
            <v>Lost</v>
          </cell>
        </row>
        <row r="887">
          <cell r="E887" t="str">
            <v>Unsuccessful</v>
          </cell>
          <cell r="G887" t="str">
            <v>Lost</v>
          </cell>
        </row>
        <row r="888">
          <cell r="E888" t="str">
            <v>Unsuccessful</v>
          </cell>
          <cell r="G888" t="str">
            <v>Lost</v>
          </cell>
        </row>
        <row r="889">
          <cell r="E889" t="str">
            <v>Unsuccessful</v>
          </cell>
          <cell r="G889" t="str">
            <v>Lost</v>
          </cell>
        </row>
        <row r="890">
          <cell r="E890" t="str">
            <v>Unsuccessful</v>
          </cell>
          <cell r="G890" t="str">
            <v>Lost</v>
          </cell>
        </row>
        <row r="891">
          <cell r="E891" t="str">
            <v>Unsuccessful</v>
          </cell>
          <cell r="G891" t="str">
            <v>Lost</v>
          </cell>
        </row>
        <row r="892">
          <cell r="E892" t="str">
            <v>Unsuccessful</v>
          </cell>
          <cell r="G892" t="str">
            <v>Lost</v>
          </cell>
        </row>
        <row r="893">
          <cell r="E893" t="str">
            <v>Unsuccessful</v>
          </cell>
          <cell r="G893" t="str">
            <v>Lost</v>
          </cell>
        </row>
        <row r="894">
          <cell r="E894" t="str">
            <v>Unsuccessful</v>
          </cell>
          <cell r="G894" t="str">
            <v>Lost</v>
          </cell>
        </row>
        <row r="895">
          <cell r="E895" t="str">
            <v>Unsuccessful</v>
          </cell>
          <cell r="G895" t="str">
            <v>Lost</v>
          </cell>
        </row>
        <row r="896">
          <cell r="E896" t="str">
            <v>Unsuccessful</v>
          </cell>
          <cell r="G896" t="str">
            <v>Lost</v>
          </cell>
        </row>
        <row r="897">
          <cell r="E897" t="str">
            <v>Unsuccessful</v>
          </cell>
          <cell r="G897" t="str">
            <v>Lost</v>
          </cell>
        </row>
        <row r="898">
          <cell r="E898" t="str">
            <v>Unsuccessful</v>
          </cell>
          <cell r="G898" t="str">
            <v>Lost</v>
          </cell>
        </row>
        <row r="899">
          <cell r="E899" t="str">
            <v>Unsuccessful</v>
          </cell>
          <cell r="G899" t="str">
            <v>Lost</v>
          </cell>
        </row>
        <row r="900">
          <cell r="E900" t="str">
            <v>Unsuccessful</v>
          </cell>
          <cell r="G900" t="str">
            <v>Lost</v>
          </cell>
        </row>
        <row r="901">
          <cell r="E901" t="str">
            <v>Unsuccessful</v>
          </cell>
          <cell r="G901" t="str">
            <v>Lost</v>
          </cell>
        </row>
        <row r="902">
          <cell r="E902" t="str">
            <v>Unsuccessful</v>
          </cell>
          <cell r="G902" t="str">
            <v>Lost</v>
          </cell>
        </row>
        <row r="903">
          <cell r="E903" t="str">
            <v>Unsuccessful</v>
          </cell>
          <cell r="G903" t="str">
            <v>Lost</v>
          </cell>
        </row>
        <row r="904">
          <cell r="E904" t="str">
            <v>Booked</v>
          </cell>
          <cell r="G904" t="str">
            <v>Won</v>
          </cell>
        </row>
        <row r="905">
          <cell r="E905" t="str">
            <v>Booked</v>
          </cell>
          <cell r="G905" t="str">
            <v>Won</v>
          </cell>
        </row>
        <row r="906">
          <cell r="E906" t="str">
            <v>Sold Not Booked</v>
          </cell>
          <cell r="G906" t="str">
            <v>Won</v>
          </cell>
        </row>
        <row r="907">
          <cell r="E907" t="str">
            <v>Booked</v>
          </cell>
          <cell r="G907" t="str">
            <v>Won</v>
          </cell>
        </row>
        <row r="908">
          <cell r="E908" t="str">
            <v>Booked</v>
          </cell>
          <cell r="G908" t="str">
            <v>Won</v>
          </cell>
        </row>
        <row r="909">
          <cell r="E909" t="str">
            <v>Booked</v>
          </cell>
          <cell r="G909" t="str">
            <v>Won</v>
          </cell>
        </row>
        <row r="910">
          <cell r="E910" t="str">
            <v>Booked</v>
          </cell>
          <cell r="G910" t="str">
            <v>Won</v>
          </cell>
        </row>
        <row r="911">
          <cell r="E911" t="str">
            <v>Sold Not Booked</v>
          </cell>
          <cell r="G911" t="str">
            <v>Won</v>
          </cell>
        </row>
        <row r="912">
          <cell r="E912" t="str">
            <v>Booked</v>
          </cell>
          <cell r="G912" t="str">
            <v>Won</v>
          </cell>
        </row>
        <row r="913">
          <cell r="E913" t="str">
            <v>Booked</v>
          </cell>
          <cell r="G913" t="str">
            <v>Won</v>
          </cell>
        </row>
        <row r="914">
          <cell r="E914" t="str">
            <v>Booked</v>
          </cell>
          <cell r="G914" t="str">
            <v>Won</v>
          </cell>
        </row>
        <row r="915">
          <cell r="E915" t="str">
            <v>Sold Not Booked</v>
          </cell>
          <cell r="G915" t="str">
            <v>Won</v>
          </cell>
        </row>
        <row r="916">
          <cell r="E916" t="str">
            <v>Booked</v>
          </cell>
          <cell r="G916" t="str">
            <v>Won</v>
          </cell>
        </row>
        <row r="917">
          <cell r="E917" t="str">
            <v>Booked</v>
          </cell>
          <cell r="G917" t="str">
            <v>Won</v>
          </cell>
        </row>
        <row r="918">
          <cell r="E918" t="str">
            <v>Booked</v>
          </cell>
          <cell r="G918" t="str">
            <v>Won</v>
          </cell>
        </row>
        <row r="919">
          <cell r="E919" t="str">
            <v>Sold Not Booked</v>
          </cell>
          <cell r="G919" t="str">
            <v>Won</v>
          </cell>
        </row>
        <row r="920">
          <cell r="E920" t="str">
            <v>Booked</v>
          </cell>
          <cell r="G920" t="str">
            <v>Won</v>
          </cell>
        </row>
        <row r="921">
          <cell r="E921" t="str">
            <v>Sold Not Booked</v>
          </cell>
          <cell r="G921" t="str">
            <v>Won</v>
          </cell>
        </row>
        <row r="922">
          <cell r="E922" t="str">
            <v>Booked</v>
          </cell>
          <cell r="G922" t="str">
            <v>Won</v>
          </cell>
        </row>
        <row r="923">
          <cell r="E923" t="str">
            <v>Booked</v>
          </cell>
          <cell r="G923" t="str">
            <v>Won</v>
          </cell>
        </row>
        <row r="924">
          <cell r="E924" t="str">
            <v>Sold Not Booked</v>
          </cell>
          <cell r="G924" t="str">
            <v>Won</v>
          </cell>
        </row>
        <row r="925">
          <cell r="E925" t="str">
            <v>Booked</v>
          </cell>
          <cell r="G925" t="str">
            <v>Won</v>
          </cell>
        </row>
        <row r="926">
          <cell r="E926" t="str">
            <v>Sold Not Booked</v>
          </cell>
          <cell r="G926" t="str">
            <v>Won</v>
          </cell>
        </row>
        <row r="927">
          <cell r="E927" t="str">
            <v>Sold Not Booked</v>
          </cell>
          <cell r="G927" t="str">
            <v>Won</v>
          </cell>
        </row>
        <row r="928">
          <cell r="E928" t="str">
            <v>Sold Not Booked</v>
          </cell>
          <cell r="G928" t="str">
            <v>Won</v>
          </cell>
        </row>
        <row r="929">
          <cell r="E929" t="str">
            <v>Sold Not Booked</v>
          </cell>
          <cell r="G929" t="str">
            <v>Won</v>
          </cell>
        </row>
        <row r="930">
          <cell r="E930" t="str">
            <v>Booked</v>
          </cell>
          <cell r="G930" t="str">
            <v>Won</v>
          </cell>
        </row>
        <row r="931">
          <cell r="E931" t="str">
            <v>Sold Not Booked</v>
          </cell>
          <cell r="G931" t="str">
            <v>Won</v>
          </cell>
        </row>
        <row r="932">
          <cell r="E932" t="str">
            <v>Sold Not Booked</v>
          </cell>
          <cell r="G932" t="str">
            <v>Won</v>
          </cell>
        </row>
        <row r="933">
          <cell r="E933" t="str">
            <v>Booked</v>
          </cell>
          <cell r="G933" t="str">
            <v>Won</v>
          </cell>
        </row>
        <row r="934">
          <cell r="E934" t="str">
            <v>Sold Not Booked</v>
          </cell>
          <cell r="G934" t="str">
            <v>Won</v>
          </cell>
        </row>
        <row r="935">
          <cell r="E935" t="str">
            <v>Booked</v>
          </cell>
          <cell r="G935" t="str">
            <v>Won</v>
          </cell>
        </row>
        <row r="936">
          <cell r="E936" t="str">
            <v>Booked</v>
          </cell>
          <cell r="G936" t="str">
            <v>Won</v>
          </cell>
        </row>
        <row r="937">
          <cell r="E937" t="str">
            <v>Booked</v>
          </cell>
          <cell r="G937" t="str">
            <v>Won</v>
          </cell>
        </row>
        <row r="938">
          <cell r="E938" t="str">
            <v>Sold Not Booked</v>
          </cell>
          <cell r="G938" t="str">
            <v>Won</v>
          </cell>
        </row>
        <row r="939">
          <cell r="E939" t="str">
            <v>Sold Not Booked</v>
          </cell>
          <cell r="G939" t="str">
            <v>Won</v>
          </cell>
        </row>
        <row r="940">
          <cell r="E940" t="str">
            <v>Booked</v>
          </cell>
          <cell r="G940" t="str">
            <v>Won</v>
          </cell>
        </row>
        <row r="941">
          <cell r="E941" t="str">
            <v>Booked</v>
          </cell>
          <cell r="G941" t="str">
            <v>Won</v>
          </cell>
        </row>
        <row r="942">
          <cell r="E942" t="str">
            <v>Sold Not Booked</v>
          </cell>
          <cell r="G942" t="str">
            <v>Won</v>
          </cell>
        </row>
        <row r="943">
          <cell r="E943" t="str">
            <v>Sold Not Booked</v>
          </cell>
          <cell r="G943" t="str">
            <v>Won</v>
          </cell>
        </row>
        <row r="944">
          <cell r="E944" t="str">
            <v>Booked</v>
          </cell>
          <cell r="G944" t="str">
            <v>Won</v>
          </cell>
        </row>
        <row r="945">
          <cell r="E945" t="str">
            <v>Booked</v>
          </cell>
          <cell r="G945" t="str">
            <v>Won</v>
          </cell>
        </row>
        <row r="946">
          <cell r="E946" t="str">
            <v>Booked</v>
          </cell>
          <cell r="G946" t="str">
            <v>Won</v>
          </cell>
        </row>
        <row r="947">
          <cell r="E947" t="str">
            <v>Sold Not Booked</v>
          </cell>
          <cell r="G947" t="str">
            <v>Won</v>
          </cell>
        </row>
        <row r="948">
          <cell r="E948" t="str">
            <v>Sold Not Booked</v>
          </cell>
          <cell r="G948" t="str">
            <v>Won</v>
          </cell>
        </row>
        <row r="949">
          <cell r="E949" t="str">
            <v>Sold Not Booked</v>
          </cell>
          <cell r="G949" t="str">
            <v>Won</v>
          </cell>
        </row>
        <row r="950">
          <cell r="E950" t="str">
            <v>Booked</v>
          </cell>
          <cell r="G950" t="str">
            <v>Won</v>
          </cell>
        </row>
        <row r="951">
          <cell r="E951" t="str">
            <v>Booked</v>
          </cell>
          <cell r="G951" t="str">
            <v>Won</v>
          </cell>
        </row>
        <row r="952">
          <cell r="E952" t="str">
            <v>Booked</v>
          </cell>
          <cell r="G952" t="str">
            <v>Won</v>
          </cell>
        </row>
        <row r="953">
          <cell r="E953" t="str">
            <v>Booked</v>
          </cell>
          <cell r="G953" t="str">
            <v>Won</v>
          </cell>
        </row>
        <row r="954">
          <cell r="E954" t="str">
            <v>Sold Not Booked</v>
          </cell>
          <cell r="G954" t="str">
            <v>Won</v>
          </cell>
        </row>
        <row r="955">
          <cell r="E955" t="str">
            <v>Booked</v>
          </cell>
          <cell r="G955" t="str">
            <v>Won</v>
          </cell>
        </row>
        <row r="956">
          <cell r="E956" t="str">
            <v>Sold Not Booked</v>
          </cell>
          <cell r="G956" t="str">
            <v>Won</v>
          </cell>
        </row>
        <row r="957">
          <cell r="E957" t="str">
            <v>Sold Not Booked</v>
          </cell>
          <cell r="G957" t="str">
            <v>Won</v>
          </cell>
        </row>
        <row r="958">
          <cell r="E958" t="str">
            <v>Sold Not Booked</v>
          </cell>
          <cell r="G958" t="str">
            <v>Won</v>
          </cell>
        </row>
        <row r="959">
          <cell r="E959" t="str">
            <v>Sold Not Booked</v>
          </cell>
          <cell r="G959" t="str">
            <v>Won</v>
          </cell>
        </row>
        <row r="960">
          <cell r="E960" t="str">
            <v>Booked</v>
          </cell>
          <cell r="G960" t="str">
            <v>Won</v>
          </cell>
        </row>
        <row r="961">
          <cell r="E961" t="str">
            <v>Booked</v>
          </cell>
          <cell r="G961" t="str">
            <v>Won</v>
          </cell>
        </row>
        <row r="962">
          <cell r="E962" t="str">
            <v>Booked</v>
          </cell>
          <cell r="G962" t="str">
            <v>Won</v>
          </cell>
        </row>
        <row r="963">
          <cell r="E963" t="str">
            <v>Booked</v>
          </cell>
          <cell r="G963" t="str">
            <v>Won</v>
          </cell>
        </row>
        <row r="964">
          <cell r="E964" t="str">
            <v>Booked</v>
          </cell>
          <cell r="G964" t="str">
            <v>Won</v>
          </cell>
        </row>
        <row r="965">
          <cell r="E965" t="str">
            <v>Sold Not Booked</v>
          </cell>
          <cell r="G965" t="str">
            <v>Won</v>
          </cell>
        </row>
        <row r="966">
          <cell r="E966" t="str">
            <v>Booked</v>
          </cell>
          <cell r="G966" t="str">
            <v>Won</v>
          </cell>
        </row>
        <row r="967">
          <cell r="E967" t="str">
            <v>Sold Not Booked</v>
          </cell>
          <cell r="G967" t="str">
            <v>Won</v>
          </cell>
        </row>
        <row r="968">
          <cell r="E968" t="str">
            <v>Sold Not Booked</v>
          </cell>
          <cell r="G968" t="str">
            <v>Won</v>
          </cell>
        </row>
        <row r="969">
          <cell r="E969" t="str">
            <v>Sold Not Booked</v>
          </cell>
          <cell r="G969" t="str">
            <v>Won</v>
          </cell>
        </row>
        <row r="970">
          <cell r="E970" t="str">
            <v>Sold Not Booked</v>
          </cell>
          <cell r="G970" t="str">
            <v>Won</v>
          </cell>
        </row>
        <row r="971">
          <cell r="E971" t="str">
            <v>Booked</v>
          </cell>
          <cell r="G971" t="str">
            <v>Won</v>
          </cell>
        </row>
        <row r="972">
          <cell r="E972" t="str">
            <v>Booked</v>
          </cell>
          <cell r="G972" t="str">
            <v>Won</v>
          </cell>
        </row>
        <row r="973">
          <cell r="E973" t="str">
            <v>Sold Not Booked</v>
          </cell>
          <cell r="G973" t="str">
            <v>Won</v>
          </cell>
        </row>
        <row r="974">
          <cell r="E974" t="str">
            <v>Booked</v>
          </cell>
          <cell r="G974" t="str">
            <v>Won</v>
          </cell>
        </row>
        <row r="975">
          <cell r="E975" t="str">
            <v>Booked</v>
          </cell>
          <cell r="G975" t="str">
            <v>Won</v>
          </cell>
        </row>
        <row r="976">
          <cell r="E976" t="str">
            <v>Booked</v>
          </cell>
          <cell r="G976" t="str">
            <v>Won</v>
          </cell>
        </row>
        <row r="977">
          <cell r="E977" t="str">
            <v>Booked</v>
          </cell>
          <cell r="G977" t="str">
            <v>Won</v>
          </cell>
        </row>
        <row r="978">
          <cell r="E978" t="str">
            <v>Booked</v>
          </cell>
          <cell r="G978" t="str">
            <v>Won</v>
          </cell>
        </row>
        <row r="979">
          <cell r="E979" t="str">
            <v>Sold Not Booked</v>
          </cell>
          <cell r="G979" t="str">
            <v>Won</v>
          </cell>
        </row>
        <row r="980">
          <cell r="E980" t="str">
            <v>Booked</v>
          </cell>
          <cell r="G980" t="str">
            <v>Won</v>
          </cell>
        </row>
        <row r="981">
          <cell r="E981" t="str">
            <v>Booked</v>
          </cell>
          <cell r="G981" t="str">
            <v>Won</v>
          </cell>
        </row>
        <row r="982">
          <cell r="E982" t="str">
            <v>Booked</v>
          </cell>
          <cell r="G982" t="str">
            <v>Won</v>
          </cell>
        </row>
        <row r="983">
          <cell r="E983" t="str">
            <v>Sold Not Booked</v>
          </cell>
          <cell r="G983" t="str">
            <v>Won</v>
          </cell>
        </row>
        <row r="984">
          <cell r="E984" t="str">
            <v>Booked</v>
          </cell>
          <cell r="G984" t="str">
            <v>Won</v>
          </cell>
        </row>
        <row r="985">
          <cell r="E985" t="str">
            <v>Booked</v>
          </cell>
          <cell r="G985" t="str">
            <v>Won</v>
          </cell>
        </row>
        <row r="986">
          <cell r="E986" t="str">
            <v>Sold Not Booked</v>
          </cell>
          <cell r="G986" t="str">
            <v>Won</v>
          </cell>
        </row>
        <row r="987">
          <cell r="E987" t="str">
            <v>Sold Not Booked</v>
          </cell>
          <cell r="G987" t="str">
            <v>Won</v>
          </cell>
        </row>
        <row r="988">
          <cell r="E988" t="str">
            <v>Booked</v>
          </cell>
          <cell r="G988" t="str">
            <v>Won</v>
          </cell>
        </row>
        <row r="989">
          <cell r="E989" t="str">
            <v>Sold Not Booked</v>
          </cell>
          <cell r="G989" t="str">
            <v>Won</v>
          </cell>
        </row>
        <row r="990">
          <cell r="E990" t="str">
            <v>Booked</v>
          </cell>
          <cell r="G990" t="str">
            <v>Won</v>
          </cell>
        </row>
        <row r="991">
          <cell r="E991" t="str">
            <v>Sold Not Booked</v>
          </cell>
          <cell r="G991" t="str">
            <v>Won</v>
          </cell>
        </row>
        <row r="992">
          <cell r="E992" t="str">
            <v>Booked</v>
          </cell>
          <cell r="G992" t="str">
            <v>Won</v>
          </cell>
        </row>
        <row r="993">
          <cell r="E993" t="str">
            <v>Sold Not Booked</v>
          </cell>
          <cell r="G993" t="str">
            <v>Won</v>
          </cell>
        </row>
        <row r="994">
          <cell r="E994" t="str">
            <v>Booked</v>
          </cell>
          <cell r="G994" t="str">
            <v>Won</v>
          </cell>
        </row>
        <row r="995">
          <cell r="E995" t="str">
            <v>Sold Not Booked</v>
          </cell>
          <cell r="G995" t="str">
            <v>Won</v>
          </cell>
        </row>
        <row r="996">
          <cell r="E996" t="str">
            <v>Sold Not Booked</v>
          </cell>
          <cell r="G996" t="str">
            <v>Won</v>
          </cell>
        </row>
        <row r="997">
          <cell r="E997" t="str">
            <v>Booked</v>
          </cell>
          <cell r="G997" t="str">
            <v>Won</v>
          </cell>
        </row>
        <row r="998">
          <cell r="E998" t="str">
            <v>Sold Not Booked</v>
          </cell>
          <cell r="G998" t="str">
            <v>Won</v>
          </cell>
        </row>
        <row r="999">
          <cell r="E999" t="str">
            <v>Booked</v>
          </cell>
          <cell r="G999" t="str">
            <v>Won</v>
          </cell>
        </row>
        <row r="1000">
          <cell r="E1000" t="str">
            <v>Sold Not Booked</v>
          </cell>
          <cell r="G1000" t="str">
            <v>Won</v>
          </cell>
        </row>
        <row r="1001">
          <cell r="E1001" t="str">
            <v>Sold Not Booked</v>
          </cell>
          <cell r="G1001" t="str">
            <v>Won</v>
          </cell>
        </row>
        <row r="1002">
          <cell r="E1002" t="str">
            <v>Booked</v>
          </cell>
          <cell r="G1002" t="str">
            <v>Won</v>
          </cell>
        </row>
        <row r="1003">
          <cell r="E1003" t="str">
            <v>Booked</v>
          </cell>
          <cell r="G1003" t="str">
            <v>Won</v>
          </cell>
        </row>
        <row r="1004">
          <cell r="E1004" t="str">
            <v>Sold Not Booked</v>
          </cell>
          <cell r="G1004" t="str">
            <v>Won</v>
          </cell>
        </row>
        <row r="1005">
          <cell r="E1005" t="str">
            <v>Sold Not Booked</v>
          </cell>
          <cell r="G1005" t="str">
            <v>Won</v>
          </cell>
        </row>
        <row r="1006">
          <cell r="E1006" t="str">
            <v>Booked</v>
          </cell>
          <cell r="G1006" t="str">
            <v>Won</v>
          </cell>
        </row>
        <row r="1007">
          <cell r="E1007" t="str">
            <v>Sold Not Booked</v>
          </cell>
          <cell r="G1007" t="str">
            <v>Won</v>
          </cell>
        </row>
        <row r="1008">
          <cell r="E1008" t="str">
            <v>Booked</v>
          </cell>
          <cell r="G1008" t="str">
            <v>Won</v>
          </cell>
        </row>
        <row r="1009">
          <cell r="E1009" t="str">
            <v>Sold Not Booked</v>
          </cell>
          <cell r="G1009" t="str">
            <v>Won</v>
          </cell>
        </row>
        <row r="1010">
          <cell r="E1010" t="str">
            <v>Booked</v>
          </cell>
          <cell r="G1010" t="str">
            <v>Won</v>
          </cell>
        </row>
        <row r="1011">
          <cell r="E1011" t="str">
            <v>Sold Not Booked</v>
          </cell>
          <cell r="G1011" t="str">
            <v>Won</v>
          </cell>
        </row>
        <row r="1012">
          <cell r="E1012" t="str">
            <v>Booked</v>
          </cell>
          <cell r="G1012" t="str">
            <v>Won</v>
          </cell>
        </row>
        <row r="1013">
          <cell r="E1013" t="str">
            <v>Sold Not Booked</v>
          </cell>
          <cell r="G1013" t="str">
            <v>Won</v>
          </cell>
        </row>
        <row r="1014">
          <cell r="E1014" t="str">
            <v>Booked</v>
          </cell>
          <cell r="G1014" t="str">
            <v>Won</v>
          </cell>
        </row>
        <row r="1015">
          <cell r="E1015" t="str">
            <v>Booked</v>
          </cell>
          <cell r="G1015" t="str">
            <v>Won</v>
          </cell>
        </row>
        <row r="1016">
          <cell r="E1016" t="str">
            <v>Sold Not Booked</v>
          </cell>
          <cell r="G1016" t="str">
            <v>Won</v>
          </cell>
        </row>
        <row r="1017">
          <cell r="E1017" t="str">
            <v>Sold Not Booked</v>
          </cell>
          <cell r="G1017" t="str">
            <v>Won</v>
          </cell>
        </row>
        <row r="1018">
          <cell r="E1018" t="str">
            <v>Booked</v>
          </cell>
          <cell r="G1018" t="str">
            <v>Won</v>
          </cell>
        </row>
        <row r="1019">
          <cell r="E1019" t="str">
            <v>Sold Not Booked</v>
          </cell>
          <cell r="G1019" t="str">
            <v>Won</v>
          </cell>
        </row>
        <row r="1020">
          <cell r="E1020" t="str">
            <v>Booked</v>
          </cell>
          <cell r="G1020" t="str">
            <v>Won</v>
          </cell>
        </row>
        <row r="1021">
          <cell r="E1021" t="str">
            <v>Sold Not Booked</v>
          </cell>
          <cell r="G1021" t="str">
            <v>Won</v>
          </cell>
        </row>
        <row r="1022">
          <cell r="E1022" t="str">
            <v>Sold Not Booked</v>
          </cell>
          <cell r="G1022" t="str">
            <v>Won</v>
          </cell>
        </row>
        <row r="1023">
          <cell r="E1023" t="str">
            <v>Booked</v>
          </cell>
          <cell r="G1023" t="str">
            <v>Won</v>
          </cell>
        </row>
        <row r="1024">
          <cell r="E1024" t="str">
            <v>Booked</v>
          </cell>
          <cell r="G1024" t="str">
            <v>Won</v>
          </cell>
        </row>
        <row r="1025">
          <cell r="E1025" t="str">
            <v>Sold Not Booked</v>
          </cell>
          <cell r="G1025" t="str">
            <v>Won</v>
          </cell>
        </row>
        <row r="1026">
          <cell r="E1026" t="str">
            <v>Sold Not Booked</v>
          </cell>
          <cell r="G1026" t="str">
            <v>Won</v>
          </cell>
        </row>
        <row r="1027">
          <cell r="E1027" t="str">
            <v>Booked</v>
          </cell>
          <cell r="G1027" t="str">
            <v>Won</v>
          </cell>
        </row>
        <row r="1028">
          <cell r="E1028" t="str">
            <v>Booked</v>
          </cell>
          <cell r="G1028" t="str">
            <v>Won</v>
          </cell>
        </row>
        <row r="1029">
          <cell r="E1029" t="str">
            <v>Sold Not Booked</v>
          </cell>
          <cell r="G1029" t="str">
            <v>Won</v>
          </cell>
        </row>
        <row r="1030">
          <cell r="E1030" t="str">
            <v>Booked</v>
          </cell>
          <cell r="G1030" t="str">
            <v>Won</v>
          </cell>
        </row>
        <row r="1031">
          <cell r="E1031" t="str">
            <v>Booked</v>
          </cell>
          <cell r="G1031" t="str">
            <v>Won</v>
          </cell>
        </row>
        <row r="1032">
          <cell r="E1032" t="str">
            <v>Booked</v>
          </cell>
          <cell r="G1032" t="str">
            <v>Won</v>
          </cell>
        </row>
        <row r="1033">
          <cell r="E1033" t="str">
            <v>Sold Not Booked</v>
          </cell>
          <cell r="G1033" t="str">
            <v>Won</v>
          </cell>
        </row>
        <row r="1034">
          <cell r="E1034" t="str">
            <v>Booked</v>
          </cell>
          <cell r="G1034" t="str">
            <v>Won</v>
          </cell>
        </row>
        <row r="1035">
          <cell r="E1035" t="str">
            <v>Sold Not Booked</v>
          </cell>
          <cell r="G1035" t="str">
            <v>Won</v>
          </cell>
        </row>
        <row r="1036">
          <cell r="E1036" t="str">
            <v>Booked</v>
          </cell>
          <cell r="G1036" t="str">
            <v>Won</v>
          </cell>
        </row>
        <row r="1037">
          <cell r="E1037" t="str">
            <v>Sold Not Booked</v>
          </cell>
          <cell r="G1037" t="str">
            <v>Won</v>
          </cell>
        </row>
        <row r="1038">
          <cell r="E1038" t="str">
            <v>Sold Not Booked</v>
          </cell>
          <cell r="G1038" t="str">
            <v>Won</v>
          </cell>
        </row>
        <row r="1039">
          <cell r="E1039" t="str">
            <v>Booked</v>
          </cell>
          <cell r="G1039" t="str">
            <v>Won</v>
          </cell>
        </row>
        <row r="1040">
          <cell r="E1040" t="str">
            <v>Sold Not Booked</v>
          </cell>
          <cell r="G1040" t="str">
            <v>Won</v>
          </cell>
        </row>
        <row r="1041">
          <cell r="E1041" t="str">
            <v>Booked</v>
          </cell>
          <cell r="G1041" t="str">
            <v>Won</v>
          </cell>
        </row>
        <row r="1042">
          <cell r="E1042" t="str">
            <v>Booked</v>
          </cell>
          <cell r="G1042" t="str">
            <v>Won</v>
          </cell>
        </row>
        <row r="1043">
          <cell r="E1043" t="str">
            <v>Sold Not Booked</v>
          </cell>
          <cell r="G1043" t="str">
            <v>Won</v>
          </cell>
        </row>
        <row r="1044">
          <cell r="E1044" t="str">
            <v>Booked</v>
          </cell>
          <cell r="G1044" t="str">
            <v>Won</v>
          </cell>
        </row>
        <row r="1045">
          <cell r="E1045" t="str">
            <v>Booked</v>
          </cell>
          <cell r="G1045" t="str">
            <v>Won</v>
          </cell>
        </row>
        <row r="1046">
          <cell r="E1046" t="str">
            <v>Sold Not Booked</v>
          </cell>
          <cell r="G1046" t="str">
            <v>Won</v>
          </cell>
        </row>
        <row r="1047">
          <cell r="E1047" t="str">
            <v>Sold Not Booked</v>
          </cell>
          <cell r="G1047" t="str">
            <v>Won</v>
          </cell>
        </row>
        <row r="1048">
          <cell r="E1048" t="str">
            <v>Sold Not Booked</v>
          </cell>
          <cell r="G1048" t="str">
            <v>Won</v>
          </cell>
        </row>
        <row r="1049">
          <cell r="E1049" t="str">
            <v>Sold Not Booked</v>
          </cell>
          <cell r="G1049" t="str">
            <v>Won</v>
          </cell>
        </row>
        <row r="1050">
          <cell r="E1050" t="str">
            <v>Unsuccessful</v>
          </cell>
          <cell r="G1050" t="str">
            <v>Lost</v>
          </cell>
        </row>
        <row r="1051">
          <cell r="E1051" t="str">
            <v>Unsuccessful</v>
          </cell>
          <cell r="G1051" t="str">
            <v>Lost</v>
          </cell>
        </row>
        <row r="1052">
          <cell r="E1052" t="str">
            <v>Sold Not Booked</v>
          </cell>
          <cell r="G1052" t="str">
            <v>Won</v>
          </cell>
        </row>
        <row r="1053">
          <cell r="E1053" t="str">
            <v>Sold Not Booked</v>
          </cell>
          <cell r="G1053" t="str">
            <v>Won</v>
          </cell>
        </row>
        <row r="1054">
          <cell r="E1054" t="str">
            <v>Sold Not Booked</v>
          </cell>
          <cell r="G1054" t="str">
            <v>Won</v>
          </cell>
        </row>
        <row r="1055">
          <cell r="E1055" t="str">
            <v>Booked</v>
          </cell>
          <cell r="G1055" t="str">
            <v>Won</v>
          </cell>
        </row>
        <row r="1056">
          <cell r="E1056" t="str">
            <v>Sold Not Booked</v>
          </cell>
          <cell r="G1056" t="str">
            <v>Won</v>
          </cell>
        </row>
        <row r="1057">
          <cell r="E1057" t="str">
            <v>Unsuccessful</v>
          </cell>
          <cell r="G1057" t="str">
            <v>Lost</v>
          </cell>
        </row>
        <row r="1058">
          <cell r="E1058" t="str">
            <v>Booked</v>
          </cell>
          <cell r="G1058" t="str">
            <v>Won</v>
          </cell>
        </row>
        <row r="1059">
          <cell r="E1059" t="str">
            <v>Booked</v>
          </cell>
          <cell r="G1059" t="str">
            <v>Won</v>
          </cell>
        </row>
        <row r="1060">
          <cell r="E1060" t="str">
            <v>Sold Not Booked</v>
          </cell>
          <cell r="G1060" t="str">
            <v>Won</v>
          </cell>
        </row>
        <row r="1061">
          <cell r="E1061" t="str">
            <v>Unsuccessful</v>
          </cell>
          <cell r="G1061" t="str">
            <v>Lost</v>
          </cell>
        </row>
        <row r="1062">
          <cell r="E1062" t="str">
            <v>Sold Not Booked</v>
          </cell>
          <cell r="G1062" t="str">
            <v>Won</v>
          </cell>
        </row>
        <row r="1063">
          <cell r="E1063" t="str">
            <v>Booked</v>
          </cell>
          <cell r="G1063" t="str">
            <v>Won</v>
          </cell>
        </row>
        <row r="1064">
          <cell r="E1064" t="str">
            <v>Sold Not Booked</v>
          </cell>
          <cell r="G1064" t="str">
            <v>Won</v>
          </cell>
        </row>
        <row r="1065">
          <cell r="E1065" t="str">
            <v>Sold Not Booked</v>
          </cell>
          <cell r="G1065" t="str">
            <v>Won</v>
          </cell>
        </row>
        <row r="1066">
          <cell r="E1066" t="str">
            <v>Booked</v>
          </cell>
          <cell r="G1066" t="str">
            <v>Won</v>
          </cell>
        </row>
        <row r="1067">
          <cell r="E1067" t="str">
            <v>Sold Not Booked</v>
          </cell>
          <cell r="G1067" t="str">
            <v>Won</v>
          </cell>
        </row>
        <row r="1068">
          <cell r="E1068" t="str">
            <v>Sold Not Booked</v>
          </cell>
          <cell r="G1068" t="str">
            <v>Won</v>
          </cell>
        </row>
        <row r="1069">
          <cell r="E1069" t="str">
            <v>Booked</v>
          </cell>
          <cell r="G1069" t="str">
            <v>Won</v>
          </cell>
        </row>
        <row r="1070">
          <cell r="E1070" t="str">
            <v>Sold Not Booked</v>
          </cell>
          <cell r="G1070" t="str">
            <v>Won</v>
          </cell>
        </row>
        <row r="1071">
          <cell r="E1071" t="str">
            <v>Sold Not Booked</v>
          </cell>
          <cell r="G1071" t="str">
            <v>Won</v>
          </cell>
        </row>
        <row r="1072">
          <cell r="E1072" t="str">
            <v>Booked</v>
          </cell>
          <cell r="G1072" t="str">
            <v>Won</v>
          </cell>
        </row>
        <row r="1073">
          <cell r="E1073" t="str">
            <v>Sold Not Booked</v>
          </cell>
          <cell r="G1073" t="str">
            <v>Won</v>
          </cell>
        </row>
        <row r="1074">
          <cell r="E1074" t="str">
            <v>Booked</v>
          </cell>
          <cell r="G1074" t="str">
            <v>Won</v>
          </cell>
        </row>
        <row r="1075">
          <cell r="E1075" t="str">
            <v>Sold Not Booked</v>
          </cell>
          <cell r="G1075" t="str">
            <v>Won</v>
          </cell>
        </row>
        <row r="1076">
          <cell r="E1076" t="str">
            <v>Unsuccessful</v>
          </cell>
          <cell r="G1076" t="str">
            <v>Lost</v>
          </cell>
        </row>
        <row r="1077">
          <cell r="E1077" t="str">
            <v>Booked</v>
          </cell>
          <cell r="G1077" t="str">
            <v>Won</v>
          </cell>
        </row>
        <row r="1078">
          <cell r="E1078" t="str">
            <v>Booked</v>
          </cell>
          <cell r="G1078" t="str">
            <v>Won</v>
          </cell>
        </row>
        <row r="1079">
          <cell r="E1079" t="str">
            <v>Sold Not Booked</v>
          </cell>
          <cell r="G1079" t="str">
            <v>Won</v>
          </cell>
        </row>
        <row r="1080">
          <cell r="E1080" t="str">
            <v>Booked</v>
          </cell>
          <cell r="G1080" t="str">
            <v>Won</v>
          </cell>
        </row>
        <row r="1081">
          <cell r="E1081" t="str">
            <v>Booked</v>
          </cell>
          <cell r="G1081" t="str">
            <v>Won</v>
          </cell>
        </row>
        <row r="1082">
          <cell r="E1082" t="str">
            <v>Unsuccessful</v>
          </cell>
          <cell r="G1082" t="str">
            <v>Lost</v>
          </cell>
        </row>
        <row r="1083">
          <cell r="E1083" t="str">
            <v>Sold Not Booked</v>
          </cell>
          <cell r="G1083" t="str">
            <v>Won</v>
          </cell>
        </row>
        <row r="1084">
          <cell r="E1084" t="str">
            <v>Sold Not Booked</v>
          </cell>
          <cell r="G1084" t="str">
            <v>Won</v>
          </cell>
        </row>
        <row r="1085">
          <cell r="E1085" t="str">
            <v>Sold Not Booked</v>
          </cell>
          <cell r="G1085" t="str">
            <v>Won</v>
          </cell>
        </row>
        <row r="1086">
          <cell r="E1086" t="str">
            <v>Booked</v>
          </cell>
          <cell r="G1086" t="str">
            <v>Won</v>
          </cell>
        </row>
        <row r="1087">
          <cell r="E1087" t="str">
            <v>Booked</v>
          </cell>
          <cell r="G1087" t="str">
            <v>Won</v>
          </cell>
        </row>
        <row r="1088">
          <cell r="E1088" t="str">
            <v>Sold Not Booked</v>
          </cell>
          <cell r="G1088" t="str">
            <v>Won</v>
          </cell>
        </row>
        <row r="1089">
          <cell r="E1089" t="str">
            <v>Sold Not Booked</v>
          </cell>
          <cell r="G1089" t="str">
            <v>Won</v>
          </cell>
        </row>
        <row r="1090">
          <cell r="E1090" t="str">
            <v>Sold Not Booked</v>
          </cell>
          <cell r="G1090" t="str">
            <v>Won</v>
          </cell>
        </row>
        <row r="1091">
          <cell r="E1091" t="str">
            <v>Sold Not Booked</v>
          </cell>
          <cell r="G1091" t="str">
            <v>Won</v>
          </cell>
        </row>
        <row r="1092">
          <cell r="E1092" t="str">
            <v>Booked</v>
          </cell>
          <cell r="G1092" t="str">
            <v>Won</v>
          </cell>
        </row>
        <row r="1093">
          <cell r="E1093" t="str">
            <v>Booked</v>
          </cell>
          <cell r="G1093" t="str">
            <v>Won</v>
          </cell>
        </row>
        <row r="1094">
          <cell r="E1094" t="str">
            <v>Sold Not Booked</v>
          </cell>
          <cell r="G1094" t="str">
            <v>Won</v>
          </cell>
        </row>
        <row r="1095">
          <cell r="E1095" t="str">
            <v>Unsuccessful</v>
          </cell>
          <cell r="G1095" t="str">
            <v>Lost</v>
          </cell>
        </row>
        <row r="1096">
          <cell r="E1096" t="str">
            <v>Unsuccessful</v>
          </cell>
          <cell r="G1096" t="str">
            <v>Lost</v>
          </cell>
        </row>
        <row r="1097">
          <cell r="E1097" t="str">
            <v>Sold Not Booked</v>
          </cell>
          <cell r="G1097" t="str">
            <v>Won</v>
          </cell>
        </row>
        <row r="1098">
          <cell r="E1098" t="str">
            <v>Booked</v>
          </cell>
          <cell r="G1098" t="str">
            <v>Won</v>
          </cell>
        </row>
        <row r="1099">
          <cell r="E1099" t="str">
            <v>Booked</v>
          </cell>
          <cell r="G1099" t="str">
            <v>Won</v>
          </cell>
        </row>
        <row r="1100">
          <cell r="E1100" t="str">
            <v>Booked</v>
          </cell>
          <cell r="G1100" t="str">
            <v>Won</v>
          </cell>
        </row>
        <row r="1101">
          <cell r="E1101" t="str">
            <v>Booked</v>
          </cell>
          <cell r="G1101" t="str">
            <v>Won</v>
          </cell>
        </row>
        <row r="1102">
          <cell r="E1102" t="str">
            <v>Booked</v>
          </cell>
          <cell r="G1102" t="str">
            <v>Won</v>
          </cell>
        </row>
        <row r="1103">
          <cell r="E1103" t="str">
            <v>Booked</v>
          </cell>
          <cell r="G1103" t="str">
            <v>Won</v>
          </cell>
        </row>
        <row r="1104">
          <cell r="E1104" t="str">
            <v>Booked</v>
          </cell>
          <cell r="G1104" t="str">
            <v>Won</v>
          </cell>
        </row>
        <row r="1105">
          <cell r="E1105" t="str">
            <v>Sold Not Booked</v>
          </cell>
          <cell r="G1105" t="str">
            <v>Won</v>
          </cell>
        </row>
        <row r="1106">
          <cell r="E1106" t="str">
            <v>Sold Not Booked</v>
          </cell>
          <cell r="G1106" t="str">
            <v>Won</v>
          </cell>
        </row>
        <row r="1107">
          <cell r="E1107" t="str">
            <v>Sold Not Booked</v>
          </cell>
          <cell r="G1107" t="str">
            <v>Won</v>
          </cell>
        </row>
        <row r="1108">
          <cell r="E1108" t="str">
            <v>Unsuccessful</v>
          </cell>
          <cell r="G1108" t="str">
            <v>Lost</v>
          </cell>
        </row>
        <row r="1109">
          <cell r="E1109" t="str">
            <v>Sold Not Booked</v>
          </cell>
          <cell r="G1109" t="str">
            <v>Won</v>
          </cell>
        </row>
        <row r="1110">
          <cell r="E1110" t="str">
            <v>Booked</v>
          </cell>
          <cell r="G1110" t="str">
            <v>Won</v>
          </cell>
        </row>
        <row r="1111">
          <cell r="E1111" t="str">
            <v>Booked</v>
          </cell>
          <cell r="G1111" t="str">
            <v>Won</v>
          </cell>
        </row>
        <row r="1112">
          <cell r="E1112" t="str">
            <v>Booked</v>
          </cell>
          <cell r="G1112" t="str">
            <v>Won</v>
          </cell>
        </row>
        <row r="1113">
          <cell r="E1113" t="str">
            <v>Sold Not Booked</v>
          </cell>
          <cell r="G1113" t="str">
            <v>Won</v>
          </cell>
        </row>
        <row r="1114">
          <cell r="E1114" t="str">
            <v>Sold Not Booked</v>
          </cell>
          <cell r="G1114" t="str">
            <v>Won</v>
          </cell>
        </row>
        <row r="1115">
          <cell r="E1115" t="str">
            <v>Booked</v>
          </cell>
          <cell r="G1115" t="str">
            <v>Won</v>
          </cell>
        </row>
        <row r="1116">
          <cell r="E1116" t="str">
            <v>Booked</v>
          </cell>
          <cell r="G1116" t="str">
            <v>Won</v>
          </cell>
        </row>
        <row r="1117">
          <cell r="E1117" t="str">
            <v>Booked</v>
          </cell>
          <cell r="G1117" t="str">
            <v>Won</v>
          </cell>
        </row>
        <row r="1118">
          <cell r="E1118" t="str">
            <v>Sold Not Booked</v>
          </cell>
          <cell r="G1118" t="str">
            <v>Won</v>
          </cell>
        </row>
        <row r="1119">
          <cell r="E1119" t="str">
            <v>Booked</v>
          </cell>
          <cell r="G1119" t="str">
            <v>Won</v>
          </cell>
        </row>
        <row r="1120">
          <cell r="E1120" t="str">
            <v>Unsuccessful</v>
          </cell>
          <cell r="G1120" t="str">
            <v>Lost</v>
          </cell>
        </row>
        <row r="1121">
          <cell r="E1121" t="str">
            <v>Sold Not Booked</v>
          </cell>
          <cell r="G1121" t="str">
            <v>Won</v>
          </cell>
        </row>
        <row r="1122">
          <cell r="E1122" t="str">
            <v>Sold Not Booked</v>
          </cell>
          <cell r="G1122" t="str">
            <v>Won</v>
          </cell>
        </row>
        <row r="1123">
          <cell r="E1123" t="str">
            <v>Sold Not Booked</v>
          </cell>
          <cell r="G1123" t="str">
            <v>Won</v>
          </cell>
        </row>
        <row r="1124">
          <cell r="E1124" t="str">
            <v>Booked</v>
          </cell>
          <cell r="G1124" t="str">
            <v>Won</v>
          </cell>
        </row>
        <row r="1125">
          <cell r="E1125" t="str">
            <v>Booked</v>
          </cell>
          <cell r="G1125" t="str">
            <v>Won</v>
          </cell>
        </row>
        <row r="1126">
          <cell r="E1126" t="str">
            <v>Booked</v>
          </cell>
          <cell r="G1126" t="str">
            <v>Won</v>
          </cell>
        </row>
        <row r="1127">
          <cell r="E1127" t="str">
            <v>Sold Not Booked</v>
          </cell>
          <cell r="G1127" t="str">
            <v>Won</v>
          </cell>
        </row>
        <row r="1128">
          <cell r="E1128" t="str">
            <v>Booked</v>
          </cell>
          <cell r="G1128" t="str">
            <v>Won</v>
          </cell>
        </row>
        <row r="1129">
          <cell r="E1129" t="str">
            <v>Unsuccessful</v>
          </cell>
          <cell r="G1129" t="str">
            <v>Lost</v>
          </cell>
        </row>
        <row r="1130">
          <cell r="E1130" t="str">
            <v>Booked</v>
          </cell>
          <cell r="G1130" t="str">
            <v>Won</v>
          </cell>
        </row>
        <row r="1131">
          <cell r="E1131" t="str">
            <v>Booked</v>
          </cell>
          <cell r="G1131" t="str">
            <v>Won</v>
          </cell>
        </row>
        <row r="1132">
          <cell r="E1132" t="str">
            <v>Booked</v>
          </cell>
          <cell r="G1132" t="str">
            <v>Won</v>
          </cell>
        </row>
        <row r="1133">
          <cell r="E1133" t="str">
            <v>Booked</v>
          </cell>
          <cell r="G1133" t="str">
            <v>Won</v>
          </cell>
        </row>
        <row r="1134">
          <cell r="E1134" t="str">
            <v>Booked</v>
          </cell>
          <cell r="G1134" t="str">
            <v>Won</v>
          </cell>
        </row>
        <row r="1135">
          <cell r="E1135" t="str">
            <v>Booked</v>
          </cell>
          <cell r="G1135" t="str">
            <v>Won</v>
          </cell>
        </row>
        <row r="1136">
          <cell r="E1136" t="str">
            <v>Booked</v>
          </cell>
          <cell r="G1136" t="str">
            <v>Won</v>
          </cell>
        </row>
        <row r="1137">
          <cell r="E1137" t="str">
            <v>Sold Not Booked</v>
          </cell>
          <cell r="G1137" t="str">
            <v>Won</v>
          </cell>
        </row>
        <row r="1138">
          <cell r="E1138" t="str">
            <v>Booked</v>
          </cell>
          <cell r="G1138" t="str">
            <v>Won</v>
          </cell>
        </row>
        <row r="1139">
          <cell r="E1139" t="str">
            <v>Sold Not Booked</v>
          </cell>
          <cell r="G1139" t="str">
            <v>Won</v>
          </cell>
        </row>
        <row r="1140">
          <cell r="E1140" t="str">
            <v>Booked</v>
          </cell>
          <cell r="G1140" t="str">
            <v>Won</v>
          </cell>
        </row>
        <row r="1141">
          <cell r="E1141" t="str">
            <v>Sold Not Booked</v>
          </cell>
          <cell r="G1141" t="str">
            <v>Won</v>
          </cell>
        </row>
        <row r="1142">
          <cell r="E1142" t="str">
            <v>Booked</v>
          </cell>
          <cell r="G1142" t="str">
            <v>Won</v>
          </cell>
        </row>
        <row r="1143">
          <cell r="E1143" t="str">
            <v>Booked</v>
          </cell>
          <cell r="G1143" t="str">
            <v>Won</v>
          </cell>
        </row>
        <row r="1144">
          <cell r="E1144" t="str">
            <v>Booked</v>
          </cell>
          <cell r="G1144" t="str">
            <v>Won</v>
          </cell>
        </row>
        <row r="1145">
          <cell r="E1145" t="str">
            <v>Unsuccessful</v>
          </cell>
          <cell r="G1145" t="str">
            <v>Lost</v>
          </cell>
        </row>
        <row r="1146">
          <cell r="E1146" t="str">
            <v>Booked</v>
          </cell>
          <cell r="G1146" t="str">
            <v>Won</v>
          </cell>
        </row>
        <row r="1147">
          <cell r="E1147" t="str">
            <v>Booked</v>
          </cell>
          <cell r="G1147" t="str">
            <v>Won</v>
          </cell>
        </row>
        <row r="1148">
          <cell r="E1148" t="str">
            <v>Sold Not Booked</v>
          </cell>
          <cell r="G1148" t="str">
            <v>Won</v>
          </cell>
        </row>
        <row r="1149">
          <cell r="E1149" t="str">
            <v>Booked</v>
          </cell>
          <cell r="G1149" t="str">
            <v>Won</v>
          </cell>
        </row>
        <row r="1150">
          <cell r="E1150" t="str">
            <v>Booked</v>
          </cell>
          <cell r="G1150" t="str">
            <v>Won</v>
          </cell>
        </row>
        <row r="1151">
          <cell r="E1151" t="str">
            <v>Unsuccessful</v>
          </cell>
          <cell r="G1151" t="str">
            <v>Lost</v>
          </cell>
        </row>
        <row r="1152">
          <cell r="E1152" t="str">
            <v>Booked</v>
          </cell>
          <cell r="G1152" t="str">
            <v>Won</v>
          </cell>
        </row>
        <row r="1153">
          <cell r="E1153" t="str">
            <v>Sold Not Booked</v>
          </cell>
          <cell r="G1153" t="str">
            <v>Won</v>
          </cell>
        </row>
        <row r="1154">
          <cell r="E1154" t="str">
            <v>Sold Not Booked</v>
          </cell>
          <cell r="G1154" t="str">
            <v>Won</v>
          </cell>
        </row>
        <row r="1155">
          <cell r="E1155" t="str">
            <v>Sold Not Booked</v>
          </cell>
          <cell r="G1155" t="str">
            <v>Won</v>
          </cell>
        </row>
        <row r="1156">
          <cell r="E1156" t="str">
            <v>Sold Not Booked</v>
          </cell>
          <cell r="G1156" t="str">
            <v>Won</v>
          </cell>
        </row>
        <row r="1157">
          <cell r="E1157" t="str">
            <v>Booked</v>
          </cell>
          <cell r="G1157" t="str">
            <v>Won</v>
          </cell>
        </row>
        <row r="1158">
          <cell r="E1158" t="str">
            <v>Unsuccessful</v>
          </cell>
          <cell r="G1158" t="str">
            <v>Lost</v>
          </cell>
        </row>
        <row r="1159">
          <cell r="E1159" t="str">
            <v>Booked</v>
          </cell>
          <cell r="G1159" t="str">
            <v>Won</v>
          </cell>
        </row>
        <row r="1160">
          <cell r="E1160" t="str">
            <v>Sold Not Booked</v>
          </cell>
          <cell r="G1160" t="str">
            <v>Won</v>
          </cell>
        </row>
        <row r="1161">
          <cell r="E1161" t="str">
            <v>Sold Not Booked</v>
          </cell>
          <cell r="G1161" t="str">
            <v>Won</v>
          </cell>
        </row>
        <row r="1162">
          <cell r="E1162" t="str">
            <v>Sold Not Booked</v>
          </cell>
          <cell r="G1162" t="str">
            <v>Won</v>
          </cell>
        </row>
        <row r="1163">
          <cell r="E1163" t="str">
            <v>Booked</v>
          </cell>
          <cell r="G1163" t="str">
            <v>Won</v>
          </cell>
        </row>
        <row r="1164">
          <cell r="E1164" t="str">
            <v>Booked</v>
          </cell>
          <cell r="G1164" t="str">
            <v>Won</v>
          </cell>
        </row>
        <row r="1165">
          <cell r="E1165" t="str">
            <v>Sold Not Booked</v>
          </cell>
          <cell r="G1165" t="str">
            <v>Won</v>
          </cell>
        </row>
        <row r="1166">
          <cell r="E1166" t="str">
            <v>Sold Not Booked</v>
          </cell>
          <cell r="G1166" t="str">
            <v>Won</v>
          </cell>
        </row>
        <row r="1167">
          <cell r="E1167" t="str">
            <v>Booked</v>
          </cell>
          <cell r="G1167" t="str">
            <v>Won</v>
          </cell>
        </row>
        <row r="1168">
          <cell r="E1168" t="str">
            <v>Booked</v>
          </cell>
          <cell r="G1168" t="str">
            <v>Won</v>
          </cell>
        </row>
        <row r="1169">
          <cell r="E1169" t="str">
            <v>Booked</v>
          </cell>
          <cell r="G1169" t="str">
            <v>Won</v>
          </cell>
        </row>
        <row r="1170">
          <cell r="E1170" t="str">
            <v>Sold Not Booked</v>
          </cell>
          <cell r="G1170" t="str">
            <v>Won</v>
          </cell>
        </row>
        <row r="1171">
          <cell r="E1171" t="str">
            <v>Booked</v>
          </cell>
          <cell r="G1171" t="str">
            <v>Won</v>
          </cell>
        </row>
        <row r="1172">
          <cell r="E1172" t="str">
            <v>Sold Not Booked</v>
          </cell>
          <cell r="G1172" t="str">
            <v>Won</v>
          </cell>
        </row>
        <row r="1173">
          <cell r="E1173" t="str">
            <v>Booked</v>
          </cell>
          <cell r="G1173" t="str">
            <v>Won</v>
          </cell>
        </row>
        <row r="1174">
          <cell r="E1174" t="str">
            <v>Booked</v>
          </cell>
          <cell r="G1174" t="str">
            <v>Won</v>
          </cell>
        </row>
        <row r="1175">
          <cell r="E1175" t="str">
            <v>Booked</v>
          </cell>
          <cell r="G1175" t="str">
            <v>Won</v>
          </cell>
        </row>
        <row r="1176">
          <cell r="E1176" t="str">
            <v>Booked</v>
          </cell>
          <cell r="G1176" t="str">
            <v>Won</v>
          </cell>
        </row>
        <row r="1177">
          <cell r="E1177" t="str">
            <v>Unsuccessful</v>
          </cell>
          <cell r="G1177" t="str">
            <v>Lost</v>
          </cell>
        </row>
        <row r="1178">
          <cell r="E1178" t="str">
            <v>Sold Not Booked</v>
          </cell>
          <cell r="G1178" t="str">
            <v>Won</v>
          </cell>
        </row>
        <row r="1179">
          <cell r="E1179" t="str">
            <v>Booked</v>
          </cell>
          <cell r="G1179" t="str">
            <v>Won</v>
          </cell>
        </row>
        <row r="1180">
          <cell r="E1180" t="str">
            <v>Unsuccessful</v>
          </cell>
          <cell r="G1180" t="str">
            <v>Lost</v>
          </cell>
        </row>
        <row r="1181">
          <cell r="E1181" t="str">
            <v>Sold Not Booked</v>
          </cell>
          <cell r="G1181" t="str">
            <v>Won</v>
          </cell>
        </row>
        <row r="1182">
          <cell r="E1182" t="str">
            <v>Booked</v>
          </cell>
          <cell r="G1182" t="str">
            <v>Won</v>
          </cell>
        </row>
        <row r="1183">
          <cell r="E1183" t="str">
            <v>Sold Not Booked</v>
          </cell>
          <cell r="G1183" t="str">
            <v>Won</v>
          </cell>
        </row>
        <row r="1184">
          <cell r="E1184" t="str">
            <v>Booked</v>
          </cell>
          <cell r="G1184" t="str">
            <v>Won</v>
          </cell>
        </row>
        <row r="1185">
          <cell r="E1185" t="str">
            <v>Sold Not Booked</v>
          </cell>
          <cell r="G1185" t="str">
            <v>Won</v>
          </cell>
        </row>
        <row r="1186">
          <cell r="E1186" t="str">
            <v>Booked</v>
          </cell>
          <cell r="G1186" t="str">
            <v>Won</v>
          </cell>
        </row>
        <row r="1187">
          <cell r="E1187" t="str">
            <v>Booked</v>
          </cell>
          <cell r="G1187" t="str">
            <v>Won</v>
          </cell>
        </row>
        <row r="1188">
          <cell r="E1188" t="str">
            <v>Sold Not Booked</v>
          </cell>
          <cell r="G1188" t="str">
            <v>Won</v>
          </cell>
        </row>
        <row r="1189">
          <cell r="E1189" t="str">
            <v>Sold Not Booked</v>
          </cell>
          <cell r="G1189" t="str">
            <v>Won</v>
          </cell>
        </row>
        <row r="1190">
          <cell r="E1190" t="str">
            <v>Sold Not Booked</v>
          </cell>
          <cell r="G1190" t="str">
            <v>Won</v>
          </cell>
        </row>
        <row r="1191">
          <cell r="E1191" t="str">
            <v>Booked</v>
          </cell>
          <cell r="G1191" t="str">
            <v>Won</v>
          </cell>
        </row>
        <row r="1192">
          <cell r="E1192" t="str">
            <v>Booked</v>
          </cell>
          <cell r="G1192" t="str">
            <v>Won</v>
          </cell>
        </row>
        <row r="1193">
          <cell r="E1193" t="str">
            <v>Booked</v>
          </cell>
          <cell r="G1193" t="str">
            <v>Won</v>
          </cell>
        </row>
        <row r="1194">
          <cell r="E1194" t="str">
            <v>Sold Not Booked</v>
          </cell>
          <cell r="G1194" t="str">
            <v>Won</v>
          </cell>
        </row>
        <row r="1195">
          <cell r="E1195" t="str">
            <v>In the Funnel</v>
          </cell>
          <cell r="G1195" t="str">
            <v>Open</v>
          </cell>
        </row>
        <row r="1196">
          <cell r="E1196" t="str">
            <v>Unsuccessful</v>
          </cell>
          <cell r="G1196" t="str">
            <v>Lost</v>
          </cell>
        </row>
        <row r="1197">
          <cell r="E1197" t="str">
            <v>Above the Funnel</v>
          </cell>
          <cell r="G1197" t="str">
            <v>Open</v>
          </cell>
        </row>
        <row r="1198">
          <cell r="E1198" t="str">
            <v>In the Funnel</v>
          </cell>
          <cell r="G1198" t="str">
            <v>Open</v>
          </cell>
        </row>
        <row r="1199">
          <cell r="E1199" t="str">
            <v>In the Funnel</v>
          </cell>
          <cell r="G1199" t="str">
            <v>Open</v>
          </cell>
        </row>
        <row r="1200">
          <cell r="E1200" t="str">
            <v>Unsuccessful</v>
          </cell>
          <cell r="G1200" t="str">
            <v>Lost</v>
          </cell>
        </row>
        <row r="1201">
          <cell r="E1201" t="str">
            <v>Best Few</v>
          </cell>
          <cell r="G1201" t="str">
            <v>Open</v>
          </cell>
        </row>
        <row r="1202">
          <cell r="E1202" t="str">
            <v>Best Few</v>
          </cell>
          <cell r="G1202" t="str">
            <v>Open</v>
          </cell>
        </row>
        <row r="1203">
          <cell r="E1203" t="str">
            <v>Best Few</v>
          </cell>
          <cell r="G1203" t="str">
            <v>Open</v>
          </cell>
        </row>
        <row r="1204">
          <cell r="E1204" t="str">
            <v>In the Funnel</v>
          </cell>
          <cell r="G1204" t="str">
            <v>Open</v>
          </cell>
        </row>
        <row r="1205">
          <cell r="E1205" t="str">
            <v>In the Funnel</v>
          </cell>
          <cell r="G1205" t="str">
            <v>Open</v>
          </cell>
        </row>
        <row r="1206">
          <cell r="E1206" t="str">
            <v>Unsuccessful</v>
          </cell>
          <cell r="G1206" t="str">
            <v>Lost</v>
          </cell>
        </row>
        <row r="1207">
          <cell r="E1207" t="str">
            <v>In the Funnel</v>
          </cell>
          <cell r="G1207" t="str">
            <v>Open</v>
          </cell>
        </row>
        <row r="1208">
          <cell r="E1208" t="str">
            <v>Best Few</v>
          </cell>
          <cell r="G1208" t="str">
            <v>Open</v>
          </cell>
        </row>
        <row r="1209">
          <cell r="E1209" t="str">
            <v>Best Few</v>
          </cell>
          <cell r="G1209" t="str">
            <v>Open</v>
          </cell>
        </row>
        <row r="1210">
          <cell r="E1210" t="str">
            <v>In the Funnel</v>
          </cell>
          <cell r="G1210" t="str">
            <v>Open</v>
          </cell>
        </row>
        <row r="1211">
          <cell r="E1211" t="str">
            <v>In the Funnel</v>
          </cell>
          <cell r="G1211" t="str">
            <v>Open</v>
          </cell>
        </row>
        <row r="1212">
          <cell r="E1212" t="str">
            <v>Above the Funnel</v>
          </cell>
          <cell r="G1212" t="str">
            <v>Open</v>
          </cell>
        </row>
        <row r="1213">
          <cell r="E1213" t="str">
            <v>Unsuccessful</v>
          </cell>
          <cell r="G1213" t="str">
            <v>Lost</v>
          </cell>
        </row>
        <row r="1214">
          <cell r="E1214" t="str">
            <v>Above the Funnel</v>
          </cell>
          <cell r="G1214" t="str">
            <v>Open</v>
          </cell>
        </row>
        <row r="1215">
          <cell r="E1215" t="str">
            <v>In the Funnel</v>
          </cell>
          <cell r="G1215" t="str">
            <v>Open</v>
          </cell>
        </row>
        <row r="1216">
          <cell r="E1216" t="str">
            <v>Above the Funnel</v>
          </cell>
          <cell r="G1216" t="str">
            <v>Open</v>
          </cell>
        </row>
        <row r="1217">
          <cell r="E1217" t="str">
            <v>Best Few</v>
          </cell>
          <cell r="G1217" t="str">
            <v>Open</v>
          </cell>
        </row>
        <row r="1218">
          <cell r="E1218" t="str">
            <v>Best Few</v>
          </cell>
          <cell r="G1218" t="str">
            <v>Open</v>
          </cell>
        </row>
        <row r="1219">
          <cell r="E1219" t="str">
            <v>Above the Funnel</v>
          </cell>
          <cell r="G1219" t="str">
            <v>Open</v>
          </cell>
        </row>
        <row r="1220">
          <cell r="E1220" t="str">
            <v>In the Funnel</v>
          </cell>
          <cell r="G1220" t="str">
            <v>Open</v>
          </cell>
        </row>
        <row r="1221">
          <cell r="E1221" t="str">
            <v>Above the Funnel</v>
          </cell>
          <cell r="G1221" t="str">
            <v>Open</v>
          </cell>
        </row>
        <row r="1222">
          <cell r="E1222" t="str">
            <v>In the Funnel</v>
          </cell>
          <cell r="G1222" t="str">
            <v>Open</v>
          </cell>
        </row>
        <row r="1223">
          <cell r="E1223" t="str">
            <v>Unsuccessful</v>
          </cell>
          <cell r="G1223" t="str">
            <v>Lost</v>
          </cell>
        </row>
        <row r="1224">
          <cell r="E1224" t="str">
            <v>Above the Funnel</v>
          </cell>
          <cell r="G1224" t="str">
            <v>Open</v>
          </cell>
        </row>
        <row r="1225">
          <cell r="E1225" t="str">
            <v>Above the Funnel</v>
          </cell>
          <cell r="G1225" t="str">
            <v>Open</v>
          </cell>
        </row>
        <row r="1226">
          <cell r="E1226" t="str">
            <v>In the Funnel</v>
          </cell>
          <cell r="G1226" t="str">
            <v>Open</v>
          </cell>
        </row>
        <row r="1227">
          <cell r="E1227" t="str">
            <v>Unsuccessful</v>
          </cell>
          <cell r="G1227" t="str">
            <v>Lost</v>
          </cell>
        </row>
        <row r="1228">
          <cell r="E1228" t="str">
            <v>Above the Funnel</v>
          </cell>
          <cell r="G1228" t="str">
            <v>Open</v>
          </cell>
        </row>
        <row r="1229">
          <cell r="E1229" t="str">
            <v>In the Funnel</v>
          </cell>
          <cell r="G1229" t="str">
            <v>Open</v>
          </cell>
        </row>
        <row r="1230">
          <cell r="E1230" t="str">
            <v>In the Funnel</v>
          </cell>
          <cell r="G1230" t="str">
            <v>Open</v>
          </cell>
        </row>
        <row r="1231">
          <cell r="E1231" t="str">
            <v>In the Funnel</v>
          </cell>
          <cell r="G1231" t="str">
            <v>Open</v>
          </cell>
        </row>
        <row r="1232">
          <cell r="E1232" t="str">
            <v>Above the Funnel</v>
          </cell>
          <cell r="G1232" t="str">
            <v>Open</v>
          </cell>
        </row>
        <row r="1233">
          <cell r="E1233" t="str">
            <v>In the Funnel</v>
          </cell>
          <cell r="G1233" t="str">
            <v>Open</v>
          </cell>
        </row>
        <row r="1234">
          <cell r="E1234" t="str">
            <v>In the Funnel</v>
          </cell>
          <cell r="G1234" t="str">
            <v>Open</v>
          </cell>
        </row>
        <row r="1235">
          <cell r="E1235" t="str">
            <v>Unsuccessful</v>
          </cell>
          <cell r="G1235" t="str">
            <v>Lost</v>
          </cell>
        </row>
        <row r="1236">
          <cell r="E1236" t="str">
            <v>Best Few</v>
          </cell>
          <cell r="G1236" t="str">
            <v>Open</v>
          </cell>
        </row>
        <row r="1237">
          <cell r="E1237" t="str">
            <v>Above the Funnel</v>
          </cell>
          <cell r="G1237" t="str">
            <v>Open</v>
          </cell>
        </row>
        <row r="1238">
          <cell r="E1238" t="str">
            <v>Best Few</v>
          </cell>
          <cell r="G1238" t="str">
            <v>Open</v>
          </cell>
        </row>
        <row r="1239">
          <cell r="E1239" t="str">
            <v>In the Funnel</v>
          </cell>
          <cell r="G1239" t="str">
            <v>Open</v>
          </cell>
        </row>
        <row r="1240">
          <cell r="E1240" t="str">
            <v>In the Funnel</v>
          </cell>
          <cell r="G1240" t="str">
            <v>Open</v>
          </cell>
        </row>
        <row r="1241">
          <cell r="E1241" t="str">
            <v>Unsuccessful</v>
          </cell>
          <cell r="G1241" t="str">
            <v>Lost</v>
          </cell>
        </row>
        <row r="1242">
          <cell r="E1242" t="str">
            <v>Unsuccessful</v>
          </cell>
          <cell r="G1242" t="str">
            <v>Lost</v>
          </cell>
        </row>
        <row r="1243">
          <cell r="E1243" t="str">
            <v>Unsuccessful</v>
          </cell>
          <cell r="G1243" t="str">
            <v>Lost</v>
          </cell>
        </row>
        <row r="1244">
          <cell r="E1244" t="str">
            <v>Unsuccessful</v>
          </cell>
          <cell r="G1244" t="str">
            <v>Lost</v>
          </cell>
        </row>
        <row r="1245">
          <cell r="E1245" t="str">
            <v>Above the Funnel</v>
          </cell>
          <cell r="G1245" t="str">
            <v>Open</v>
          </cell>
        </row>
        <row r="1246">
          <cell r="E1246" t="str">
            <v>In the Funnel</v>
          </cell>
          <cell r="G1246" t="str">
            <v>Open</v>
          </cell>
        </row>
        <row r="1247">
          <cell r="E1247" t="str">
            <v>In the Funnel</v>
          </cell>
          <cell r="G1247" t="str">
            <v>Open</v>
          </cell>
        </row>
        <row r="1248">
          <cell r="E1248" t="str">
            <v>In the Funnel</v>
          </cell>
          <cell r="G1248" t="str">
            <v>Open</v>
          </cell>
        </row>
        <row r="1249">
          <cell r="E1249" t="str">
            <v>Unsuccessful</v>
          </cell>
          <cell r="G1249" t="str">
            <v>Lost</v>
          </cell>
        </row>
        <row r="1250">
          <cell r="E1250" t="str">
            <v>Above the Funnel</v>
          </cell>
          <cell r="G1250" t="str">
            <v>Open</v>
          </cell>
        </row>
        <row r="1251">
          <cell r="E1251" t="str">
            <v>Unsuccessful</v>
          </cell>
          <cell r="G1251" t="str">
            <v>Lost</v>
          </cell>
        </row>
        <row r="1252">
          <cell r="E1252" t="str">
            <v>Best Few</v>
          </cell>
          <cell r="G1252" t="str">
            <v>Open</v>
          </cell>
        </row>
        <row r="1253">
          <cell r="E1253" t="str">
            <v>Best Few</v>
          </cell>
          <cell r="G1253" t="str">
            <v>Open</v>
          </cell>
        </row>
        <row r="1254">
          <cell r="E1254" t="str">
            <v>Above the Funnel</v>
          </cell>
          <cell r="G1254" t="str">
            <v>Open</v>
          </cell>
        </row>
        <row r="1255">
          <cell r="E1255" t="str">
            <v>In the Funnel</v>
          </cell>
          <cell r="G1255" t="str">
            <v>Open</v>
          </cell>
        </row>
        <row r="1256">
          <cell r="E1256" t="str">
            <v>Best Few</v>
          </cell>
          <cell r="G1256" t="str">
            <v>Open</v>
          </cell>
        </row>
        <row r="1257">
          <cell r="E1257" t="str">
            <v>Above the Funnel</v>
          </cell>
          <cell r="G1257" t="str">
            <v>Open</v>
          </cell>
        </row>
        <row r="1258">
          <cell r="E1258" t="str">
            <v>Best Few</v>
          </cell>
          <cell r="G1258" t="str">
            <v>Open</v>
          </cell>
        </row>
        <row r="1259">
          <cell r="E1259" t="str">
            <v>In the Funnel</v>
          </cell>
          <cell r="G1259" t="str">
            <v>Open</v>
          </cell>
        </row>
        <row r="1260">
          <cell r="E1260" t="str">
            <v>Above the Funnel</v>
          </cell>
          <cell r="G1260" t="str">
            <v>Open</v>
          </cell>
        </row>
        <row r="1261">
          <cell r="E1261" t="str">
            <v>Above the Funnel</v>
          </cell>
          <cell r="G1261" t="str">
            <v>Open</v>
          </cell>
        </row>
        <row r="1262">
          <cell r="E1262" t="str">
            <v>Above the Funnel</v>
          </cell>
          <cell r="G1262" t="str">
            <v>Open</v>
          </cell>
        </row>
        <row r="1263">
          <cell r="E1263" t="str">
            <v>In the Funnel</v>
          </cell>
          <cell r="G1263" t="str">
            <v>Open</v>
          </cell>
        </row>
        <row r="1264">
          <cell r="E1264" t="str">
            <v>Unsuccessful</v>
          </cell>
          <cell r="G1264" t="str">
            <v>Lost</v>
          </cell>
        </row>
        <row r="1265">
          <cell r="E1265" t="str">
            <v>Unsuccessful</v>
          </cell>
          <cell r="G1265" t="str">
            <v>Lost</v>
          </cell>
        </row>
        <row r="1266">
          <cell r="E1266" t="str">
            <v>Above the Funnel</v>
          </cell>
          <cell r="G1266" t="str">
            <v>Open</v>
          </cell>
        </row>
        <row r="1267">
          <cell r="E1267" t="str">
            <v>Above the Funnel</v>
          </cell>
          <cell r="G1267" t="str">
            <v>Open</v>
          </cell>
        </row>
        <row r="1268">
          <cell r="E1268" t="str">
            <v>Above the Funnel</v>
          </cell>
          <cell r="G1268" t="str">
            <v>Open</v>
          </cell>
        </row>
        <row r="1269">
          <cell r="E1269" t="str">
            <v>In the Funnel</v>
          </cell>
          <cell r="G1269" t="str">
            <v>Open</v>
          </cell>
        </row>
        <row r="1270">
          <cell r="E1270" t="str">
            <v>Best Few</v>
          </cell>
          <cell r="G1270" t="str">
            <v>Open</v>
          </cell>
        </row>
        <row r="1271">
          <cell r="E1271" t="str">
            <v>Above the Funnel</v>
          </cell>
          <cell r="G1271" t="str">
            <v>Open</v>
          </cell>
        </row>
        <row r="1272">
          <cell r="E1272" t="str">
            <v>Above the Funnel</v>
          </cell>
          <cell r="G1272" t="str">
            <v>Open</v>
          </cell>
        </row>
        <row r="1273">
          <cell r="E1273" t="str">
            <v>In the Funnel</v>
          </cell>
          <cell r="G1273" t="str">
            <v>Open</v>
          </cell>
        </row>
        <row r="1274">
          <cell r="E1274" t="str">
            <v>Unsuccessful</v>
          </cell>
          <cell r="G1274" t="str">
            <v>Lost</v>
          </cell>
        </row>
        <row r="1275">
          <cell r="E1275" t="str">
            <v>Best Few</v>
          </cell>
          <cell r="G1275" t="str">
            <v>Open</v>
          </cell>
        </row>
        <row r="1276">
          <cell r="E1276" t="str">
            <v>In the Funnel</v>
          </cell>
          <cell r="G1276" t="str">
            <v>Open</v>
          </cell>
        </row>
        <row r="1277">
          <cell r="E1277" t="str">
            <v>Best Few</v>
          </cell>
          <cell r="G1277" t="str">
            <v>Open</v>
          </cell>
        </row>
        <row r="1278">
          <cell r="E1278" t="str">
            <v>Best Few</v>
          </cell>
          <cell r="G1278" t="str">
            <v>Open</v>
          </cell>
        </row>
        <row r="1279">
          <cell r="E1279" t="str">
            <v>In the Funnel</v>
          </cell>
          <cell r="G1279" t="str">
            <v>Open</v>
          </cell>
        </row>
        <row r="1280">
          <cell r="E1280" t="str">
            <v>Unsuccessful</v>
          </cell>
          <cell r="G1280" t="str">
            <v>Lost</v>
          </cell>
        </row>
        <row r="1281">
          <cell r="E1281" t="str">
            <v>Unsuccessful</v>
          </cell>
          <cell r="G1281" t="str">
            <v>Lost</v>
          </cell>
        </row>
        <row r="1282">
          <cell r="E1282" t="str">
            <v>Unsuccessful</v>
          </cell>
          <cell r="G1282" t="str">
            <v>Lost</v>
          </cell>
        </row>
        <row r="1283">
          <cell r="E1283" t="str">
            <v>Unsuccessful</v>
          </cell>
          <cell r="G1283" t="str">
            <v>Lost</v>
          </cell>
        </row>
        <row r="1284">
          <cell r="E1284" t="str">
            <v>Unsuccessful</v>
          </cell>
          <cell r="G1284" t="str">
            <v>Lost</v>
          </cell>
        </row>
        <row r="1285">
          <cell r="E1285" t="str">
            <v>Unsuccessful</v>
          </cell>
          <cell r="G1285" t="str">
            <v>Lost</v>
          </cell>
        </row>
        <row r="1286">
          <cell r="G1286" t="str">
            <v>Lost</v>
          </cell>
        </row>
        <row r="1287">
          <cell r="E1287" t="str">
            <v>Unsuccessful</v>
          </cell>
          <cell r="G1287" t="str">
            <v>Lost</v>
          </cell>
        </row>
        <row r="1288">
          <cell r="E1288" t="str">
            <v>Unsuccessful</v>
          </cell>
          <cell r="G1288" t="str">
            <v>Lost</v>
          </cell>
        </row>
        <row r="1289">
          <cell r="E1289" t="str">
            <v>Unsuccessful</v>
          </cell>
          <cell r="G1289" t="str">
            <v>Lost</v>
          </cell>
        </row>
        <row r="1290">
          <cell r="E1290" t="str">
            <v>Unsuccessful</v>
          </cell>
          <cell r="G1290" t="str">
            <v>Lost</v>
          </cell>
        </row>
        <row r="1291">
          <cell r="E1291" t="str">
            <v>Unsuccessful</v>
          </cell>
          <cell r="G1291" t="str">
            <v>Lost</v>
          </cell>
        </row>
        <row r="1292">
          <cell r="E1292" t="str">
            <v>Unsuccessful</v>
          </cell>
          <cell r="G1292" t="str">
            <v>Lost</v>
          </cell>
        </row>
        <row r="1293">
          <cell r="E1293" t="str">
            <v>Unsuccessful</v>
          </cell>
          <cell r="G1293" t="str">
            <v>Lost</v>
          </cell>
        </row>
        <row r="1294">
          <cell r="E1294" t="str">
            <v>Unsuccessful</v>
          </cell>
          <cell r="G1294" t="str">
            <v>Lost</v>
          </cell>
        </row>
        <row r="1295">
          <cell r="E1295" t="str">
            <v>Unsuccessful</v>
          </cell>
          <cell r="G1295" t="str">
            <v>Lost</v>
          </cell>
        </row>
        <row r="1296">
          <cell r="E1296" t="str">
            <v>Unsuccessful</v>
          </cell>
          <cell r="G1296" t="str">
            <v>Lost</v>
          </cell>
        </row>
        <row r="1297">
          <cell r="E1297" t="str">
            <v>Unsuccessful</v>
          </cell>
          <cell r="G1297" t="str">
            <v>Lost</v>
          </cell>
        </row>
        <row r="1298">
          <cell r="E1298" t="str">
            <v>Unsuccessful</v>
          </cell>
          <cell r="G1298" t="str">
            <v>Lost</v>
          </cell>
        </row>
        <row r="1299">
          <cell r="E1299" t="str">
            <v>Unsuccessful</v>
          </cell>
          <cell r="G1299" t="str">
            <v>Lost</v>
          </cell>
        </row>
        <row r="1300">
          <cell r="E1300" t="str">
            <v>Unsuccessful</v>
          </cell>
          <cell r="G1300" t="str">
            <v>Lost</v>
          </cell>
        </row>
        <row r="1301">
          <cell r="E1301" t="str">
            <v>Unsuccessful</v>
          </cell>
          <cell r="G1301" t="str">
            <v>Lost</v>
          </cell>
        </row>
        <row r="1302">
          <cell r="E1302" t="str">
            <v>Unsuccessful</v>
          </cell>
          <cell r="G1302" t="str">
            <v>Lost</v>
          </cell>
        </row>
        <row r="1303">
          <cell r="E1303" t="str">
            <v>Unsuccessful</v>
          </cell>
          <cell r="G1303" t="str">
            <v>Lost</v>
          </cell>
        </row>
        <row r="1304">
          <cell r="E1304" t="str">
            <v>Unsuccessful</v>
          </cell>
          <cell r="G1304" t="str">
            <v>Lost</v>
          </cell>
        </row>
        <row r="1305">
          <cell r="E1305" t="str">
            <v>Unsuccessful</v>
          </cell>
          <cell r="G1305" t="str">
            <v>Lost</v>
          </cell>
        </row>
        <row r="1306">
          <cell r="E1306" t="str">
            <v>Unsuccessful</v>
          </cell>
          <cell r="G1306" t="str">
            <v>Lost</v>
          </cell>
        </row>
        <row r="1307">
          <cell r="E1307" t="str">
            <v>Unsuccessful</v>
          </cell>
          <cell r="G1307" t="str">
            <v>Lost</v>
          </cell>
        </row>
        <row r="1308">
          <cell r="E1308" t="str">
            <v>Unsuccessful</v>
          </cell>
          <cell r="G1308" t="str">
            <v>Lost</v>
          </cell>
        </row>
        <row r="1309">
          <cell r="E1309" t="str">
            <v>Unsuccessful</v>
          </cell>
          <cell r="G1309" t="str">
            <v>Lost</v>
          </cell>
        </row>
        <row r="1310">
          <cell r="E1310" t="str">
            <v>Unsuccessful</v>
          </cell>
          <cell r="G1310" t="str">
            <v>Lost</v>
          </cell>
        </row>
        <row r="1311">
          <cell r="E1311" t="str">
            <v>Unsuccessful</v>
          </cell>
          <cell r="G1311" t="str">
            <v>Lost</v>
          </cell>
        </row>
        <row r="1312">
          <cell r="E1312" t="str">
            <v>Unsuccessful</v>
          </cell>
          <cell r="G1312" t="str">
            <v>Lost</v>
          </cell>
        </row>
        <row r="1313">
          <cell r="E1313" t="str">
            <v>Unsuccessful</v>
          </cell>
          <cell r="G1313" t="str">
            <v>Lost</v>
          </cell>
        </row>
        <row r="1314">
          <cell r="E1314" t="str">
            <v>Unsuccessful</v>
          </cell>
          <cell r="G1314" t="str">
            <v>Lost</v>
          </cell>
        </row>
        <row r="1315">
          <cell r="E1315" t="str">
            <v>Unsuccessful</v>
          </cell>
          <cell r="G1315" t="str">
            <v>Lost</v>
          </cell>
        </row>
        <row r="1316">
          <cell r="E1316" t="str">
            <v>Unsuccessful</v>
          </cell>
          <cell r="G1316" t="str">
            <v>Lost</v>
          </cell>
        </row>
        <row r="1317">
          <cell r="E1317" t="str">
            <v>Unsuccessful</v>
          </cell>
          <cell r="G1317" t="str">
            <v>Lost</v>
          </cell>
        </row>
        <row r="1318">
          <cell r="E1318" t="str">
            <v>Unsuccessful</v>
          </cell>
          <cell r="G1318" t="str">
            <v>Lost</v>
          </cell>
        </row>
        <row r="1319">
          <cell r="E1319" t="str">
            <v>Unsuccessful</v>
          </cell>
          <cell r="G1319" t="str">
            <v>Lost</v>
          </cell>
        </row>
        <row r="1320">
          <cell r="E1320" t="str">
            <v>Unsuccessful</v>
          </cell>
          <cell r="G1320" t="str">
            <v>Lost</v>
          </cell>
        </row>
        <row r="1321">
          <cell r="E1321" t="str">
            <v>Unsuccessful</v>
          </cell>
          <cell r="G1321" t="str">
            <v>Lost</v>
          </cell>
        </row>
        <row r="1322">
          <cell r="E1322" t="str">
            <v>Unsuccessful</v>
          </cell>
          <cell r="G1322" t="str">
            <v>Lost</v>
          </cell>
        </row>
        <row r="1323">
          <cell r="E1323" t="str">
            <v>Unsuccessful</v>
          </cell>
          <cell r="G1323" t="str">
            <v>Lost</v>
          </cell>
        </row>
        <row r="1324">
          <cell r="E1324" t="str">
            <v>Unsuccessful</v>
          </cell>
          <cell r="G1324" t="str">
            <v>Lost</v>
          </cell>
        </row>
        <row r="1325">
          <cell r="E1325" t="str">
            <v>Unsuccessful</v>
          </cell>
          <cell r="G1325" t="str">
            <v>Lost</v>
          </cell>
        </row>
        <row r="1326">
          <cell r="E1326" t="str">
            <v>Unsuccessful</v>
          </cell>
          <cell r="G1326" t="str">
            <v>Lost</v>
          </cell>
        </row>
        <row r="1327">
          <cell r="E1327" t="str">
            <v>Unsuccessful</v>
          </cell>
          <cell r="G1327" t="str">
            <v>Lost</v>
          </cell>
        </row>
        <row r="1328">
          <cell r="E1328" t="str">
            <v>Unsuccessful</v>
          </cell>
          <cell r="G1328" t="str">
            <v>Lost</v>
          </cell>
        </row>
        <row r="1329">
          <cell r="E1329" t="str">
            <v>Unsuccessful</v>
          </cell>
          <cell r="G1329" t="str">
            <v>Lost</v>
          </cell>
        </row>
        <row r="1330">
          <cell r="E1330" t="str">
            <v>Unsuccessful</v>
          </cell>
          <cell r="G1330" t="str">
            <v>Lost</v>
          </cell>
        </row>
        <row r="1331">
          <cell r="E1331" t="str">
            <v>Unsuccessful</v>
          </cell>
          <cell r="G1331" t="str">
            <v>Lost</v>
          </cell>
        </row>
        <row r="1332">
          <cell r="E1332" t="str">
            <v>Unsuccessful</v>
          </cell>
          <cell r="G1332" t="str">
            <v>Lost</v>
          </cell>
        </row>
        <row r="1333">
          <cell r="E1333" t="str">
            <v>Unsuccessful</v>
          </cell>
          <cell r="G1333" t="str">
            <v>Lost</v>
          </cell>
        </row>
        <row r="1334">
          <cell r="E1334" t="str">
            <v>Unsuccessful</v>
          </cell>
          <cell r="G1334" t="str">
            <v>Lost</v>
          </cell>
        </row>
        <row r="1335">
          <cell r="E1335" t="str">
            <v>Unsuccessful</v>
          </cell>
          <cell r="G1335" t="str">
            <v>Lost</v>
          </cell>
        </row>
        <row r="1336">
          <cell r="E1336" t="str">
            <v>Booked</v>
          </cell>
          <cell r="G1336" t="str">
            <v>Won</v>
          </cell>
        </row>
        <row r="1337">
          <cell r="E1337" t="str">
            <v>Booked</v>
          </cell>
          <cell r="G1337" t="str">
            <v>Won</v>
          </cell>
        </row>
        <row r="1338">
          <cell r="E1338" t="str">
            <v>Sold Not Booked</v>
          </cell>
          <cell r="G1338" t="str">
            <v>Won</v>
          </cell>
        </row>
        <row r="1339">
          <cell r="E1339" t="str">
            <v>Sold Not Booked</v>
          </cell>
          <cell r="G1339" t="str">
            <v>Won</v>
          </cell>
        </row>
        <row r="1340">
          <cell r="E1340" t="str">
            <v>Sold Not Booked</v>
          </cell>
          <cell r="G1340" t="str">
            <v>Won</v>
          </cell>
        </row>
        <row r="1341">
          <cell r="E1341" t="str">
            <v>Booked</v>
          </cell>
          <cell r="G1341" t="str">
            <v>Won</v>
          </cell>
        </row>
        <row r="1342">
          <cell r="E1342" t="str">
            <v>Booked</v>
          </cell>
          <cell r="G1342" t="str">
            <v>Won</v>
          </cell>
        </row>
        <row r="1343">
          <cell r="E1343" t="str">
            <v>Booked</v>
          </cell>
          <cell r="G1343" t="str">
            <v>Won</v>
          </cell>
        </row>
        <row r="1344">
          <cell r="E1344" t="str">
            <v>Sold Not Booked</v>
          </cell>
          <cell r="G1344" t="str">
            <v>Won</v>
          </cell>
        </row>
        <row r="1345">
          <cell r="E1345" t="str">
            <v>Booked</v>
          </cell>
          <cell r="G1345" t="str">
            <v>Won</v>
          </cell>
        </row>
        <row r="1346">
          <cell r="E1346" t="str">
            <v>Sold Not Booked</v>
          </cell>
          <cell r="G1346" t="str">
            <v>Won</v>
          </cell>
        </row>
        <row r="1347">
          <cell r="E1347" t="str">
            <v>Sold Not Booked</v>
          </cell>
          <cell r="G1347" t="str">
            <v>Won</v>
          </cell>
        </row>
        <row r="1348">
          <cell r="E1348" t="str">
            <v>Booked</v>
          </cell>
          <cell r="G1348" t="str">
            <v>Won</v>
          </cell>
        </row>
        <row r="1349">
          <cell r="E1349" t="str">
            <v>Booked</v>
          </cell>
          <cell r="G1349" t="str">
            <v>Won</v>
          </cell>
        </row>
        <row r="1350">
          <cell r="E1350" t="str">
            <v>Sold Not Booked</v>
          </cell>
          <cell r="G1350" t="str">
            <v>Won</v>
          </cell>
        </row>
        <row r="1351">
          <cell r="E1351" t="str">
            <v>Sold Not Booked</v>
          </cell>
          <cell r="G1351" t="str">
            <v>Won</v>
          </cell>
        </row>
        <row r="1352">
          <cell r="E1352" t="str">
            <v>Sold Not Booked</v>
          </cell>
          <cell r="G1352" t="str">
            <v>Won</v>
          </cell>
        </row>
        <row r="1353">
          <cell r="E1353" t="str">
            <v>Booked</v>
          </cell>
          <cell r="G1353" t="str">
            <v>Won</v>
          </cell>
        </row>
        <row r="1354">
          <cell r="E1354" t="str">
            <v>Sold Not Booked</v>
          </cell>
          <cell r="G1354" t="str">
            <v>Won</v>
          </cell>
        </row>
        <row r="1355">
          <cell r="E1355" t="str">
            <v>Sold Not Booked</v>
          </cell>
          <cell r="G1355" t="str">
            <v>Won</v>
          </cell>
        </row>
        <row r="1356">
          <cell r="E1356" t="str">
            <v>Booked</v>
          </cell>
          <cell r="G1356" t="str">
            <v>Won</v>
          </cell>
        </row>
        <row r="1357">
          <cell r="E1357" t="str">
            <v>Booked</v>
          </cell>
          <cell r="G1357" t="str">
            <v>Won</v>
          </cell>
        </row>
        <row r="1358">
          <cell r="E1358" t="str">
            <v>Booked</v>
          </cell>
          <cell r="G1358" t="str">
            <v>Won</v>
          </cell>
        </row>
        <row r="1359">
          <cell r="E1359" t="str">
            <v>Booked</v>
          </cell>
          <cell r="G1359" t="str">
            <v>Won</v>
          </cell>
        </row>
        <row r="1360">
          <cell r="E1360" t="str">
            <v>Sold Not Booked</v>
          </cell>
          <cell r="G1360" t="str">
            <v>Won</v>
          </cell>
        </row>
        <row r="1361">
          <cell r="E1361" t="str">
            <v>Booked</v>
          </cell>
          <cell r="G1361" t="str">
            <v>Won</v>
          </cell>
        </row>
        <row r="1362">
          <cell r="E1362" t="str">
            <v>Booked</v>
          </cell>
          <cell r="G1362" t="str">
            <v>Won</v>
          </cell>
        </row>
        <row r="1363">
          <cell r="E1363" t="str">
            <v>Booked</v>
          </cell>
          <cell r="G1363" t="str">
            <v>Won</v>
          </cell>
        </row>
        <row r="1364">
          <cell r="E1364" t="str">
            <v>Sold Not Booked</v>
          </cell>
          <cell r="G1364" t="str">
            <v>Won</v>
          </cell>
        </row>
        <row r="1365">
          <cell r="E1365" t="str">
            <v>Sold Not Booked</v>
          </cell>
          <cell r="G1365" t="str">
            <v>Won</v>
          </cell>
        </row>
        <row r="1366">
          <cell r="E1366" t="str">
            <v>Booked</v>
          </cell>
          <cell r="G1366" t="str">
            <v>Won</v>
          </cell>
        </row>
        <row r="1367">
          <cell r="E1367" t="str">
            <v>Booked</v>
          </cell>
          <cell r="G1367" t="str">
            <v>Won</v>
          </cell>
        </row>
        <row r="1368">
          <cell r="E1368" t="str">
            <v>Booked</v>
          </cell>
          <cell r="G1368" t="str">
            <v>Won</v>
          </cell>
        </row>
        <row r="1369">
          <cell r="E1369" t="str">
            <v>Sold Not Booked</v>
          </cell>
          <cell r="G1369" t="str">
            <v>Won</v>
          </cell>
        </row>
        <row r="1370">
          <cell r="E1370" t="str">
            <v>Booked</v>
          </cell>
          <cell r="G1370" t="str">
            <v>Won</v>
          </cell>
        </row>
        <row r="1371">
          <cell r="E1371" t="str">
            <v>Booked</v>
          </cell>
          <cell r="G1371" t="str">
            <v>Won</v>
          </cell>
        </row>
        <row r="1372">
          <cell r="E1372" t="str">
            <v>Booked</v>
          </cell>
          <cell r="G1372" t="str">
            <v>Won</v>
          </cell>
        </row>
        <row r="1373">
          <cell r="E1373" t="str">
            <v>Sold Not Booked</v>
          </cell>
          <cell r="G1373" t="str">
            <v>Won</v>
          </cell>
        </row>
        <row r="1374">
          <cell r="E1374" t="str">
            <v>Sold Not Booked</v>
          </cell>
          <cell r="G1374" t="str">
            <v>Won</v>
          </cell>
        </row>
        <row r="1375">
          <cell r="E1375" t="str">
            <v>Sold Not Booked</v>
          </cell>
          <cell r="G1375" t="str">
            <v>Won</v>
          </cell>
        </row>
        <row r="1376">
          <cell r="E1376" t="str">
            <v>Booked</v>
          </cell>
          <cell r="G1376" t="str">
            <v>Won</v>
          </cell>
        </row>
        <row r="1377">
          <cell r="E1377" t="str">
            <v>Sold Not Booked</v>
          </cell>
          <cell r="G1377" t="str">
            <v>Won</v>
          </cell>
        </row>
        <row r="1378">
          <cell r="E1378" t="str">
            <v>Booked</v>
          </cell>
          <cell r="G1378" t="str">
            <v>Won</v>
          </cell>
        </row>
        <row r="1379">
          <cell r="E1379" t="str">
            <v>Sold Not Booked</v>
          </cell>
          <cell r="G1379" t="str">
            <v>Won</v>
          </cell>
        </row>
        <row r="1380">
          <cell r="E1380" t="str">
            <v>Sold Not Booked</v>
          </cell>
          <cell r="G1380" t="str">
            <v>Won</v>
          </cell>
        </row>
        <row r="1381">
          <cell r="E1381" t="str">
            <v>Booked</v>
          </cell>
          <cell r="G1381" t="str">
            <v>Won</v>
          </cell>
        </row>
        <row r="1382">
          <cell r="E1382" t="str">
            <v>Booked</v>
          </cell>
          <cell r="G1382" t="str">
            <v>Won</v>
          </cell>
        </row>
        <row r="1383">
          <cell r="E1383" t="str">
            <v>Booked</v>
          </cell>
          <cell r="G1383" t="str">
            <v>Won</v>
          </cell>
        </row>
        <row r="1384">
          <cell r="E1384" t="str">
            <v>Booked</v>
          </cell>
          <cell r="G1384" t="str">
            <v>Won</v>
          </cell>
        </row>
        <row r="1385">
          <cell r="E1385" t="str">
            <v>Booked</v>
          </cell>
          <cell r="G1385" t="str">
            <v>Won</v>
          </cell>
        </row>
        <row r="1386">
          <cell r="E1386" t="str">
            <v>Sold Not Booked</v>
          </cell>
          <cell r="G1386" t="str">
            <v>Won</v>
          </cell>
        </row>
        <row r="1387">
          <cell r="E1387" t="str">
            <v>Sold Not Booked</v>
          </cell>
          <cell r="G1387" t="str">
            <v>Won</v>
          </cell>
        </row>
        <row r="1388">
          <cell r="E1388" t="str">
            <v>Sold Not Booked</v>
          </cell>
          <cell r="G1388" t="str">
            <v>Won</v>
          </cell>
        </row>
        <row r="1389">
          <cell r="E1389" t="str">
            <v>Sold Not Booked</v>
          </cell>
          <cell r="G1389" t="str">
            <v>Won</v>
          </cell>
        </row>
        <row r="1390">
          <cell r="E1390" t="str">
            <v>Sold Not Booked</v>
          </cell>
          <cell r="G1390" t="str">
            <v>Won</v>
          </cell>
        </row>
        <row r="1391">
          <cell r="E1391" t="str">
            <v>Booked</v>
          </cell>
          <cell r="G1391" t="str">
            <v>Won</v>
          </cell>
        </row>
        <row r="1392">
          <cell r="E1392" t="str">
            <v>Booked</v>
          </cell>
          <cell r="G1392" t="str">
            <v>Won</v>
          </cell>
        </row>
        <row r="1393">
          <cell r="E1393" t="str">
            <v>Sold Not Booked</v>
          </cell>
          <cell r="G1393" t="str">
            <v>Won</v>
          </cell>
        </row>
        <row r="1394">
          <cell r="E1394" t="str">
            <v>Sold Not Booked</v>
          </cell>
          <cell r="G1394" t="str">
            <v>Won</v>
          </cell>
        </row>
        <row r="1395">
          <cell r="E1395" t="str">
            <v>Booked</v>
          </cell>
          <cell r="G1395" t="str">
            <v>Won</v>
          </cell>
        </row>
        <row r="1396">
          <cell r="E1396" t="str">
            <v>Booked</v>
          </cell>
          <cell r="G1396" t="str">
            <v>Won</v>
          </cell>
        </row>
        <row r="1397">
          <cell r="E1397" t="str">
            <v>Sold Not Booked</v>
          </cell>
          <cell r="G1397" t="str">
            <v>Won</v>
          </cell>
        </row>
        <row r="1398">
          <cell r="E1398" t="str">
            <v>Booked</v>
          </cell>
          <cell r="G1398" t="str">
            <v>Won</v>
          </cell>
        </row>
        <row r="1399">
          <cell r="E1399" t="str">
            <v>Booked</v>
          </cell>
          <cell r="G1399" t="str">
            <v>Won</v>
          </cell>
        </row>
        <row r="1400">
          <cell r="E1400" t="str">
            <v>Booked</v>
          </cell>
          <cell r="G1400" t="str">
            <v>Won</v>
          </cell>
        </row>
        <row r="1401">
          <cell r="E1401" t="str">
            <v>Sold Not Booked</v>
          </cell>
          <cell r="G1401" t="str">
            <v>Won</v>
          </cell>
        </row>
        <row r="1402">
          <cell r="E1402" t="str">
            <v>Booked</v>
          </cell>
          <cell r="G1402" t="str">
            <v>Won</v>
          </cell>
        </row>
        <row r="1403">
          <cell r="E1403" t="str">
            <v>Booked</v>
          </cell>
          <cell r="G1403" t="str">
            <v>Won</v>
          </cell>
        </row>
        <row r="1404">
          <cell r="E1404" t="str">
            <v>Sold Not Booked</v>
          </cell>
          <cell r="G1404" t="str">
            <v>Won</v>
          </cell>
        </row>
        <row r="1405">
          <cell r="E1405" t="str">
            <v>Sold Not Booked</v>
          </cell>
          <cell r="G1405" t="str">
            <v>Won</v>
          </cell>
        </row>
        <row r="1406">
          <cell r="E1406" t="str">
            <v>Sold Not Booked</v>
          </cell>
          <cell r="G1406" t="str">
            <v>Won</v>
          </cell>
        </row>
        <row r="1407">
          <cell r="E1407" t="str">
            <v>Sold Not Booked</v>
          </cell>
          <cell r="G1407" t="str">
            <v>Won</v>
          </cell>
        </row>
        <row r="1408">
          <cell r="E1408" t="str">
            <v>Sold Not Booked</v>
          </cell>
          <cell r="G1408" t="str">
            <v>Won</v>
          </cell>
        </row>
        <row r="1409">
          <cell r="E1409" t="str">
            <v>Sold Not Booked</v>
          </cell>
          <cell r="G1409" t="str">
            <v>Won</v>
          </cell>
        </row>
        <row r="1410">
          <cell r="E1410" t="str">
            <v>Booked</v>
          </cell>
          <cell r="G1410" t="str">
            <v>Won</v>
          </cell>
        </row>
        <row r="1411">
          <cell r="E1411" t="str">
            <v>Sold Not Booked</v>
          </cell>
          <cell r="G1411" t="str">
            <v>Won</v>
          </cell>
        </row>
        <row r="1412">
          <cell r="E1412" t="str">
            <v>Sold Not Booked</v>
          </cell>
          <cell r="G1412" t="str">
            <v>Won</v>
          </cell>
        </row>
        <row r="1413">
          <cell r="E1413" t="str">
            <v>Sold Not Booked</v>
          </cell>
          <cell r="G1413" t="str">
            <v>Won</v>
          </cell>
        </row>
        <row r="1414">
          <cell r="E1414" t="str">
            <v>Sold Not Booked</v>
          </cell>
          <cell r="G1414" t="str">
            <v>Won</v>
          </cell>
        </row>
        <row r="1415">
          <cell r="E1415" t="str">
            <v>Booked</v>
          </cell>
          <cell r="G1415" t="str">
            <v>Won</v>
          </cell>
        </row>
        <row r="1416">
          <cell r="E1416" t="str">
            <v>Booked</v>
          </cell>
          <cell r="G1416" t="str">
            <v>Won</v>
          </cell>
        </row>
        <row r="1417">
          <cell r="E1417" t="str">
            <v>Booked</v>
          </cell>
          <cell r="G1417" t="str">
            <v>Won</v>
          </cell>
        </row>
        <row r="1418">
          <cell r="E1418" t="str">
            <v>Sold Not Booked</v>
          </cell>
          <cell r="G1418" t="str">
            <v>Won</v>
          </cell>
        </row>
        <row r="1419">
          <cell r="E1419" t="str">
            <v>Booked</v>
          </cell>
          <cell r="G1419" t="str">
            <v>Won</v>
          </cell>
        </row>
        <row r="1420">
          <cell r="E1420" t="str">
            <v>Sold Not Booked</v>
          </cell>
          <cell r="G1420" t="str">
            <v>Won</v>
          </cell>
        </row>
        <row r="1421">
          <cell r="E1421" t="str">
            <v>Booked</v>
          </cell>
          <cell r="G1421" t="str">
            <v>Won</v>
          </cell>
        </row>
        <row r="1422">
          <cell r="E1422" t="str">
            <v>Booked</v>
          </cell>
          <cell r="G1422" t="str">
            <v>Won</v>
          </cell>
        </row>
        <row r="1423">
          <cell r="E1423" t="str">
            <v>Booked</v>
          </cell>
          <cell r="G1423" t="str">
            <v>Won</v>
          </cell>
        </row>
        <row r="1424">
          <cell r="E1424" t="str">
            <v>Booked</v>
          </cell>
          <cell r="G1424" t="str">
            <v>Won</v>
          </cell>
        </row>
        <row r="1425">
          <cell r="E1425" t="str">
            <v>Sold Not Booked</v>
          </cell>
          <cell r="G1425" t="str">
            <v>Won</v>
          </cell>
        </row>
        <row r="1426">
          <cell r="E1426" t="str">
            <v>Booked</v>
          </cell>
          <cell r="G1426" t="str">
            <v>Won</v>
          </cell>
        </row>
        <row r="1427">
          <cell r="E1427" t="str">
            <v>Sold Not Booked</v>
          </cell>
          <cell r="G1427" t="str">
            <v>Won</v>
          </cell>
        </row>
        <row r="1428">
          <cell r="E1428" t="str">
            <v>Booked</v>
          </cell>
          <cell r="G1428" t="str">
            <v>Won</v>
          </cell>
        </row>
        <row r="1429">
          <cell r="E1429" t="str">
            <v>Sold Not Booked</v>
          </cell>
          <cell r="G1429" t="str">
            <v>Won</v>
          </cell>
        </row>
        <row r="1430">
          <cell r="E1430" t="str">
            <v>Sold Not Booked</v>
          </cell>
          <cell r="G1430" t="str">
            <v>Won</v>
          </cell>
        </row>
        <row r="1431">
          <cell r="E1431" t="str">
            <v>Sold Not Booked</v>
          </cell>
          <cell r="G1431" t="str">
            <v>Won</v>
          </cell>
        </row>
        <row r="1432">
          <cell r="E1432" t="str">
            <v>Sold Not Booked</v>
          </cell>
          <cell r="G1432" t="str">
            <v>Won</v>
          </cell>
        </row>
        <row r="1433">
          <cell r="E1433" t="str">
            <v>Booked</v>
          </cell>
          <cell r="G1433" t="str">
            <v>Won</v>
          </cell>
        </row>
        <row r="1434">
          <cell r="E1434" t="str">
            <v>Sold Not Booked</v>
          </cell>
          <cell r="G1434" t="str">
            <v>Won</v>
          </cell>
        </row>
        <row r="1435">
          <cell r="E1435" t="str">
            <v>Sold Not Booked</v>
          </cell>
          <cell r="G1435" t="str">
            <v>Won</v>
          </cell>
        </row>
        <row r="1436">
          <cell r="E1436" t="str">
            <v>Booked</v>
          </cell>
          <cell r="G1436" t="str">
            <v>Won</v>
          </cell>
        </row>
        <row r="1437">
          <cell r="E1437" t="str">
            <v>Booked</v>
          </cell>
          <cell r="G1437" t="str">
            <v>Won</v>
          </cell>
        </row>
        <row r="1438">
          <cell r="E1438" t="str">
            <v>Booked</v>
          </cell>
          <cell r="G1438" t="str">
            <v>Won</v>
          </cell>
        </row>
        <row r="1439">
          <cell r="E1439" t="str">
            <v>Sold Not Booked</v>
          </cell>
          <cell r="G1439" t="str">
            <v>Won</v>
          </cell>
        </row>
        <row r="1440">
          <cell r="E1440" t="str">
            <v>Booked</v>
          </cell>
          <cell r="G1440" t="str">
            <v>Won</v>
          </cell>
        </row>
        <row r="1441">
          <cell r="E1441" t="str">
            <v>Booked</v>
          </cell>
          <cell r="G1441" t="str">
            <v>Won</v>
          </cell>
        </row>
        <row r="1442">
          <cell r="E1442" t="str">
            <v>Booked</v>
          </cell>
          <cell r="G1442" t="str">
            <v>Won</v>
          </cell>
        </row>
        <row r="1443">
          <cell r="E1443" t="str">
            <v>Sold Not Booked</v>
          </cell>
          <cell r="G1443" t="str">
            <v>Won</v>
          </cell>
        </row>
        <row r="1444">
          <cell r="E1444" t="str">
            <v>Sold Not Booked</v>
          </cell>
          <cell r="G1444" t="str">
            <v>Won</v>
          </cell>
        </row>
        <row r="1445">
          <cell r="E1445" t="str">
            <v>Booked</v>
          </cell>
          <cell r="G1445" t="str">
            <v>Won</v>
          </cell>
        </row>
        <row r="1446">
          <cell r="E1446" t="str">
            <v>Booked</v>
          </cell>
          <cell r="G1446" t="str">
            <v>Won</v>
          </cell>
        </row>
        <row r="1447">
          <cell r="E1447" t="str">
            <v>Booked</v>
          </cell>
          <cell r="G1447" t="str">
            <v>Won</v>
          </cell>
        </row>
        <row r="1448">
          <cell r="E1448" t="str">
            <v>Unsuccessful</v>
          </cell>
          <cell r="G1448" t="str">
            <v>Lost</v>
          </cell>
        </row>
        <row r="1449">
          <cell r="E1449" t="str">
            <v>Booked</v>
          </cell>
          <cell r="G1449" t="str">
            <v>Won</v>
          </cell>
        </row>
        <row r="1450">
          <cell r="E1450" t="str">
            <v>Sold Not Booked</v>
          </cell>
          <cell r="G1450" t="str">
            <v>Won</v>
          </cell>
        </row>
        <row r="1451">
          <cell r="E1451" t="str">
            <v>Sold Not Booked</v>
          </cell>
          <cell r="G1451" t="str">
            <v>Won</v>
          </cell>
        </row>
        <row r="1452">
          <cell r="E1452" t="str">
            <v>Booked</v>
          </cell>
          <cell r="G1452" t="str">
            <v>Won</v>
          </cell>
        </row>
        <row r="1453">
          <cell r="E1453" t="str">
            <v>Sold Not Booked</v>
          </cell>
          <cell r="G1453" t="str">
            <v>Won</v>
          </cell>
        </row>
        <row r="1454">
          <cell r="E1454" t="str">
            <v>Booked</v>
          </cell>
          <cell r="G1454" t="str">
            <v>Won</v>
          </cell>
        </row>
        <row r="1455">
          <cell r="E1455" t="str">
            <v>Sold Not Booked</v>
          </cell>
          <cell r="G1455" t="str">
            <v>Won</v>
          </cell>
        </row>
        <row r="1456">
          <cell r="E1456" t="str">
            <v>Sold Not Booked</v>
          </cell>
          <cell r="G1456" t="str">
            <v>Won</v>
          </cell>
        </row>
        <row r="1457">
          <cell r="E1457" t="str">
            <v>Booked</v>
          </cell>
          <cell r="G1457" t="str">
            <v>Won</v>
          </cell>
        </row>
        <row r="1458">
          <cell r="E1458" t="str">
            <v>Booked</v>
          </cell>
          <cell r="G1458" t="str">
            <v>Won</v>
          </cell>
        </row>
        <row r="1459">
          <cell r="E1459" t="str">
            <v>Unsuccessful</v>
          </cell>
          <cell r="G1459" t="str">
            <v>Lost</v>
          </cell>
        </row>
        <row r="1460">
          <cell r="E1460" t="str">
            <v>Sold Not Booked</v>
          </cell>
          <cell r="G1460" t="str">
            <v>Won</v>
          </cell>
        </row>
        <row r="1461">
          <cell r="E1461" t="str">
            <v>Unsuccessful</v>
          </cell>
          <cell r="G1461" t="str">
            <v>Lost</v>
          </cell>
        </row>
        <row r="1462">
          <cell r="E1462" t="str">
            <v>Booked</v>
          </cell>
          <cell r="G1462" t="str">
            <v>Won</v>
          </cell>
        </row>
        <row r="1463">
          <cell r="E1463" t="str">
            <v>Sold Not Booked</v>
          </cell>
          <cell r="G1463" t="str">
            <v>Won</v>
          </cell>
        </row>
        <row r="1464">
          <cell r="E1464" t="str">
            <v>Booked</v>
          </cell>
          <cell r="G1464" t="str">
            <v>Won</v>
          </cell>
        </row>
        <row r="1465">
          <cell r="E1465" t="str">
            <v>Unsuccessful</v>
          </cell>
          <cell r="G1465" t="str">
            <v>Lost</v>
          </cell>
        </row>
        <row r="1466">
          <cell r="E1466" t="str">
            <v>Sold Not Booked</v>
          </cell>
          <cell r="G1466" t="str">
            <v>Won</v>
          </cell>
        </row>
        <row r="1467">
          <cell r="E1467" t="str">
            <v>Sold Not Booked</v>
          </cell>
          <cell r="G1467" t="str">
            <v>Won</v>
          </cell>
        </row>
        <row r="1468">
          <cell r="E1468" t="str">
            <v>Sold Not Booked</v>
          </cell>
          <cell r="G1468" t="str">
            <v>Won</v>
          </cell>
        </row>
        <row r="1469">
          <cell r="E1469" t="str">
            <v>Unsuccessful</v>
          </cell>
          <cell r="G1469" t="str">
            <v>Lost</v>
          </cell>
        </row>
        <row r="1470">
          <cell r="E1470" t="str">
            <v>Sold Not Booked</v>
          </cell>
          <cell r="G1470" t="str">
            <v>Won</v>
          </cell>
        </row>
        <row r="1471">
          <cell r="E1471" t="str">
            <v>Sold Not Booked</v>
          </cell>
          <cell r="G1471" t="str">
            <v>Won</v>
          </cell>
        </row>
        <row r="1472">
          <cell r="E1472" t="str">
            <v>Booked</v>
          </cell>
          <cell r="G1472" t="str">
            <v>Won</v>
          </cell>
        </row>
        <row r="1473">
          <cell r="E1473" t="str">
            <v>Sold Not Booked</v>
          </cell>
          <cell r="G1473" t="str">
            <v>Won</v>
          </cell>
        </row>
        <row r="1474">
          <cell r="E1474" t="str">
            <v>Booked</v>
          </cell>
          <cell r="G1474" t="str">
            <v>Won</v>
          </cell>
        </row>
        <row r="1475">
          <cell r="E1475" t="str">
            <v>Booked</v>
          </cell>
          <cell r="G1475" t="str">
            <v>Won</v>
          </cell>
        </row>
        <row r="1476">
          <cell r="E1476" t="str">
            <v>Booked</v>
          </cell>
          <cell r="G1476" t="str">
            <v>Won</v>
          </cell>
        </row>
        <row r="1477">
          <cell r="E1477" t="str">
            <v>Unsuccessful</v>
          </cell>
          <cell r="G1477" t="str">
            <v>Lost</v>
          </cell>
        </row>
        <row r="1478">
          <cell r="E1478" t="str">
            <v>Booked</v>
          </cell>
          <cell r="G1478" t="str">
            <v>Won</v>
          </cell>
        </row>
        <row r="1479">
          <cell r="E1479" t="str">
            <v>Sold Not Booked</v>
          </cell>
          <cell r="G1479" t="str">
            <v>Won</v>
          </cell>
        </row>
        <row r="1480">
          <cell r="E1480" t="str">
            <v>Sold Not Booked</v>
          </cell>
          <cell r="G1480" t="str">
            <v>Won</v>
          </cell>
        </row>
        <row r="1481">
          <cell r="E1481" t="str">
            <v>Sold Not Booked</v>
          </cell>
          <cell r="G1481" t="str">
            <v>Won</v>
          </cell>
        </row>
        <row r="1482">
          <cell r="E1482" t="str">
            <v>Booked</v>
          </cell>
          <cell r="G1482" t="str">
            <v>Won</v>
          </cell>
        </row>
        <row r="1483">
          <cell r="E1483" t="str">
            <v>Booked</v>
          </cell>
          <cell r="G1483" t="str">
            <v>Won</v>
          </cell>
        </row>
        <row r="1484">
          <cell r="E1484" t="str">
            <v>Sold Not Booked</v>
          </cell>
          <cell r="G1484" t="str">
            <v>Won</v>
          </cell>
        </row>
        <row r="1485">
          <cell r="E1485" t="str">
            <v>Booked</v>
          </cell>
          <cell r="G1485" t="str">
            <v>Won</v>
          </cell>
        </row>
        <row r="1486">
          <cell r="E1486" t="str">
            <v>Sold Not Booked</v>
          </cell>
          <cell r="G1486" t="str">
            <v>Won</v>
          </cell>
        </row>
        <row r="1487">
          <cell r="E1487" t="str">
            <v>Sold Not Booked</v>
          </cell>
          <cell r="G1487" t="str">
            <v>Won</v>
          </cell>
        </row>
        <row r="1488">
          <cell r="E1488" t="str">
            <v>Booked</v>
          </cell>
          <cell r="G1488" t="str">
            <v>Won</v>
          </cell>
        </row>
        <row r="1489">
          <cell r="E1489" t="str">
            <v>Sold Not Booked</v>
          </cell>
          <cell r="G1489" t="str">
            <v>Won</v>
          </cell>
        </row>
        <row r="1490">
          <cell r="E1490" t="str">
            <v>Booked</v>
          </cell>
          <cell r="G1490" t="str">
            <v>Won</v>
          </cell>
        </row>
        <row r="1491">
          <cell r="E1491" t="str">
            <v>Sold Not Booked</v>
          </cell>
          <cell r="G1491" t="str">
            <v>Won</v>
          </cell>
        </row>
        <row r="1492">
          <cell r="E1492" t="str">
            <v>Booked</v>
          </cell>
          <cell r="G1492" t="str">
            <v>Won</v>
          </cell>
        </row>
        <row r="1493">
          <cell r="E1493" t="str">
            <v>Sold Not Booked</v>
          </cell>
          <cell r="G1493" t="str">
            <v>Won</v>
          </cell>
        </row>
        <row r="1494">
          <cell r="E1494" t="str">
            <v>Booked</v>
          </cell>
          <cell r="G1494" t="str">
            <v>Won</v>
          </cell>
        </row>
        <row r="1495">
          <cell r="E1495" t="str">
            <v>Booked</v>
          </cell>
          <cell r="G1495" t="str">
            <v>Won</v>
          </cell>
        </row>
        <row r="1496">
          <cell r="E1496" t="str">
            <v>Sold Not Booked</v>
          </cell>
          <cell r="G1496" t="str">
            <v>Won</v>
          </cell>
        </row>
        <row r="1497">
          <cell r="E1497" t="str">
            <v>Unsuccessful</v>
          </cell>
          <cell r="G1497" t="str">
            <v>Lost</v>
          </cell>
        </row>
        <row r="1498">
          <cell r="E1498" t="str">
            <v>Booked</v>
          </cell>
          <cell r="G1498" t="str">
            <v>Won</v>
          </cell>
        </row>
        <row r="1499">
          <cell r="E1499" t="str">
            <v>Sold Not Booked</v>
          </cell>
          <cell r="G1499" t="str">
            <v>Won</v>
          </cell>
        </row>
        <row r="1500">
          <cell r="E1500" t="str">
            <v>Sold Not Booked</v>
          </cell>
          <cell r="G1500" t="str">
            <v>Won</v>
          </cell>
        </row>
        <row r="1501">
          <cell r="E1501" t="str">
            <v>Sold Not Booked</v>
          </cell>
          <cell r="G1501" t="str">
            <v>Won</v>
          </cell>
        </row>
        <row r="1502">
          <cell r="E1502" t="str">
            <v>Unsuccessful</v>
          </cell>
          <cell r="G1502" t="str">
            <v>Lost</v>
          </cell>
        </row>
        <row r="1503">
          <cell r="E1503" t="str">
            <v>Sold Not Booked</v>
          </cell>
          <cell r="G1503" t="str">
            <v>Won</v>
          </cell>
        </row>
        <row r="1504">
          <cell r="E1504" t="str">
            <v>Booked</v>
          </cell>
          <cell r="G1504" t="str">
            <v>Won</v>
          </cell>
        </row>
        <row r="1505">
          <cell r="E1505" t="str">
            <v>Booked</v>
          </cell>
          <cell r="G1505" t="str">
            <v>Won</v>
          </cell>
        </row>
        <row r="1506">
          <cell r="E1506" t="str">
            <v>Unsuccessful</v>
          </cell>
          <cell r="G1506" t="str">
            <v>Lost</v>
          </cell>
        </row>
        <row r="1507">
          <cell r="E1507" t="str">
            <v>Sold Not Booked</v>
          </cell>
          <cell r="G1507" t="str">
            <v>Won</v>
          </cell>
        </row>
        <row r="1508">
          <cell r="E1508" t="str">
            <v>Sold Not Booked</v>
          </cell>
          <cell r="G1508" t="str">
            <v>Won</v>
          </cell>
        </row>
        <row r="1509">
          <cell r="E1509" t="str">
            <v>Sold Not Booked</v>
          </cell>
          <cell r="G1509" t="str">
            <v>Won</v>
          </cell>
        </row>
        <row r="1510">
          <cell r="E1510" t="str">
            <v>Sold Not Booked</v>
          </cell>
          <cell r="G1510" t="str">
            <v>Won</v>
          </cell>
        </row>
        <row r="1511">
          <cell r="E1511" t="str">
            <v>Booked</v>
          </cell>
          <cell r="G1511" t="str">
            <v>Won</v>
          </cell>
        </row>
        <row r="1512">
          <cell r="E1512" t="str">
            <v>Sold Not Booked</v>
          </cell>
          <cell r="G1512" t="str">
            <v>Won</v>
          </cell>
        </row>
        <row r="1513">
          <cell r="E1513" t="str">
            <v>Unsuccessful</v>
          </cell>
          <cell r="G1513" t="str">
            <v>Lost</v>
          </cell>
        </row>
        <row r="1514">
          <cell r="E1514" t="str">
            <v>Sold Not Booked</v>
          </cell>
          <cell r="G1514" t="str">
            <v>Won</v>
          </cell>
        </row>
        <row r="1515">
          <cell r="E1515" t="str">
            <v>Booked</v>
          </cell>
          <cell r="G1515" t="str">
            <v>Won</v>
          </cell>
        </row>
        <row r="1516">
          <cell r="E1516" t="str">
            <v>Sold Not Booked</v>
          </cell>
          <cell r="G1516" t="str">
            <v>Won</v>
          </cell>
        </row>
        <row r="1517">
          <cell r="E1517" t="str">
            <v>Booked</v>
          </cell>
          <cell r="G1517" t="str">
            <v>Won</v>
          </cell>
        </row>
        <row r="1518">
          <cell r="E1518" t="str">
            <v>Sold Not Booked</v>
          </cell>
          <cell r="G1518" t="str">
            <v>Won</v>
          </cell>
        </row>
        <row r="1519">
          <cell r="E1519" t="str">
            <v>Sold Not Booked</v>
          </cell>
          <cell r="G1519" t="str">
            <v>Won</v>
          </cell>
        </row>
        <row r="1520">
          <cell r="E1520" t="str">
            <v>Sold Not Booked</v>
          </cell>
          <cell r="G1520" t="str">
            <v>Won</v>
          </cell>
        </row>
        <row r="1521">
          <cell r="E1521" t="str">
            <v>Sold Not Booked</v>
          </cell>
          <cell r="G1521" t="str">
            <v>Won</v>
          </cell>
        </row>
        <row r="1522">
          <cell r="E1522" t="str">
            <v>Booked</v>
          </cell>
          <cell r="G1522" t="str">
            <v>Won</v>
          </cell>
        </row>
        <row r="1523">
          <cell r="E1523" t="str">
            <v>Sold Not Booked</v>
          </cell>
          <cell r="G1523" t="str">
            <v>Won</v>
          </cell>
        </row>
        <row r="1524">
          <cell r="E1524" t="str">
            <v>Unsuccessful</v>
          </cell>
          <cell r="G1524" t="str">
            <v>Lost</v>
          </cell>
        </row>
        <row r="1525">
          <cell r="E1525" t="str">
            <v>Booked</v>
          </cell>
          <cell r="G1525" t="str">
            <v>Won</v>
          </cell>
        </row>
        <row r="1526">
          <cell r="E1526" t="str">
            <v>Booked</v>
          </cell>
          <cell r="G1526" t="str">
            <v>Won</v>
          </cell>
        </row>
        <row r="1527">
          <cell r="E1527" t="str">
            <v>Sold Not Booked</v>
          </cell>
          <cell r="G1527" t="str">
            <v>Won</v>
          </cell>
        </row>
        <row r="1528">
          <cell r="E1528" t="str">
            <v>Sold Not Booked</v>
          </cell>
          <cell r="G1528" t="str">
            <v>Won</v>
          </cell>
        </row>
        <row r="1529">
          <cell r="E1529" t="str">
            <v>Booked</v>
          </cell>
          <cell r="G1529" t="str">
            <v>Won</v>
          </cell>
        </row>
        <row r="1530">
          <cell r="E1530" t="str">
            <v>Sold Not Booked</v>
          </cell>
          <cell r="G1530" t="str">
            <v>Won</v>
          </cell>
        </row>
        <row r="1531">
          <cell r="E1531" t="str">
            <v>Sold Not Booked</v>
          </cell>
          <cell r="G1531" t="str">
            <v>Won</v>
          </cell>
        </row>
        <row r="1532">
          <cell r="E1532" t="str">
            <v>Booked</v>
          </cell>
          <cell r="G1532" t="str">
            <v>Won</v>
          </cell>
        </row>
        <row r="1533">
          <cell r="E1533" t="str">
            <v>Booked</v>
          </cell>
          <cell r="G1533" t="str">
            <v>Won</v>
          </cell>
        </row>
        <row r="1534">
          <cell r="E1534" t="str">
            <v>Sold Not Booked</v>
          </cell>
          <cell r="G1534" t="str">
            <v>Won</v>
          </cell>
        </row>
        <row r="1535">
          <cell r="E1535" t="str">
            <v>Sold Not Booked</v>
          </cell>
          <cell r="G1535" t="str">
            <v>Won</v>
          </cell>
        </row>
        <row r="1536">
          <cell r="E1536" t="str">
            <v>Unsuccessful</v>
          </cell>
          <cell r="G1536" t="str">
            <v>Lost</v>
          </cell>
        </row>
        <row r="1537">
          <cell r="E1537" t="str">
            <v>Sold Not Booked</v>
          </cell>
          <cell r="G1537" t="str">
            <v>Won</v>
          </cell>
        </row>
        <row r="1538">
          <cell r="E1538" t="str">
            <v>Booked</v>
          </cell>
          <cell r="G1538" t="str">
            <v>Won</v>
          </cell>
        </row>
        <row r="1539">
          <cell r="E1539" t="str">
            <v>Sold Not Booked</v>
          </cell>
          <cell r="G1539" t="str">
            <v>Won</v>
          </cell>
        </row>
        <row r="1540">
          <cell r="E1540" t="str">
            <v>Booked</v>
          </cell>
          <cell r="G1540" t="str">
            <v>Won</v>
          </cell>
        </row>
        <row r="1541">
          <cell r="E1541" t="str">
            <v>Sold Not Booked</v>
          </cell>
          <cell r="G1541" t="str">
            <v>Won</v>
          </cell>
        </row>
        <row r="1542">
          <cell r="E1542" t="str">
            <v>Booked</v>
          </cell>
          <cell r="G1542" t="str">
            <v>Won</v>
          </cell>
        </row>
        <row r="1543">
          <cell r="E1543" t="str">
            <v>Sold Not Booked</v>
          </cell>
          <cell r="G1543" t="str">
            <v>Won</v>
          </cell>
        </row>
        <row r="1544">
          <cell r="E1544" t="str">
            <v>Sold Not Booked</v>
          </cell>
          <cell r="G1544" t="str">
            <v>Won</v>
          </cell>
        </row>
        <row r="1545">
          <cell r="E1545" t="str">
            <v>Sold Not Booked</v>
          </cell>
          <cell r="G1545" t="str">
            <v>Won</v>
          </cell>
        </row>
        <row r="1546">
          <cell r="E1546" t="str">
            <v>Booked</v>
          </cell>
          <cell r="G1546" t="str">
            <v>Won</v>
          </cell>
        </row>
        <row r="1547">
          <cell r="E1547" t="str">
            <v>Unsuccessful</v>
          </cell>
          <cell r="G1547" t="str">
            <v>Lost</v>
          </cell>
        </row>
        <row r="1548">
          <cell r="E1548" t="str">
            <v>Sold Not Booked</v>
          </cell>
          <cell r="G1548" t="str">
            <v>Won</v>
          </cell>
        </row>
        <row r="1549">
          <cell r="E1549" t="str">
            <v>Booked</v>
          </cell>
          <cell r="G1549" t="str">
            <v>Won</v>
          </cell>
        </row>
        <row r="1550">
          <cell r="E1550" t="str">
            <v>Booked</v>
          </cell>
          <cell r="G1550" t="str">
            <v>Won</v>
          </cell>
        </row>
        <row r="1551">
          <cell r="E1551" t="str">
            <v>Booked</v>
          </cell>
          <cell r="G1551" t="str">
            <v>Won</v>
          </cell>
        </row>
        <row r="1552">
          <cell r="E1552" t="str">
            <v>Booked</v>
          </cell>
          <cell r="G1552" t="str">
            <v>Won</v>
          </cell>
        </row>
        <row r="1553">
          <cell r="E1553" t="str">
            <v>Booked</v>
          </cell>
          <cell r="G1553" t="str">
            <v>Won</v>
          </cell>
        </row>
        <row r="1554">
          <cell r="E1554" t="str">
            <v>Sold Not Booked</v>
          </cell>
          <cell r="G1554" t="str">
            <v>Won</v>
          </cell>
        </row>
        <row r="1555">
          <cell r="E1555" t="str">
            <v>Booked</v>
          </cell>
          <cell r="G1555" t="str">
            <v>Won</v>
          </cell>
        </row>
        <row r="1556">
          <cell r="E1556" t="str">
            <v>Booked</v>
          </cell>
          <cell r="G1556" t="str">
            <v>Won</v>
          </cell>
        </row>
        <row r="1557">
          <cell r="E1557" t="str">
            <v>Sold Not Booked</v>
          </cell>
          <cell r="G1557" t="str">
            <v>Won</v>
          </cell>
        </row>
        <row r="1558">
          <cell r="E1558" t="str">
            <v>Sold Not Booked</v>
          </cell>
          <cell r="G1558" t="str">
            <v>Won</v>
          </cell>
        </row>
        <row r="1559">
          <cell r="E1559" t="str">
            <v>Booked</v>
          </cell>
          <cell r="G1559" t="str">
            <v>Won</v>
          </cell>
        </row>
        <row r="1560">
          <cell r="E1560" t="str">
            <v>Sold Not Booked</v>
          </cell>
          <cell r="G1560" t="str">
            <v>Won</v>
          </cell>
        </row>
        <row r="1561">
          <cell r="E1561" t="str">
            <v>Booked</v>
          </cell>
          <cell r="G1561" t="str">
            <v>Won</v>
          </cell>
        </row>
        <row r="1562">
          <cell r="E1562" t="str">
            <v>Sold Not Booked</v>
          </cell>
          <cell r="G1562" t="str">
            <v>Won</v>
          </cell>
        </row>
        <row r="1563">
          <cell r="E1563" t="str">
            <v>Sold Not Booked</v>
          </cell>
          <cell r="G1563" t="str">
            <v>Won</v>
          </cell>
        </row>
        <row r="1564">
          <cell r="E1564" t="str">
            <v>Sold Not Booked</v>
          </cell>
          <cell r="G1564" t="str">
            <v>Won</v>
          </cell>
        </row>
        <row r="1565">
          <cell r="E1565" t="str">
            <v>Booked</v>
          </cell>
          <cell r="G1565" t="str">
            <v>Won</v>
          </cell>
        </row>
        <row r="1566">
          <cell r="E1566" t="str">
            <v>Booked</v>
          </cell>
          <cell r="G1566" t="str">
            <v>Won</v>
          </cell>
        </row>
        <row r="1567">
          <cell r="E1567" t="str">
            <v>Sold Not Booked</v>
          </cell>
          <cell r="G1567" t="str">
            <v>Won</v>
          </cell>
        </row>
        <row r="1568">
          <cell r="E1568" t="str">
            <v>Sold Not Booked</v>
          </cell>
          <cell r="G1568" t="str">
            <v>Won</v>
          </cell>
        </row>
        <row r="1569">
          <cell r="E1569" t="str">
            <v>Booked</v>
          </cell>
          <cell r="G1569" t="str">
            <v>Won</v>
          </cell>
        </row>
        <row r="1570">
          <cell r="E1570" t="str">
            <v>Sold Not Booked</v>
          </cell>
          <cell r="G1570" t="str">
            <v>Won</v>
          </cell>
        </row>
        <row r="1571">
          <cell r="E1571" t="str">
            <v>Sold Not Booked</v>
          </cell>
          <cell r="G1571" t="str">
            <v>Won</v>
          </cell>
        </row>
        <row r="1572">
          <cell r="E1572" t="str">
            <v>Sold Not Booked</v>
          </cell>
          <cell r="G1572" t="str">
            <v>Won</v>
          </cell>
        </row>
        <row r="1573">
          <cell r="E1573" t="str">
            <v>Sold Not Booked</v>
          </cell>
          <cell r="G1573" t="str">
            <v>Won</v>
          </cell>
        </row>
        <row r="1574">
          <cell r="E1574" t="str">
            <v>Sold Not Booked</v>
          </cell>
          <cell r="G1574" t="str">
            <v>Won</v>
          </cell>
        </row>
        <row r="1575">
          <cell r="E1575" t="str">
            <v>Booked</v>
          </cell>
          <cell r="G1575" t="str">
            <v>Won</v>
          </cell>
        </row>
        <row r="1576">
          <cell r="E1576" t="str">
            <v>Sold Not Booked</v>
          </cell>
          <cell r="G1576" t="str">
            <v>Won</v>
          </cell>
        </row>
        <row r="1577">
          <cell r="E1577" t="str">
            <v>Unsuccessful</v>
          </cell>
          <cell r="G1577" t="str">
            <v>Lost</v>
          </cell>
        </row>
        <row r="1578">
          <cell r="E1578" t="str">
            <v>Booked</v>
          </cell>
          <cell r="G1578" t="str">
            <v>Won</v>
          </cell>
        </row>
        <row r="1579">
          <cell r="E1579" t="str">
            <v>Unsuccessful</v>
          </cell>
          <cell r="G1579" t="str">
            <v>Lost</v>
          </cell>
        </row>
        <row r="1580">
          <cell r="E1580" t="str">
            <v>Sold Not Booked</v>
          </cell>
          <cell r="G1580" t="str">
            <v>Won</v>
          </cell>
        </row>
        <row r="1581">
          <cell r="E1581" t="str">
            <v>Sold Not Booked</v>
          </cell>
          <cell r="G1581" t="str">
            <v>Won</v>
          </cell>
        </row>
        <row r="1582">
          <cell r="E1582" t="str">
            <v>Best Few</v>
          </cell>
          <cell r="G1582" t="str">
            <v>Open</v>
          </cell>
        </row>
        <row r="1583">
          <cell r="E1583" t="str">
            <v>Unsuccessful</v>
          </cell>
          <cell r="G1583" t="str">
            <v>Lost</v>
          </cell>
        </row>
        <row r="1584">
          <cell r="E1584" t="str">
            <v>Above the Funnel</v>
          </cell>
          <cell r="G1584" t="str">
            <v>Open</v>
          </cell>
        </row>
        <row r="1585">
          <cell r="E1585" t="str">
            <v>In the Funnel</v>
          </cell>
          <cell r="G1585" t="str">
            <v>Open</v>
          </cell>
        </row>
        <row r="1586">
          <cell r="E1586" t="str">
            <v>Unsuccessful</v>
          </cell>
          <cell r="G1586" t="str">
            <v>Lost</v>
          </cell>
        </row>
        <row r="1587">
          <cell r="E1587" t="str">
            <v>Above the Funnel</v>
          </cell>
          <cell r="G1587" t="str">
            <v>Open</v>
          </cell>
        </row>
        <row r="1588">
          <cell r="E1588" t="str">
            <v>Best Few</v>
          </cell>
          <cell r="G1588" t="str">
            <v>Open</v>
          </cell>
        </row>
        <row r="1589">
          <cell r="E1589" t="str">
            <v>Above the Funnel</v>
          </cell>
          <cell r="G1589" t="str">
            <v>Open</v>
          </cell>
        </row>
        <row r="1590">
          <cell r="E1590" t="str">
            <v>In the Funnel</v>
          </cell>
          <cell r="G1590" t="str">
            <v>Open</v>
          </cell>
        </row>
        <row r="1591">
          <cell r="E1591" t="str">
            <v>Unsuccessful</v>
          </cell>
          <cell r="G1591" t="str">
            <v>Lost</v>
          </cell>
        </row>
        <row r="1592">
          <cell r="E1592" t="str">
            <v>Best Few</v>
          </cell>
          <cell r="G1592" t="str">
            <v>Open</v>
          </cell>
        </row>
        <row r="1593">
          <cell r="E1593" t="str">
            <v>In the Funnel</v>
          </cell>
          <cell r="G1593" t="str">
            <v>Open</v>
          </cell>
        </row>
        <row r="1594">
          <cell r="E1594" t="str">
            <v>Above the Funnel</v>
          </cell>
          <cell r="G1594" t="str">
            <v>Open</v>
          </cell>
        </row>
        <row r="1595">
          <cell r="E1595" t="str">
            <v>Best Few</v>
          </cell>
          <cell r="G1595" t="str">
            <v>Open</v>
          </cell>
        </row>
        <row r="1596">
          <cell r="E1596" t="str">
            <v>In the Funnel</v>
          </cell>
          <cell r="G1596" t="str">
            <v>Open</v>
          </cell>
        </row>
        <row r="1597">
          <cell r="E1597" t="str">
            <v>Unsuccessful</v>
          </cell>
          <cell r="G1597" t="str">
            <v>Lost</v>
          </cell>
        </row>
        <row r="1598">
          <cell r="E1598" t="str">
            <v>In the Funnel</v>
          </cell>
          <cell r="G1598" t="str">
            <v>Open</v>
          </cell>
        </row>
        <row r="1599">
          <cell r="E1599" t="str">
            <v>Best Few</v>
          </cell>
          <cell r="G1599" t="str">
            <v>Open</v>
          </cell>
        </row>
        <row r="1600">
          <cell r="E1600" t="str">
            <v>Best Few</v>
          </cell>
          <cell r="G1600" t="str">
            <v>Open</v>
          </cell>
        </row>
        <row r="1601">
          <cell r="E1601" t="str">
            <v>In the Funnel</v>
          </cell>
          <cell r="G1601" t="str">
            <v>Open</v>
          </cell>
        </row>
        <row r="1602">
          <cell r="E1602" t="str">
            <v>In the Funnel</v>
          </cell>
          <cell r="G1602" t="str">
            <v>Open</v>
          </cell>
        </row>
        <row r="1603">
          <cell r="E1603" t="str">
            <v>In the Funnel</v>
          </cell>
          <cell r="G1603" t="str">
            <v>Open</v>
          </cell>
        </row>
        <row r="1604">
          <cell r="E1604" t="str">
            <v>Above the Funnel</v>
          </cell>
          <cell r="G1604" t="str">
            <v>Open</v>
          </cell>
        </row>
        <row r="1605">
          <cell r="E1605" t="str">
            <v>In the Funnel</v>
          </cell>
          <cell r="G1605" t="str">
            <v>Open</v>
          </cell>
        </row>
        <row r="1606">
          <cell r="E1606" t="str">
            <v>In the Funnel</v>
          </cell>
          <cell r="G1606" t="str">
            <v>Open</v>
          </cell>
        </row>
        <row r="1607">
          <cell r="E1607" t="str">
            <v>In the Funnel</v>
          </cell>
          <cell r="G1607" t="str">
            <v>Open</v>
          </cell>
        </row>
        <row r="1608">
          <cell r="E1608" t="str">
            <v>In the Funnel</v>
          </cell>
          <cell r="G1608" t="str">
            <v>Open</v>
          </cell>
        </row>
        <row r="1609">
          <cell r="E1609" t="str">
            <v>Above the Funnel</v>
          </cell>
          <cell r="G1609" t="str">
            <v>Open</v>
          </cell>
        </row>
        <row r="1610">
          <cell r="E1610" t="str">
            <v>Above the Funnel</v>
          </cell>
          <cell r="G1610" t="str">
            <v>Open</v>
          </cell>
        </row>
        <row r="1611">
          <cell r="E1611" t="str">
            <v>In the Funnel</v>
          </cell>
          <cell r="G1611" t="str">
            <v>Open</v>
          </cell>
        </row>
        <row r="1612">
          <cell r="E1612" t="str">
            <v>Above the Funnel</v>
          </cell>
          <cell r="G1612" t="str">
            <v>Open</v>
          </cell>
        </row>
        <row r="1613">
          <cell r="E1613" t="str">
            <v>Best Few</v>
          </cell>
          <cell r="G1613" t="str">
            <v>Open</v>
          </cell>
        </row>
        <row r="1614">
          <cell r="E1614" t="str">
            <v>Best Few</v>
          </cell>
          <cell r="G1614" t="str">
            <v>Open</v>
          </cell>
        </row>
        <row r="1615">
          <cell r="E1615" t="str">
            <v>Best Few</v>
          </cell>
          <cell r="G1615" t="str">
            <v>Open</v>
          </cell>
        </row>
        <row r="1616">
          <cell r="E1616" t="str">
            <v>In the Funnel</v>
          </cell>
          <cell r="G1616" t="str">
            <v>Open</v>
          </cell>
        </row>
        <row r="1617">
          <cell r="E1617" t="str">
            <v>Best Few</v>
          </cell>
          <cell r="G1617" t="str">
            <v>Open</v>
          </cell>
        </row>
        <row r="1618">
          <cell r="E1618" t="str">
            <v>Best Few</v>
          </cell>
          <cell r="G1618" t="str">
            <v>Open</v>
          </cell>
        </row>
        <row r="1619">
          <cell r="E1619" t="str">
            <v>Unsuccessful</v>
          </cell>
          <cell r="G1619" t="str">
            <v>Lost</v>
          </cell>
        </row>
        <row r="1620">
          <cell r="E1620" t="str">
            <v>Above the Funnel</v>
          </cell>
          <cell r="G1620" t="str">
            <v>Open</v>
          </cell>
        </row>
        <row r="1621">
          <cell r="E1621" t="str">
            <v>In the Funnel</v>
          </cell>
          <cell r="G1621" t="str">
            <v>Open</v>
          </cell>
        </row>
        <row r="1622">
          <cell r="E1622" t="str">
            <v>In the Funnel</v>
          </cell>
          <cell r="G1622" t="str">
            <v>Open</v>
          </cell>
        </row>
        <row r="1623">
          <cell r="E1623" t="str">
            <v>Above the Funnel</v>
          </cell>
          <cell r="G1623" t="str">
            <v>Open</v>
          </cell>
        </row>
        <row r="1624">
          <cell r="E1624" t="str">
            <v>In the Funnel</v>
          </cell>
          <cell r="G1624" t="str">
            <v>Open</v>
          </cell>
        </row>
        <row r="1625">
          <cell r="E1625" t="str">
            <v>Best Few</v>
          </cell>
          <cell r="G1625" t="str">
            <v>Open</v>
          </cell>
        </row>
        <row r="1626">
          <cell r="E1626" t="str">
            <v>In the Funnel</v>
          </cell>
          <cell r="G1626" t="str">
            <v>Open</v>
          </cell>
        </row>
        <row r="1627">
          <cell r="E1627" t="str">
            <v>Above the Funnel</v>
          </cell>
          <cell r="G1627" t="str">
            <v>Open</v>
          </cell>
        </row>
        <row r="1628">
          <cell r="E1628" t="str">
            <v>Above the Funnel</v>
          </cell>
          <cell r="G1628" t="str">
            <v>Open</v>
          </cell>
        </row>
        <row r="1629">
          <cell r="E1629" t="str">
            <v>Above the Funnel</v>
          </cell>
          <cell r="G1629" t="str">
            <v>Open</v>
          </cell>
        </row>
        <row r="1630">
          <cell r="E1630" t="str">
            <v>In the Funnel</v>
          </cell>
          <cell r="G1630" t="str">
            <v>Open</v>
          </cell>
        </row>
        <row r="1631">
          <cell r="E1631" t="str">
            <v>Above the Funnel</v>
          </cell>
          <cell r="G1631" t="str">
            <v>Open</v>
          </cell>
        </row>
        <row r="1632">
          <cell r="E1632" t="str">
            <v>Above the Funnel</v>
          </cell>
          <cell r="G1632" t="str">
            <v>Open</v>
          </cell>
        </row>
        <row r="1633">
          <cell r="E1633" t="str">
            <v>Best Few</v>
          </cell>
          <cell r="G1633" t="str">
            <v>Open</v>
          </cell>
        </row>
        <row r="1634">
          <cell r="E1634" t="str">
            <v>Above the Funnel</v>
          </cell>
          <cell r="G1634" t="str">
            <v>Open</v>
          </cell>
        </row>
        <row r="1635">
          <cell r="E1635" t="str">
            <v>Above the Funnel</v>
          </cell>
          <cell r="G1635" t="str">
            <v>Open</v>
          </cell>
        </row>
        <row r="1636">
          <cell r="E1636" t="str">
            <v>Above the Funnel</v>
          </cell>
          <cell r="G1636" t="str">
            <v>Open</v>
          </cell>
        </row>
        <row r="1637">
          <cell r="E1637" t="str">
            <v>Above the Funnel</v>
          </cell>
          <cell r="G1637" t="str">
            <v>Open</v>
          </cell>
        </row>
        <row r="1638">
          <cell r="E1638" t="str">
            <v>Best Few</v>
          </cell>
          <cell r="G1638" t="str">
            <v>Open</v>
          </cell>
        </row>
        <row r="1639">
          <cell r="E1639" t="str">
            <v>Best Few</v>
          </cell>
          <cell r="G1639" t="str">
            <v>Open</v>
          </cell>
        </row>
        <row r="1640">
          <cell r="E1640" t="str">
            <v>In the Funnel</v>
          </cell>
          <cell r="G1640" t="str">
            <v>Open</v>
          </cell>
        </row>
        <row r="1641">
          <cell r="E1641" t="str">
            <v>Above the Funnel</v>
          </cell>
          <cell r="G1641" t="str">
            <v>Open</v>
          </cell>
        </row>
        <row r="1642">
          <cell r="E1642" t="str">
            <v>Above the Funnel</v>
          </cell>
          <cell r="G1642" t="str">
            <v>Open</v>
          </cell>
        </row>
        <row r="1643">
          <cell r="E1643" t="str">
            <v>Above the Funnel</v>
          </cell>
          <cell r="G1643" t="str">
            <v>Open</v>
          </cell>
        </row>
        <row r="1644">
          <cell r="E1644" t="str">
            <v>Above the Funnel</v>
          </cell>
          <cell r="G1644" t="str">
            <v>Open</v>
          </cell>
        </row>
        <row r="1645">
          <cell r="E1645" t="str">
            <v>Best Few</v>
          </cell>
          <cell r="G1645" t="str">
            <v>Open</v>
          </cell>
        </row>
        <row r="1646">
          <cell r="E1646" t="str">
            <v>Best Few</v>
          </cell>
          <cell r="G1646" t="str">
            <v>Open</v>
          </cell>
        </row>
        <row r="1647">
          <cell r="E1647" t="str">
            <v>Above the Funnel</v>
          </cell>
          <cell r="G1647" t="str">
            <v>Open</v>
          </cell>
        </row>
        <row r="1648">
          <cell r="E1648" t="str">
            <v>Above the Funnel</v>
          </cell>
          <cell r="G1648" t="str">
            <v>Open</v>
          </cell>
        </row>
        <row r="1649">
          <cell r="E1649" t="str">
            <v>Unsuccessful</v>
          </cell>
          <cell r="G1649" t="str">
            <v>Lost</v>
          </cell>
        </row>
        <row r="1650">
          <cell r="E1650" t="str">
            <v>Above the Funnel</v>
          </cell>
          <cell r="G1650" t="str">
            <v>Open</v>
          </cell>
        </row>
        <row r="1651">
          <cell r="E1651" t="str">
            <v>Above the Funnel</v>
          </cell>
          <cell r="G1651" t="str">
            <v>Open</v>
          </cell>
        </row>
        <row r="1652">
          <cell r="E1652" t="str">
            <v>Best Few</v>
          </cell>
          <cell r="G1652" t="str">
            <v>Open</v>
          </cell>
        </row>
        <row r="1653">
          <cell r="E1653" t="str">
            <v>Unsuccessful</v>
          </cell>
          <cell r="G1653" t="str">
            <v>Lost</v>
          </cell>
        </row>
        <row r="1654">
          <cell r="E1654" t="str">
            <v>Above the Funnel</v>
          </cell>
          <cell r="G1654" t="str">
            <v>Open</v>
          </cell>
        </row>
        <row r="1655">
          <cell r="E1655" t="str">
            <v>Best Few</v>
          </cell>
          <cell r="G1655" t="str">
            <v>Open</v>
          </cell>
        </row>
        <row r="1656">
          <cell r="E1656" t="str">
            <v>Best Few</v>
          </cell>
          <cell r="G1656" t="str">
            <v>Open</v>
          </cell>
        </row>
        <row r="1657">
          <cell r="E1657" t="str">
            <v>Unsuccessful</v>
          </cell>
          <cell r="G1657" t="str">
            <v>Lost</v>
          </cell>
        </row>
        <row r="1658">
          <cell r="E1658" t="str">
            <v>Above the Funnel</v>
          </cell>
          <cell r="G1658" t="str">
            <v>Open</v>
          </cell>
        </row>
        <row r="1659">
          <cell r="E1659" t="str">
            <v>Above the Funnel</v>
          </cell>
          <cell r="G1659" t="str">
            <v>Open</v>
          </cell>
        </row>
        <row r="1660">
          <cell r="E1660" t="str">
            <v>Above the Funnel</v>
          </cell>
          <cell r="G1660" t="str">
            <v>Open</v>
          </cell>
        </row>
        <row r="1661">
          <cell r="E1661" t="str">
            <v>Unsuccessful</v>
          </cell>
          <cell r="G1661" t="str">
            <v>Lost</v>
          </cell>
        </row>
        <row r="1662">
          <cell r="E1662" t="str">
            <v>Unsuccessful</v>
          </cell>
          <cell r="G1662" t="str">
            <v>Lost</v>
          </cell>
        </row>
        <row r="1663">
          <cell r="E1663" t="str">
            <v>Unsuccessful</v>
          </cell>
          <cell r="G1663" t="str">
            <v>Lost</v>
          </cell>
        </row>
        <row r="1664">
          <cell r="E1664" t="str">
            <v>Unsuccessful</v>
          </cell>
          <cell r="G1664" t="str">
            <v>Lost</v>
          </cell>
        </row>
        <row r="1665">
          <cell r="E1665" t="str">
            <v>Unsuccessful</v>
          </cell>
          <cell r="G1665" t="str">
            <v>Lost</v>
          </cell>
        </row>
        <row r="1666">
          <cell r="E1666" t="str">
            <v>Unsuccessful</v>
          </cell>
          <cell r="G1666" t="str">
            <v>Lost</v>
          </cell>
        </row>
        <row r="1667">
          <cell r="E1667" t="str">
            <v>Unsuccessful</v>
          </cell>
          <cell r="G1667" t="str">
            <v>Lost</v>
          </cell>
        </row>
        <row r="1668">
          <cell r="E1668" t="str">
            <v>Unsuccessful</v>
          </cell>
          <cell r="G1668" t="str">
            <v>Lost</v>
          </cell>
        </row>
      </sheetData>
      <sheetData sheetId="4">
        <row r="1">
          <cell r="E1" t="str">
            <v>Funnel Stage</v>
          </cell>
          <cell r="H1" t="str">
            <v>Probability (%)</v>
          </cell>
        </row>
        <row r="2">
          <cell r="E2" t="str">
            <v>Unsuccessful</v>
          </cell>
          <cell r="H2">
            <v>0</v>
          </cell>
        </row>
        <row r="3">
          <cell r="E3" t="str">
            <v>Unsuccessful</v>
          </cell>
          <cell r="H3">
            <v>0</v>
          </cell>
        </row>
        <row r="4">
          <cell r="E4" t="str">
            <v>Unsuccessful</v>
          </cell>
          <cell r="H4">
            <v>0</v>
          </cell>
        </row>
        <row r="5">
          <cell r="E5" t="str">
            <v>Unsuccessful</v>
          </cell>
          <cell r="H5">
            <v>0</v>
          </cell>
        </row>
        <row r="6">
          <cell r="E6" t="str">
            <v>Unsuccessful</v>
          </cell>
          <cell r="H6">
            <v>0</v>
          </cell>
        </row>
        <row r="7">
          <cell r="E7" t="str">
            <v>Unsuccessful</v>
          </cell>
          <cell r="H7">
            <v>0</v>
          </cell>
        </row>
        <row r="8">
          <cell r="E8" t="str">
            <v>Unsuccessful</v>
          </cell>
          <cell r="H8">
            <v>0</v>
          </cell>
        </row>
        <row r="9">
          <cell r="E9" t="str">
            <v>Unsuccessful</v>
          </cell>
          <cell r="H9">
            <v>0</v>
          </cell>
        </row>
        <row r="10">
          <cell r="E10" t="str">
            <v>Unsuccessful</v>
          </cell>
          <cell r="H10">
            <v>0</v>
          </cell>
        </row>
        <row r="11">
          <cell r="E11" t="str">
            <v>Unsuccessful</v>
          </cell>
          <cell r="H11">
            <v>0</v>
          </cell>
        </row>
        <row r="12">
          <cell r="E12" t="str">
            <v>Unsuccessful</v>
          </cell>
          <cell r="H12">
            <v>0</v>
          </cell>
        </row>
        <row r="13">
          <cell r="E13" t="str">
            <v>Unsuccessful</v>
          </cell>
          <cell r="H13">
            <v>0</v>
          </cell>
        </row>
        <row r="14">
          <cell r="E14" t="str">
            <v>Unsuccessful</v>
          </cell>
          <cell r="H14">
            <v>0</v>
          </cell>
        </row>
        <row r="15">
          <cell r="E15" t="str">
            <v>Unsuccessful</v>
          </cell>
          <cell r="H15">
            <v>0</v>
          </cell>
        </row>
        <row r="16">
          <cell r="E16" t="str">
            <v>Unsuccessful</v>
          </cell>
          <cell r="H16">
            <v>0</v>
          </cell>
        </row>
        <row r="17">
          <cell r="E17" t="str">
            <v>Unsuccessful</v>
          </cell>
          <cell r="H17">
            <v>0</v>
          </cell>
        </row>
        <row r="18">
          <cell r="E18" t="str">
            <v>Unsuccessful</v>
          </cell>
          <cell r="H18">
            <v>0</v>
          </cell>
        </row>
        <row r="19">
          <cell r="E19" t="str">
            <v>Unsuccessful</v>
          </cell>
          <cell r="H19">
            <v>0</v>
          </cell>
        </row>
        <row r="20">
          <cell r="E20" t="str">
            <v>Unsuccessful</v>
          </cell>
          <cell r="H20">
            <v>0</v>
          </cell>
        </row>
        <row r="21">
          <cell r="E21" t="str">
            <v>Unsuccessful</v>
          </cell>
          <cell r="H21">
            <v>0</v>
          </cell>
        </row>
        <row r="22">
          <cell r="E22" t="str">
            <v>Unsuccessful</v>
          </cell>
          <cell r="H22">
            <v>0</v>
          </cell>
        </row>
        <row r="23">
          <cell r="E23" t="str">
            <v>Unsuccessful</v>
          </cell>
          <cell r="H23">
            <v>0</v>
          </cell>
        </row>
        <row r="24">
          <cell r="E24" t="str">
            <v>Unsuccessful</v>
          </cell>
          <cell r="H24">
            <v>0</v>
          </cell>
        </row>
        <row r="25">
          <cell r="E25" t="str">
            <v>Unsuccessful</v>
          </cell>
          <cell r="H25">
            <v>0</v>
          </cell>
        </row>
        <row r="26">
          <cell r="E26" t="str">
            <v>Unsuccessful</v>
          </cell>
          <cell r="H26">
            <v>0</v>
          </cell>
        </row>
        <row r="27">
          <cell r="E27" t="str">
            <v>Unsuccessful</v>
          </cell>
          <cell r="H27">
            <v>0</v>
          </cell>
        </row>
        <row r="28">
          <cell r="E28" t="str">
            <v>Unsuccessful</v>
          </cell>
          <cell r="H28">
            <v>0</v>
          </cell>
        </row>
        <row r="29">
          <cell r="E29" t="str">
            <v>Unsuccessful</v>
          </cell>
          <cell r="H29">
            <v>0</v>
          </cell>
        </row>
        <row r="30">
          <cell r="E30" t="str">
            <v>Unsuccessful</v>
          </cell>
          <cell r="H30">
            <v>0</v>
          </cell>
        </row>
        <row r="31">
          <cell r="E31" t="str">
            <v>Unsuccessful</v>
          </cell>
          <cell r="H31">
            <v>0</v>
          </cell>
        </row>
        <row r="32">
          <cell r="E32" t="str">
            <v>Unsuccessful</v>
          </cell>
          <cell r="H32">
            <v>0</v>
          </cell>
        </row>
        <row r="33">
          <cell r="E33" t="str">
            <v>Unsuccessful</v>
          </cell>
          <cell r="H33">
            <v>0</v>
          </cell>
        </row>
        <row r="34">
          <cell r="E34" t="str">
            <v>Unsuccessful</v>
          </cell>
          <cell r="H34">
            <v>0</v>
          </cell>
        </row>
        <row r="35">
          <cell r="E35" t="str">
            <v>Unsuccessful</v>
          </cell>
          <cell r="H35">
            <v>0</v>
          </cell>
        </row>
        <row r="36">
          <cell r="E36" t="str">
            <v>Unsuccessful</v>
          </cell>
          <cell r="H36">
            <v>0</v>
          </cell>
        </row>
        <row r="37">
          <cell r="E37" t="str">
            <v>Unsuccessful</v>
          </cell>
          <cell r="H37">
            <v>0</v>
          </cell>
        </row>
        <row r="38">
          <cell r="E38" t="str">
            <v>Unsuccessful</v>
          </cell>
          <cell r="H38">
            <v>0</v>
          </cell>
        </row>
        <row r="39">
          <cell r="E39" t="str">
            <v>Unsuccessful</v>
          </cell>
          <cell r="H39">
            <v>0</v>
          </cell>
        </row>
        <row r="40">
          <cell r="E40" t="str">
            <v>Unsuccessful</v>
          </cell>
          <cell r="H40">
            <v>0</v>
          </cell>
        </row>
        <row r="41">
          <cell r="E41" t="str">
            <v>Unsuccessful</v>
          </cell>
          <cell r="H41">
            <v>0</v>
          </cell>
        </row>
        <row r="42">
          <cell r="E42" t="str">
            <v>Unsuccessful</v>
          </cell>
          <cell r="H42">
            <v>0</v>
          </cell>
        </row>
        <row r="43">
          <cell r="E43" t="str">
            <v>Unsuccessful</v>
          </cell>
          <cell r="H43">
            <v>0</v>
          </cell>
        </row>
        <row r="44">
          <cell r="E44" t="str">
            <v>Unsuccessful</v>
          </cell>
          <cell r="H44">
            <v>0</v>
          </cell>
        </row>
        <row r="45">
          <cell r="E45" t="str">
            <v>Unsuccessful</v>
          </cell>
          <cell r="H45">
            <v>0</v>
          </cell>
        </row>
        <row r="46">
          <cell r="E46" t="str">
            <v>Unsuccessful</v>
          </cell>
          <cell r="H46">
            <v>0</v>
          </cell>
        </row>
        <row r="47">
          <cell r="E47" t="str">
            <v>Unsuccessful</v>
          </cell>
          <cell r="H47">
            <v>0</v>
          </cell>
        </row>
        <row r="48">
          <cell r="E48" t="str">
            <v>Booked</v>
          </cell>
          <cell r="H48">
            <v>80</v>
          </cell>
        </row>
        <row r="49">
          <cell r="E49" t="str">
            <v>Sold Not Booked</v>
          </cell>
          <cell r="H49">
            <v>100</v>
          </cell>
        </row>
        <row r="50">
          <cell r="E50" t="str">
            <v>Booked</v>
          </cell>
          <cell r="H50">
            <v>80</v>
          </cell>
        </row>
        <row r="51">
          <cell r="E51" t="str">
            <v>Booked</v>
          </cell>
          <cell r="H51">
            <v>80</v>
          </cell>
        </row>
        <row r="52">
          <cell r="E52" t="str">
            <v>Sold Not Booked</v>
          </cell>
          <cell r="H52">
            <v>100</v>
          </cell>
        </row>
        <row r="53">
          <cell r="E53" t="str">
            <v>Sold Not Booked</v>
          </cell>
          <cell r="H53">
            <v>100</v>
          </cell>
        </row>
        <row r="54">
          <cell r="E54" t="str">
            <v>Booked</v>
          </cell>
          <cell r="H54">
            <v>80</v>
          </cell>
        </row>
        <row r="55">
          <cell r="E55" t="str">
            <v>Booked</v>
          </cell>
          <cell r="H55">
            <v>80</v>
          </cell>
        </row>
        <row r="56">
          <cell r="E56" t="str">
            <v>Booked</v>
          </cell>
          <cell r="H56">
            <v>80</v>
          </cell>
        </row>
        <row r="57">
          <cell r="E57" t="str">
            <v>Sold Not Booked</v>
          </cell>
          <cell r="H57">
            <v>100</v>
          </cell>
        </row>
        <row r="58">
          <cell r="E58" t="str">
            <v>Sold Not Booked</v>
          </cell>
          <cell r="H58">
            <v>100</v>
          </cell>
        </row>
        <row r="59">
          <cell r="E59" t="str">
            <v>Booked</v>
          </cell>
          <cell r="H59">
            <v>80</v>
          </cell>
        </row>
        <row r="60">
          <cell r="E60" t="str">
            <v>Booked</v>
          </cell>
          <cell r="H60">
            <v>80</v>
          </cell>
        </row>
        <row r="61">
          <cell r="E61" t="str">
            <v>Booked</v>
          </cell>
          <cell r="H61">
            <v>80</v>
          </cell>
        </row>
        <row r="62">
          <cell r="E62" t="str">
            <v>Booked</v>
          </cell>
          <cell r="H62">
            <v>80</v>
          </cell>
        </row>
        <row r="63">
          <cell r="E63" t="str">
            <v>Booked</v>
          </cell>
          <cell r="H63">
            <v>80</v>
          </cell>
        </row>
        <row r="64">
          <cell r="E64" t="str">
            <v>Booked</v>
          </cell>
          <cell r="H64">
            <v>80</v>
          </cell>
        </row>
        <row r="65">
          <cell r="E65" t="str">
            <v>Sold Not Booked</v>
          </cell>
          <cell r="H65">
            <v>100</v>
          </cell>
        </row>
        <row r="66">
          <cell r="E66" t="str">
            <v>Sold Not Booked</v>
          </cell>
          <cell r="H66">
            <v>100</v>
          </cell>
        </row>
        <row r="67">
          <cell r="E67" t="str">
            <v>Booked</v>
          </cell>
          <cell r="H67">
            <v>80</v>
          </cell>
        </row>
        <row r="68">
          <cell r="E68" t="str">
            <v>Booked</v>
          </cell>
          <cell r="H68">
            <v>80</v>
          </cell>
        </row>
        <row r="69">
          <cell r="E69" t="str">
            <v>Sold Not Booked</v>
          </cell>
          <cell r="H69">
            <v>100</v>
          </cell>
        </row>
        <row r="70">
          <cell r="E70" t="str">
            <v>Booked</v>
          </cell>
          <cell r="H70">
            <v>80</v>
          </cell>
        </row>
        <row r="71">
          <cell r="E71" t="str">
            <v>Sold Not Booked</v>
          </cell>
          <cell r="H71">
            <v>100</v>
          </cell>
        </row>
        <row r="72">
          <cell r="E72" t="str">
            <v>Sold Not Booked</v>
          </cell>
          <cell r="H72">
            <v>100</v>
          </cell>
        </row>
        <row r="73">
          <cell r="E73" t="str">
            <v>Sold Not Booked</v>
          </cell>
          <cell r="H73">
            <v>100</v>
          </cell>
        </row>
        <row r="74">
          <cell r="E74" t="str">
            <v>Booked</v>
          </cell>
          <cell r="H74">
            <v>80</v>
          </cell>
        </row>
        <row r="75">
          <cell r="E75" t="str">
            <v>Booked</v>
          </cell>
          <cell r="H75">
            <v>80</v>
          </cell>
        </row>
        <row r="76">
          <cell r="E76" t="str">
            <v>Booked</v>
          </cell>
          <cell r="H76">
            <v>80</v>
          </cell>
        </row>
        <row r="77">
          <cell r="E77" t="str">
            <v>Sold Not Booked</v>
          </cell>
          <cell r="H77">
            <v>100</v>
          </cell>
        </row>
        <row r="78">
          <cell r="E78" t="str">
            <v>Sold Not Booked</v>
          </cell>
          <cell r="H78">
            <v>100</v>
          </cell>
        </row>
        <row r="79">
          <cell r="E79" t="str">
            <v>Sold Not Booked</v>
          </cell>
          <cell r="H79">
            <v>100</v>
          </cell>
        </row>
        <row r="80">
          <cell r="E80" t="str">
            <v>Sold Not Booked</v>
          </cell>
          <cell r="H80">
            <v>100</v>
          </cell>
        </row>
        <row r="81">
          <cell r="E81" t="str">
            <v>Booked</v>
          </cell>
          <cell r="H81">
            <v>80</v>
          </cell>
        </row>
        <row r="82">
          <cell r="E82" t="str">
            <v>Sold Not Booked</v>
          </cell>
          <cell r="H82">
            <v>100</v>
          </cell>
        </row>
        <row r="83">
          <cell r="E83" t="str">
            <v>Booked</v>
          </cell>
          <cell r="H83">
            <v>80</v>
          </cell>
        </row>
        <row r="84">
          <cell r="E84" t="str">
            <v>Booked</v>
          </cell>
          <cell r="H84">
            <v>80</v>
          </cell>
        </row>
        <row r="85">
          <cell r="E85" t="str">
            <v>Sold Not Booked</v>
          </cell>
          <cell r="H85">
            <v>100</v>
          </cell>
        </row>
        <row r="86">
          <cell r="E86" t="str">
            <v>Booked</v>
          </cell>
          <cell r="H86">
            <v>80</v>
          </cell>
        </row>
        <row r="87">
          <cell r="E87" t="str">
            <v>Booked</v>
          </cell>
          <cell r="H87">
            <v>80</v>
          </cell>
        </row>
        <row r="88">
          <cell r="E88" t="str">
            <v>Sold Not Booked</v>
          </cell>
          <cell r="H88">
            <v>100</v>
          </cell>
        </row>
        <row r="89">
          <cell r="E89" t="str">
            <v>Booked</v>
          </cell>
          <cell r="H89">
            <v>80</v>
          </cell>
        </row>
        <row r="90">
          <cell r="E90" t="str">
            <v>Booked</v>
          </cell>
          <cell r="H90">
            <v>80</v>
          </cell>
        </row>
        <row r="91">
          <cell r="E91" t="str">
            <v>Sold Not Booked</v>
          </cell>
          <cell r="H91">
            <v>100</v>
          </cell>
        </row>
        <row r="92">
          <cell r="E92" t="str">
            <v>Sold Not Booked</v>
          </cell>
          <cell r="H92">
            <v>100</v>
          </cell>
        </row>
        <row r="93">
          <cell r="E93" t="str">
            <v>Sold Not Booked</v>
          </cell>
          <cell r="H93">
            <v>100</v>
          </cell>
        </row>
        <row r="94">
          <cell r="E94" t="str">
            <v>Sold Not Booked</v>
          </cell>
          <cell r="H94">
            <v>100</v>
          </cell>
        </row>
        <row r="95">
          <cell r="E95" t="str">
            <v>Sold Not Booked</v>
          </cell>
          <cell r="H95">
            <v>100</v>
          </cell>
        </row>
        <row r="96">
          <cell r="E96" t="str">
            <v>Sold Not Booked</v>
          </cell>
          <cell r="H96">
            <v>100</v>
          </cell>
        </row>
        <row r="97">
          <cell r="E97" t="str">
            <v>Sold Not Booked</v>
          </cell>
          <cell r="H97">
            <v>100</v>
          </cell>
        </row>
        <row r="98">
          <cell r="E98" t="str">
            <v>Sold Not Booked</v>
          </cell>
          <cell r="H98">
            <v>100</v>
          </cell>
        </row>
        <row r="99">
          <cell r="E99" t="str">
            <v>Booked</v>
          </cell>
          <cell r="H99">
            <v>80</v>
          </cell>
        </row>
        <row r="100">
          <cell r="E100" t="str">
            <v>Sold Not Booked</v>
          </cell>
          <cell r="H100">
            <v>100</v>
          </cell>
        </row>
        <row r="101">
          <cell r="E101" t="str">
            <v>Booked</v>
          </cell>
          <cell r="H101">
            <v>80</v>
          </cell>
        </row>
        <row r="102">
          <cell r="E102" t="str">
            <v>Sold Not Booked</v>
          </cell>
          <cell r="H102">
            <v>100</v>
          </cell>
        </row>
        <row r="103">
          <cell r="E103" t="str">
            <v>Booked</v>
          </cell>
          <cell r="H103">
            <v>80</v>
          </cell>
        </row>
        <row r="104">
          <cell r="E104" t="str">
            <v>Sold Not Booked</v>
          </cell>
          <cell r="H104">
            <v>100</v>
          </cell>
        </row>
        <row r="105">
          <cell r="E105" t="str">
            <v>Booked</v>
          </cell>
          <cell r="H105">
            <v>80</v>
          </cell>
        </row>
        <row r="106">
          <cell r="E106" t="str">
            <v>Booked</v>
          </cell>
          <cell r="H106">
            <v>80</v>
          </cell>
        </row>
        <row r="107">
          <cell r="E107" t="str">
            <v>Booked</v>
          </cell>
          <cell r="H107">
            <v>80</v>
          </cell>
        </row>
        <row r="108">
          <cell r="E108" t="str">
            <v>Sold Not Booked</v>
          </cell>
          <cell r="H108">
            <v>100</v>
          </cell>
        </row>
        <row r="109">
          <cell r="E109" t="str">
            <v>Booked</v>
          </cell>
          <cell r="H109">
            <v>80</v>
          </cell>
        </row>
        <row r="110">
          <cell r="E110" t="str">
            <v>Booked</v>
          </cell>
          <cell r="H110">
            <v>80</v>
          </cell>
        </row>
        <row r="111">
          <cell r="E111" t="str">
            <v>Sold Not Booked</v>
          </cell>
          <cell r="H111">
            <v>100</v>
          </cell>
        </row>
        <row r="112">
          <cell r="E112" t="str">
            <v>Booked</v>
          </cell>
          <cell r="H112">
            <v>80</v>
          </cell>
        </row>
        <row r="113">
          <cell r="E113" t="str">
            <v>Sold Not Booked</v>
          </cell>
          <cell r="H113">
            <v>100</v>
          </cell>
        </row>
        <row r="114">
          <cell r="E114" t="str">
            <v>Booked</v>
          </cell>
          <cell r="H114">
            <v>80</v>
          </cell>
        </row>
        <row r="115">
          <cell r="E115" t="str">
            <v>Booked</v>
          </cell>
          <cell r="H115">
            <v>80</v>
          </cell>
        </row>
        <row r="116">
          <cell r="E116" t="str">
            <v>Sold Not Booked</v>
          </cell>
          <cell r="H116">
            <v>100</v>
          </cell>
        </row>
        <row r="117">
          <cell r="E117" t="str">
            <v>Sold Not Booked</v>
          </cell>
          <cell r="H117">
            <v>100</v>
          </cell>
        </row>
        <row r="118">
          <cell r="E118" t="str">
            <v>Booked</v>
          </cell>
          <cell r="H118">
            <v>80</v>
          </cell>
        </row>
        <row r="119">
          <cell r="E119" t="str">
            <v>Booked</v>
          </cell>
          <cell r="H119">
            <v>80</v>
          </cell>
        </row>
        <row r="120">
          <cell r="E120" t="str">
            <v>Sold Not Booked</v>
          </cell>
          <cell r="H120">
            <v>100</v>
          </cell>
        </row>
        <row r="121">
          <cell r="E121" t="str">
            <v>Booked</v>
          </cell>
          <cell r="H121">
            <v>80</v>
          </cell>
        </row>
        <row r="122">
          <cell r="E122" t="str">
            <v>Sold Not Booked</v>
          </cell>
          <cell r="H122">
            <v>100</v>
          </cell>
        </row>
        <row r="123">
          <cell r="E123" t="str">
            <v>Booked</v>
          </cell>
          <cell r="H123">
            <v>80</v>
          </cell>
        </row>
        <row r="124">
          <cell r="E124" t="str">
            <v>Sold Not Booked</v>
          </cell>
          <cell r="H124">
            <v>100</v>
          </cell>
        </row>
        <row r="125">
          <cell r="E125" t="str">
            <v>Sold Not Booked</v>
          </cell>
          <cell r="H125">
            <v>100</v>
          </cell>
        </row>
        <row r="126">
          <cell r="E126" t="str">
            <v>Booked</v>
          </cell>
          <cell r="H126">
            <v>80</v>
          </cell>
        </row>
        <row r="127">
          <cell r="E127" t="str">
            <v>Sold Not Booked</v>
          </cell>
          <cell r="H127">
            <v>100</v>
          </cell>
        </row>
        <row r="128">
          <cell r="E128" t="str">
            <v>Booked</v>
          </cell>
          <cell r="H128">
            <v>80</v>
          </cell>
        </row>
        <row r="129">
          <cell r="E129" t="str">
            <v>Booked</v>
          </cell>
          <cell r="H129">
            <v>80</v>
          </cell>
        </row>
        <row r="130">
          <cell r="E130" t="str">
            <v>Booked</v>
          </cell>
          <cell r="H130">
            <v>80</v>
          </cell>
        </row>
        <row r="131">
          <cell r="E131" t="str">
            <v>Booked</v>
          </cell>
          <cell r="H131">
            <v>80</v>
          </cell>
        </row>
        <row r="132">
          <cell r="E132" t="str">
            <v>Sold Not Booked</v>
          </cell>
          <cell r="H132">
            <v>100</v>
          </cell>
        </row>
        <row r="133">
          <cell r="E133" t="str">
            <v>Booked</v>
          </cell>
          <cell r="H133">
            <v>80</v>
          </cell>
        </row>
        <row r="134">
          <cell r="E134" t="str">
            <v>Sold Not Booked</v>
          </cell>
          <cell r="H134">
            <v>100</v>
          </cell>
        </row>
        <row r="135">
          <cell r="E135" t="str">
            <v>Booked</v>
          </cell>
          <cell r="H135">
            <v>80</v>
          </cell>
        </row>
        <row r="136">
          <cell r="E136" t="str">
            <v>Sold Not Booked</v>
          </cell>
          <cell r="H136">
            <v>100</v>
          </cell>
        </row>
        <row r="137">
          <cell r="E137" t="str">
            <v>Booked</v>
          </cell>
          <cell r="H137">
            <v>80</v>
          </cell>
        </row>
        <row r="138">
          <cell r="E138" t="str">
            <v>Sold Not Booked</v>
          </cell>
          <cell r="H138">
            <v>100</v>
          </cell>
        </row>
        <row r="139">
          <cell r="E139" t="str">
            <v>Sold Not Booked</v>
          </cell>
          <cell r="H139">
            <v>100</v>
          </cell>
        </row>
        <row r="140">
          <cell r="E140" t="str">
            <v>Booked</v>
          </cell>
          <cell r="H140">
            <v>80</v>
          </cell>
        </row>
        <row r="141">
          <cell r="E141" t="str">
            <v>Sold Not Booked</v>
          </cell>
          <cell r="H141">
            <v>100</v>
          </cell>
        </row>
        <row r="142">
          <cell r="E142" t="str">
            <v>Sold Not Booked</v>
          </cell>
          <cell r="H142">
            <v>100</v>
          </cell>
        </row>
        <row r="143">
          <cell r="E143" t="str">
            <v>Booked</v>
          </cell>
          <cell r="H143">
            <v>80</v>
          </cell>
        </row>
        <row r="144">
          <cell r="E144" t="str">
            <v>Booked</v>
          </cell>
          <cell r="H144">
            <v>80</v>
          </cell>
        </row>
        <row r="145">
          <cell r="E145" t="str">
            <v>Sold Not Booked</v>
          </cell>
          <cell r="H145">
            <v>100</v>
          </cell>
        </row>
        <row r="146">
          <cell r="E146" t="str">
            <v>Sold Not Booked</v>
          </cell>
          <cell r="H146">
            <v>100</v>
          </cell>
        </row>
        <row r="147">
          <cell r="E147" t="str">
            <v>Booked</v>
          </cell>
          <cell r="H147">
            <v>80</v>
          </cell>
        </row>
        <row r="148">
          <cell r="E148" t="str">
            <v>Sold Not Booked</v>
          </cell>
          <cell r="H148">
            <v>100</v>
          </cell>
        </row>
        <row r="149">
          <cell r="E149" t="str">
            <v>Sold Not Booked</v>
          </cell>
          <cell r="H149">
            <v>100</v>
          </cell>
        </row>
        <row r="150">
          <cell r="E150" t="str">
            <v>Sold Not Booked</v>
          </cell>
          <cell r="H150">
            <v>100</v>
          </cell>
        </row>
        <row r="151">
          <cell r="E151" t="str">
            <v>Sold Not Booked</v>
          </cell>
          <cell r="H151">
            <v>100</v>
          </cell>
        </row>
        <row r="152">
          <cell r="E152" t="str">
            <v>Sold Not Booked</v>
          </cell>
          <cell r="H152">
            <v>100</v>
          </cell>
        </row>
        <row r="153">
          <cell r="E153" t="str">
            <v>Sold Not Booked</v>
          </cell>
          <cell r="H153">
            <v>100</v>
          </cell>
        </row>
        <row r="154">
          <cell r="E154" t="str">
            <v>Sold Not Booked</v>
          </cell>
          <cell r="H154">
            <v>100</v>
          </cell>
        </row>
        <row r="155">
          <cell r="E155" t="str">
            <v>Booked</v>
          </cell>
          <cell r="H155">
            <v>80</v>
          </cell>
        </row>
        <row r="156">
          <cell r="E156" t="str">
            <v>Sold Not Booked</v>
          </cell>
          <cell r="H156">
            <v>100</v>
          </cell>
        </row>
        <row r="157">
          <cell r="E157" t="str">
            <v>Booked</v>
          </cell>
          <cell r="H157">
            <v>80</v>
          </cell>
        </row>
        <row r="158">
          <cell r="E158" t="str">
            <v>Booked</v>
          </cell>
          <cell r="H158">
            <v>80</v>
          </cell>
        </row>
        <row r="159">
          <cell r="E159" t="str">
            <v>Booked</v>
          </cell>
          <cell r="H159">
            <v>80</v>
          </cell>
        </row>
        <row r="160">
          <cell r="E160" t="str">
            <v>Booked</v>
          </cell>
          <cell r="H160">
            <v>80</v>
          </cell>
        </row>
        <row r="161">
          <cell r="E161" t="str">
            <v>Sold Not Booked</v>
          </cell>
          <cell r="H161">
            <v>100</v>
          </cell>
        </row>
        <row r="162">
          <cell r="E162" t="str">
            <v>Booked</v>
          </cell>
          <cell r="H162">
            <v>80</v>
          </cell>
        </row>
        <row r="163">
          <cell r="E163" t="str">
            <v>Sold Not Booked</v>
          </cell>
          <cell r="H163">
            <v>100</v>
          </cell>
        </row>
        <row r="164">
          <cell r="E164" t="str">
            <v>Sold Not Booked</v>
          </cell>
          <cell r="H164">
            <v>100</v>
          </cell>
        </row>
        <row r="165">
          <cell r="E165" t="str">
            <v>Booked</v>
          </cell>
          <cell r="H165">
            <v>80</v>
          </cell>
        </row>
        <row r="166">
          <cell r="E166" t="str">
            <v>Booked</v>
          </cell>
          <cell r="H166">
            <v>80</v>
          </cell>
        </row>
        <row r="167">
          <cell r="E167" t="str">
            <v>Booked</v>
          </cell>
          <cell r="H167">
            <v>80</v>
          </cell>
        </row>
        <row r="168">
          <cell r="E168" t="str">
            <v>Booked</v>
          </cell>
          <cell r="H168">
            <v>80</v>
          </cell>
        </row>
        <row r="169">
          <cell r="E169" t="str">
            <v>Booked</v>
          </cell>
          <cell r="H169">
            <v>80</v>
          </cell>
        </row>
        <row r="170">
          <cell r="E170" t="str">
            <v>Sold Not Booked</v>
          </cell>
          <cell r="H170">
            <v>100</v>
          </cell>
        </row>
        <row r="171">
          <cell r="E171" t="str">
            <v>Booked</v>
          </cell>
          <cell r="H171">
            <v>80</v>
          </cell>
        </row>
        <row r="172">
          <cell r="E172" t="str">
            <v>Booked</v>
          </cell>
          <cell r="H172">
            <v>80</v>
          </cell>
        </row>
        <row r="173">
          <cell r="E173" t="str">
            <v>Sold Not Booked</v>
          </cell>
          <cell r="H173">
            <v>100</v>
          </cell>
        </row>
        <row r="174">
          <cell r="E174" t="str">
            <v>Sold Not Booked</v>
          </cell>
          <cell r="H174">
            <v>100</v>
          </cell>
        </row>
        <row r="175">
          <cell r="E175" t="str">
            <v>Booked</v>
          </cell>
          <cell r="H175">
            <v>80</v>
          </cell>
        </row>
        <row r="176">
          <cell r="E176" t="str">
            <v>Sold Not Booked</v>
          </cell>
          <cell r="H176">
            <v>100</v>
          </cell>
        </row>
        <row r="177">
          <cell r="E177" t="str">
            <v>Sold Not Booked</v>
          </cell>
          <cell r="H177">
            <v>100</v>
          </cell>
        </row>
        <row r="178">
          <cell r="E178" t="str">
            <v>Sold Not Booked</v>
          </cell>
          <cell r="H178">
            <v>100</v>
          </cell>
        </row>
        <row r="179">
          <cell r="E179" t="str">
            <v>Booked</v>
          </cell>
          <cell r="H179">
            <v>80</v>
          </cell>
        </row>
        <row r="180">
          <cell r="E180" t="str">
            <v>Unsuccessful</v>
          </cell>
          <cell r="H180">
            <v>0</v>
          </cell>
        </row>
        <row r="181">
          <cell r="E181" t="str">
            <v>Unsuccessful</v>
          </cell>
          <cell r="H181">
            <v>0</v>
          </cell>
        </row>
        <row r="182">
          <cell r="E182" t="str">
            <v>Sold Not Booked</v>
          </cell>
          <cell r="H182">
            <v>100</v>
          </cell>
        </row>
        <row r="183">
          <cell r="E183" t="str">
            <v>Sold Not Booked</v>
          </cell>
          <cell r="H183">
            <v>100</v>
          </cell>
        </row>
        <row r="184">
          <cell r="E184" t="str">
            <v>Booked</v>
          </cell>
          <cell r="H184">
            <v>80</v>
          </cell>
        </row>
        <row r="185">
          <cell r="E185" t="str">
            <v>Sold Not Booked</v>
          </cell>
          <cell r="H185">
            <v>100</v>
          </cell>
        </row>
        <row r="186">
          <cell r="E186" t="str">
            <v>Unsuccessful</v>
          </cell>
          <cell r="H186">
            <v>0</v>
          </cell>
        </row>
        <row r="187">
          <cell r="E187" t="str">
            <v>Booked</v>
          </cell>
          <cell r="H187">
            <v>80</v>
          </cell>
        </row>
        <row r="188">
          <cell r="E188" t="str">
            <v>Sold Not Booked</v>
          </cell>
          <cell r="H188">
            <v>100</v>
          </cell>
        </row>
        <row r="189">
          <cell r="E189" t="str">
            <v>Sold Not Booked</v>
          </cell>
          <cell r="H189">
            <v>100</v>
          </cell>
        </row>
        <row r="190">
          <cell r="E190" t="str">
            <v>Booked</v>
          </cell>
          <cell r="H190">
            <v>80</v>
          </cell>
        </row>
        <row r="191">
          <cell r="E191" t="str">
            <v>Sold Not Booked</v>
          </cell>
          <cell r="H191">
            <v>100</v>
          </cell>
        </row>
        <row r="192">
          <cell r="E192" t="str">
            <v>Booked</v>
          </cell>
          <cell r="H192">
            <v>80</v>
          </cell>
        </row>
        <row r="193">
          <cell r="E193" t="str">
            <v>Booked</v>
          </cell>
          <cell r="H193">
            <v>80</v>
          </cell>
        </row>
        <row r="194">
          <cell r="E194" t="str">
            <v>Sold Not Booked</v>
          </cell>
          <cell r="H194">
            <v>100</v>
          </cell>
        </row>
        <row r="195">
          <cell r="E195" t="str">
            <v>Booked</v>
          </cell>
          <cell r="H195">
            <v>80</v>
          </cell>
        </row>
        <row r="196">
          <cell r="E196" t="str">
            <v>Sold Not Booked</v>
          </cell>
          <cell r="H196">
            <v>100</v>
          </cell>
        </row>
        <row r="197">
          <cell r="E197" t="str">
            <v>Sold Not Booked</v>
          </cell>
          <cell r="H197">
            <v>100</v>
          </cell>
        </row>
        <row r="198">
          <cell r="E198" t="str">
            <v>Booked</v>
          </cell>
          <cell r="H198">
            <v>80</v>
          </cell>
        </row>
        <row r="199">
          <cell r="E199" t="str">
            <v>Booked</v>
          </cell>
          <cell r="H199">
            <v>80</v>
          </cell>
        </row>
        <row r="200">
          <cell r="E200" t="str">
            <v>Booked</v>
          </cell>
          <cell r="H200">
            <v>80</v>
          </cell>
        </row>
        <row r="201">
          <cell r="E201" t="str">
            <v>Booked</v>
          </cell>
          <cell r="H201">
            <v>80</v>
          </cell>
        </row>
        <row r="202">
          <cell r="E202" t="str">
            <v>Unsuccessful</v>
          </cell>
          <cell r="H202">
            <v>0</v>
          </cell>
        </row>
        <row r="203">
          <cell r="E203" t="str">
            <v>Sold Not Booked</v>
          </cell>
          <cell r="H203">
            <v>100</v>
          </cell>
        </row>
        <row r="204">
          <cell r="E204" t="str">
            <v>Booked</v>
          </cell>
          <cell r="H204">
            <v>80</v>
          </cell>
        </row>
        <row r="205">
          <cell r="E205" t="str">
            <v>Sold Not Booked</v>
          </cell>
          <cell r="H205">
            <v>100</v>
          </cell>
        </row>
        <row r="206">
          <cell r="E206" t="str">
            <v>Unsuccessful</v>
          </cell>
          <cell r="H206">
            <v>0</v>
          </cell>
        </row>
        <row r="207">
          <cell r="E207" t="str">
            <v>Booked</v>
          </cell>
          <cell r="H207">
            <v>80</v>
          </cell>
        </row>
        <row r="208">
          <cell r="E208" t="str">
            <v>Sold Not Booked</v>
          </cell>
          <cell r="H208">
            <v>100</v>
          </cell>
        </row>
        <row r="209">
          <cell r="E209" t="str">
            <v>Sold Not Booked</v>
          </cell>
          <cell r="H209">
            <v>100</v>
          </cell>
        </row>
        <row r="210">
          <cell r="E210" t="str">
            <v>Sold Not Booked</v>
          </cell>
          <cell r="H210">
            <v>100</v>
          </cell>
        </row>
        <row r="211">
          <cell r="E211" t="str">
            <v>Sold Not Booked</v>
          </cell>
          <cell r="H211">
            <v>100</v>
          </cell>
        </row>
        <row r="212">
          <cell r="E212" t="str">
            <v>Sold Not Booked</v>
          </cell>
          <cell r="H212">
            <v>100</v>
          </cell>
        </row>
        <row r="213">
          <cell r="E213" t="str">
            <v>Booked</v>
          </cell>
          <cell r="H213">
            <v>80</v>
          </cell>
        </row>
        <row r="214">
          <cell r="E214" t="str">
            <v>Sold Not Booked</v>
          </cell>
          <cell r="H214">
            <v>100</v>
          </cell>
        </row>
        <row r="215">
          <cell r="E215" t="str">
            <v>Unsuccessful</v>
          </cell>
          <cell r="H215">
            <v>0</v>
          </cell>
        </row>
        <row r="216">
          <cell r="E216" t="str">
            <v>Booked</v>
          </cell>
          <cell r="H216">
            <v>80</v>
          </cell>
        </row>
        <row r="217">
          <cell r="E217" t="str">
            <v>Booked</v>
          </cell>
          <cell r="H217">
            <v>80</v>
          </cell>
        </row>
        <row r="218">
          <cell r="E218" t="str">
            <v>Booked</v>
          </cell>
          <cell r="H218">
            <v>80</v>
          </cell>
        </row>
        <row r="219">
          <cell r="E219" t="str">
            <v>Booked</v>
          </cell>
          <cell r="H219">
            <v>80</v>
          </cell>
        </row>
        <row r="220">
          <cell r="E220" t="str">
            <v>Booked</v>
          </cell>
          <cell r="H220">
            <v>80</v>
          </cell>
        </row>
        <row r="221">
          <cell r="E221" t="str">
            <v>Booked</v>
          </cell>
          <cell r="H221">
            <v>80</v>
          </cell>
        </row>
        <row r="222">
          <cell r="E222" t="str">
            <v>Sold Not Booked</v>
          </cell>
          <cell r="H222">
            <v>100</v>
          </cell>
        </row>
        <row r="223">
          <cell r="E223" t="str">
            <v>Sold Not Booked</v>
          </cell>
          <cell r="H223">
            <v>100</v>
          </cell>
        </row>
        <row r="224">
          <cell r="E224" t="str">
            <v>Unsuccessful</v>
          </cell>
          <cell r="H224">
            <v>0</v>
          </cell>
        </row>
        <row r="225">
          <cell r="E225" t="str">
            <v>Unsuccessful</v>
          </cell>
          <cell r="H225">
            <v>0</v>
          </cell>
        </row>
        <row r="226">
          <cell r="E226" t="str">
            <v>Booked</v>
          </cell>
          <cell r="H226">
            <v>80</v>
          </cell>
        </row>
        <row r="227">
          <cell r="E227" t="str">
            <v>Sold Not Booked</v>
          </cell>
          <cell r="H227">
            <v>100</v>
          </cell>
        </row>
        <row r="228">
          <cell r="E228" t="str">
            <v>Booked</v>
          </cell>
          <cell r="H228">
            <v>80</v>
          </cell>
        </row>
        <row r="229">
          <cell r="E229" t="str">
            <v>Booked</v>
          </cell>
          <cell r="H229">
            <v>80</v>
          </cell>
        </row>
        <row r="230">
          <cell r="E230" t="str">
            <v>Sold Not Booked</v>
          </cell>
          <cell r="H230">
            <v>100</v>
          </cell>
        </row>
        <row r="231">
          <cell r="E231" t="str">
            <v>Unsuccessful</v>
          </cell>
          <cell r="H231">
            <v>0</v>
          </cell>
        </row>
        <row r="232">
          <cell r="E232" t="str">
            <v>Sold Not Booked</v>
          </cell>
          <cell r="H232">
            <v>100</v>
          </cell>
        </row>
        <row r="233">
          <cell r="E233" t="str">
            <v>Booked</v>
          </cell>
          <cell r="H233">
            <v>80</v>
          </cell>
        </row>
        <row r="234">
          <cell r="E234" t="str">
            <v>Sold Not Booked</v>
          </cell>
          <cell r="H234">
            <v>100</v>
          </cell>
        </row>
        <row r="235">
          <cell r="E235" t="str">
            <v>Booked</v>
          </cell>
          <cell r="H235">
            <v>80</v>
          </cell>
        </row>
        <row r="236">
          <cell r="E236" t="str">
            <v>Unsuccessful</v>
          </cell>
          <cell r="H236">
            <v>0</v>
          </cell>
        </row>
        <row r="237">
          <cell r="E237" t="str">
            <v>Booked</v>
          </cell>
          <cell r="H237">
            <v>80</v>
          </cell>
        </row>
        <row r="238">
          <cell r="E238" t="str">
            <v>Sold Not Booked</v>
          </cell>
          <cell r="H238">
            <v>100</v>
          </cell>
        </row>
        <row r="239">
          <cell r="E239" t="str">
            <v>Booked</v>
          </cell>
          <cell r="H239">
            <v>80</v>
          </cell>
        </row>
        <row r="240">
          <cell r="E240" t="str">
            <v>Booked</v>
          </cell>
          <cell r="H240">
            <v>80</v>
          </cell>
        </row>
        <row r="241">
          <cell r="E241" t="str">
            <v>Booked</v>
          </cell>
          <cell r="H241">
            <v>80</v>
          </cell>
        </row>
        <row r="242">
          <cell r="E242" t="str">
            <v>Sold Not Booked</v>
          </cell>
          <cell r="H242">
            <v>100</v>
          </cell>
        </row>
        <row r="243">
          <cell r="E243" t="str">
            <v>Sold Not Booked</v>
          </cell>
          <cell r="H243">
            <v>100</v>
          </cell>
        </row>
        <row r="244">
          <cell r="E244" t="str">
            <v>Sold Not Booked</v>
          </cell>
          <cell r="H244">
            <v>100</v>
          </cell>
        </row>
        <row r="245">
          <cell r="E245" t="str">
            <v>Booked</v>
          </cell>
          <cell r="H245">
            <v>80</v>
          </cell>
        </row>
        <row r="246">
          <cell r="E246" t="str">
            <v>Booked</v>
          </cell>
          <cell r="H246">
            <v>80</v>
          </cell>
        </row>
        <row r="247">
          <cell r="E247" t="str">
            <v>Booked</v>
          </cell>
          <cell r="H247">
            <v>80</v>
          </cell>
        </row>
        <row r="248">
          <cell r="E248" t="str">
            <v>Booked</v>
          </cell>
          <cell r="H248">
            <v>80</v>
          </cell>
        </row>
        <row r="249">
          <cell r="E249" t="str">
            <v>Sold Not Booked</v>
          </cell>
          <cell r="H249">
            <v>100</v>
          </cell>
        </row>
        <row r="250">
          <cell r="E250" t="str">
            <v>Unsuccessful</v>
          </cell>
          <cell r="H250">
            <v>0</v>
          </cell>
        </row>
        <row r="251">
          <cell r="E251" t="str">
            <v>Booked</v>
          </cell>
          <cell r="H251">
            <v>80</v>
          </cell>
        </row>
        <row r="252">
          <cell r="E252" t="str">
            <v>Unsuccessful</v>
          </cell>
          <cell r="H252">
            <v>0</v>
          </cell>
        </row>
        <row r="253">
          <cell r="E253" t="str">
            <v>Booked</v>
          </cell>
          <cell r="H253">
            <v>80</v>
          </cell>
        </row>
        <row r="254">
          <cell r="E254" t="str">
            <v>Unsuccessful</v>
          </cell>
          <cell r="H254">
            <v>0</v>
          </cell>
        </row>
        <row r="255">
          <cell r="E255" t="str">
            <v>Booked</v>
          </cell>
          <cell r="H255">
            <v>80</v>
          </cell>
        </row>
        <row r="256">
          <cell r="E256" t="str">
            <v>Sold Not Booked</v>
          </cell>
          <cell r="H256">
            <v>100</v>
          </cell>
        </row>
        <row r="257">
          <cell r="E257" t="str">
            <v>Unsuccessful</v>
          </cell>
          <cell r="H257">
            <v>0</v>
          </cell>
        </row>
        <row r="258">
          <cell r="E258" t="str">
            <v>Sold Not Booked</v>
          </cell>
          <cell r="H258">
            <v>100</v>
          </cell>
        </row>
        <row r="259">
          <cell r="E259" t="str">
            <v>Unsuccessful</v>
          </cell>
          <cell r="H259">
            <v>0</v>
          </cell>
        </row>
        <row r="260">
          <cell r="E260" t="str">
            <v>Booked</v>
          </cell>
          <cell r="H260">
            <v>80</v>
          </cell>
        </row>
        <row r="261">
          <cell r="E261" t="str">
            <v>Booked</v>
          </cell>
          <cell r="H261">
            <v>80</v>
          </cell>
        </row>
        <row r="262">
          <cell r="E262" t="str">
            <v>Sold Not Booked</v>
          </cell>
          <cell r="H262">
            <v>100</v>
          </cell>
        </row>
        <row r="263">
          <cell r="E263" t="str">
            <v>Booked</v>
          </cell>
          <cell r="H263">
            <v>80</v>
          </cell>
        </row>
        <row r="264">
          <cell r="E264" t="str">
            <v>Booked</v>
          </cell>
          <cell r="H264">
            <v>80</v>
          </cell>
        </row>
        <row r="265">
          <cell r="E265" t="str">
            <v>Sold Not Booked</v>
          </cell>
          <cell r="H265">
            <v>100</v>
          </cell>
        </row>
        <row r="266">
          <cell r="E266" t="str">
            <v>Booked</v>
          </cell>
          <cell r="H266">
            <v>80</v>
          </cell>
        </row>
        <row r="267">
          <cell r="E267" t="str">
            <v>Sold Not Booked</v>
          </cell>
          <cell r="H267">
            <v>100</v>
          </cell>
        </row>
        <row r="268">
          <cell r="E268" t="str">
            <v>Booked</v>
          </cell>
          <cell r="H268">
            <v>80</v>
          </cell>
        </row>
        <row r="269">
          <cell r="E269" t="str">
            <v>Sold Not Booked</v>
          </cell>
          <cell r="H269">
            <v>100</v>
          </cell>
        </row>
        <row r="270">
          <cell r="E270" t="str">
            <v>Sold Not Booked</v>
          </cell>
          <cell r="H270">
            <v>100</v>
          </cell>
        </row>
        <row r="271">
          <cell r="E271" t="str">
            <v>Unsuccessful</v>
          </cell>
          <cell r="H271">
            <v>0</v>
          </cell>
        </row>
        <row r="272">
          <cell r="E272" t="str">
            <v>Unsuccessful</v>
          </cell>
          <cell r="H272">
            <v>0</v>
          </cell>
        </row>
        <row r="273">
          <cell r="E273" t="str">
            <v>Booked</v>
          </cell>
          <cell r="H273">
            <v>80</v>
          </cell>
        </row>
        <row r="274">
          <cell r="E274" t="str">
            <v>Sold Not Booked</v>
          </cell>
          <cell r="H274">
            <v>100</v>
          </cell>
        </row>
        <row r="275">
          <cell r="E275" t="str">
            <v>Booked</v>
          </cell>
          <cell r="H275">
            <v>80</v>
          </cell>
        </row>
        <row r="276">
          <cell r="E276" t="str">
            <v>Booked</v>
          </cell>
          <cell r="H276">
            <v>80</v>
          </cell>
        </row>
        <row r="277">
          <cell r="E277" t="str">
            <v>Booked</v>
          </cell>
          <cell r="H277">
            <v>80</v>
          </cell>
        </row>
        <row r="278">
          <cell r="E278" t="str">
            <v>Booked</v>
          </cell>
          <cell r="H278">
            <v>80</v>
          </cell>
        </row>
        <row r="279">
          <cell r="E279" t="str">
            <v>Unsuccessful</v>
          </cell>
          <cell r="H279">
            <v>0</v>
          </cell>
        </row>
        <row r="280">
          <cell r="E280" t="str">
            <v>Sold Not Booked</v>
          </cell>
          <cell r="H280">
            <v>100</v>
          </cell>
        </row>
        <row r="281">
          <cell r="E281" t="str">
            <v>Booked</v>
          </cell>
          <cell r="H281">
            <v>80</v>
          </cell>
        </row>
        <row r="282">
          <cell r="E282" t="str">
            <v>Sold Not Booked</v>
          </cell>
          <cell r="H282">
            <v>100</v>
          </cell>
        </row>
        <row r="283">
          <cell r="E283" t="str">
            <v>Booked</v>
          </cell>
          <cell r="H283">
            <v>80</v>
          </cell>
        </row>
        <row r="284">
          <cell r="E284" t="str">
            <v>Sold Not Booked</v>
          </cell>
          <cell r="H284">
            <v>100</v>
          </cell>
        </row>
        <row r="285">
          <cell r="E285" t="str">
            <v>Booked</v>
          </cell>
          <cell r="H285">
            <v>80</v>
          </cell>
        </row>
        <row r="286">
          <cell r="E286" t="str">
            <v>Booked</v>
          </cell>
          <cell r="H286">
            <v>80</v>
          </cell>
        </row>
        <row r="287">
          <cell r="E287" t="str">
            <v>Booked</v>
          </cell>
          <cell r="H287">
            <v>80</v>
          </cell>
        </row>
        <row r="288">
          <cell r="E288" t="str">
            <v>Sold Not Booked</v>
          </cell>
          <cell r="H288">
            <v>100</v>
          </cell>
        </row>
        <row r="289">
          <cell r="E289" t="str">
            <v>Booked</v>
          </cell>
          <cell r="H289">
            <v>80</v>
          </cell>
        </row>
        <row r="290">
          <cell r="E290" t="str">
            <v>Sold Not Booked</v>
          </cell>
          <cell r="H290">
            <v>100</v>
          </cell>
        </row>
        <row r="291">
          <cell r="E291" t="str">
            <v>Sold Not Booked</v>
          </cell>
          <cell r="H291">
            <v>100</v>
          </cell>
        </row>
        <row r="292">
          <cell r="E292" t="str">
            <v>Booked</v>
          </cell>
          <cell r="H292">
            <v>80</v>
          </cell>
        </row>
        <row r="293">
          <cell r="E293" t="str">
            <v>Booked</v>
          </cell>
          <cell r="H293">
            <v>80</v>
          </cell>
        </row>
        <row r="294">
          <cell r="E294" t="str">
            <v>Booked</v>
          </cell>
          <cell r="H294">
            <v>80</v>
          </cell>
        </row>
        <row r="295">
          <cell r="E295" t="str">
            <v>Unsuccessful</v>
          </cell>
          <cell r="H295">
            <v>0</v>
          </cell>
        </row>
        <row r="296">
          <cell r="E296" t="str">
            <v>Sold Not Booked</v>
          </cell>
          <cell r="H296">
            <v>100</v>
          </cell>
        </row>
        <row r="297">
          <cell r="E297" t="str">
            <v>Sold Not Booked</v>
          </cell>
          <cell r="H297">
            <v>100</v>
          </cell>
        </row>
        <row r="298">
          <cell r="E298" t="str">
            <v>Unsuccessful</v>
          </cell>
          <cell r="H298">
            <v>0</v>
          </cell>
        </row>
        <row r="299">
          <cell r="E299" t="str">
            <v>Booked</v>
          </cell>
          <cell r="H299">
            <v>80</v>
          </cell>
        </row>
        <row r="300">
          <cell r="E300" t="str">
            <v>Sold Not Booked</v>
          </cell>
          <cell r="H300">
            <v>100</v>
          </cell>
        </row>
        <row r="301">
          <cell r="E301" t="str">
            <v>Booked</v>
          </cell>
          <cell r="H301">
            <v>80</v>
          </cell>
        </row>
        <row r="302">
          <cell r="E302" t="str">
            <v>Sold Not Booked</v>
          </cell>
          <cell r="H302">
            <v>100</v>
          </cell>
        </row>
        <row r="303">
          <cell r="E303" t="str">
            <v>Sold Not Booked</v>
          </cell>
          <cell r="H303">
            <v>100</v>
          </cell>
        </row>
        <row r="304">
          <cell r="E304" t="str">
            <v>Booked</v>
          </cell>
          <cell r="H304">
            <v>80</v>
          </cell>
        </row>
        <row r="305">
          <cell r="E305" t="str">
            <v>Sold Not Booked</v>
          </cell>
          <cell r="H305">
            <v>100</v>
          </cell>
        </row>
        <row r="306">
          <cell r="E306" t="str">
            <v>Booked</v>
          </cell>
          <cell r="H306">
            <v>80</v>
          </cell>
        </row>
        <row r="307">
          <cell r="E307" t="str">
            <v>Booked</v>
          </cell>
          <cell r="H307">
            <v>80</v>
          </cell>
        </row>
        <row r="308">
          <cell r="E308" t="str">
            <v>Booked</v>
          </cell>
          <cell r="H308">
            <v>80</v>
          </cell>
        </row>
        <row r="309">
          <cell r="E309" t="str">
            <v>Booked</v>
          </cell>
          <cell r="H309">
            <v>80</v>
          </cell>
        </row>
        <row r="310">
          <cell r="E310" t="str">
            <v>Booked</v>
          </cell>
          <cell r="H310">
            <v>80</v>
          </cell>
        </row>
        <row r="311">
          <cell r="E311" t="str">
            <v>Sold Not Booked</v>
          </cell>
          <cell r="H311">
            <v>100</v>
          </cell>
        </row>
        <row r="312">
          <cell r="E312" t="str">
            <v>Unsuccessful</v>
          </cell>
          <cell r="H312">
            <v>0</v>
          </cell>
        </row>
        <row r="313">
          <cell r="E313" t="str">
            <v>Booked</v>
          </cell>
          <cell r="H313">
            <v>80</v>
          </cell>
        </row>
        <row r="314">
          <cell r="E314" t="str">
            <v>Best Few</v>
          </cell>
          <cell r="H314">
            <v>15</v>
          </cell>
        </row>
        <row r="315">
          <cell r="E315" t="str">
            <v>Sold Not Booked</v>
          </cell>
          <cell r="H315">
            <v>100</v>
          </cell>
        </row>
        <row r="316">
          <cell r="E316" t="str">
            <v>In the Funnel</v>
          </cell>
          <cell r="H316">
            <v>40</v>
          </cell>
        </row>
        <row r="317">
          <cell r="E317" t="str">
            <v>Above the Funnel</v>
          </cell>
          <cell r="H317">
            <v>0</v>
          </cell>
        </row>
        <row r="318">
          <cell r="E318" t="str">
            <v>In the Funnel</v>
          </cell>
          <cell r="H318">
            <v>40</v>
          </cell>
        </row>
        <row r="319">
          <cell r="E319" t="str">
            <v>Best Few</v>
          </cell>
          <cell r="H319">
            <v>40</v>
          </cell>
        </row>
        <row r="320">
          <cell r="E320" t="str">
            <v>Best Few</v>
          </cell>
          <cell r="H320">
            <v>15</v>
          </cell>
        </row>
        <row r="321">
          <cell r="E321" t="str">
            <v>Best Few</v>
          </cell>
          <cell r="H321">
            <v>15</v>
          </cell>
        </row>
        <row r="322">
          <cell r="E322" t="str">
            <v>In the Funnel</v>
          </cell>
          <cell r="H322">
            <v>40</v>
          </cell>
        </row>
        <row r="323">
          <cell r="E323" t="str">
            <v>Best Few</v>
          </cell>
          <cell r="H323">
            <v>15</v>
          </cell>
        </row>
        <row r="324">
          <cell r="E324" t="str">
            <v>In the Funnel</v>
          </cell>
          <cell r="H324">
            <v>40</v>
          </cell>
        </row>
        <row r="325">
          <cell r="E325" t="str">
            <v>Above the Funnel</v>
          </cell>
          <cell r="H325">
            <v>0</v>
          </cell>
        </row>
        <row r="326">
          <cell r="E326" t="str">
            <v>Best Few</v>
          </cell>
          <cell r="H326">
            <v>40</v>
          </cell>
        </row>
        <row r="327">
          <cell r="E327" t="str">
            <v>Best Few</v>
          </cell>
          <cell r="H327">
            <v>15</v>
          </cell>
        </row>
        <row r="328">
          <cell r="E328" t="str">
            <v>Best Few</v>
          </cell>
          <cell r="H328">
            <v>15</v>
          </cell>
        </row>
        <row r="329">
          <cell r="E329" t="str">
            <v>Best Few</v>
          </cell>
          <cell r="H329">
            <v>40</v>
          </cell>
        </row>
        <row r="330">
          <cell r="E330" t="str">
            <v>Unsuccessful</v>
          </cell>
          <cell r="H330">
            <v>0</v>
          </cell>
        </row>
        <row r="331">
          <cell r="E331" t="str">
            <v>Above the Funnel</v>
          </cell>
          <cell r="H331">
            <v>0</v>
          </cell>
        </row>
        <row r="332">
          <cell r="E332" t="str">
            <v>Above the Funnel</v>
          </cell>
          <cell r="H332">
            <v>0</v>
          </cell>
        </row>
        <row r="333">
          <cell r="E333" t="str">
            <v>In the Funnel</v>
          </cell>
          <cell r="H333">
            <v>40</v>
          </cell>
        </row>
        <row r="334">
          <cell r="E334" t="str">
            <v>Unsuccessful</v>
          </cell>
          <cell r="H334">
            <v>0</v>
          </cell>
        </row>
        <row r="335">
          <cell r="E335" t="str">
            <v>Best Few</v>
          </cell>
          <cell r="H335">
            <v>15</v>
          </cell>
        </row>
        <row r="336">
          <cell r="E336" t="str">
            <v>Unsuccessful</v>
          </cell>
          <cell r="H336">
            <v>0</v>
          </cell>
        </row>
        <row r="337">
          <cell r="E337" t="str">
            <v>Above the Funnel</v>
          </cell>
          <cell r="H337">
            <v>0</v>
          </cell>
        </row>
        <row r="338">
          <cell r="E338" t="str">
            <v>Above the Funnel</v>
          </cell>
          <cell r="H338">
            <v>0</v>
          </cell>
        </row>
        <row r="339">
          <cell r="E339" t="str">
            <v>Above the Funnel</v>
          </cell>
          <cell r="H339">
            <v>0</v>
          </cell>
        </row>
        <row r="340">
          <cell r="E340" t="str">
            <v>In the Funnel</v>
          </cell>
          <cell r="H340">
            <v>40</v>
          </cell>
        </row>
        <row r="341">
          <cell r="E341" t="str">
            <v>Above the Funnel</v>
          </cell>
          <cell r="H341">
            <v>0</v>
          </cell>
        </row>
        <row r="342">
          <cell r="E342" t="str">
            <v>Above the Funnel</v>
          </cell>
          <cell r="H342">
            <v>0</v>
          </cell>
        </row>
        <row r="343">
          <cell r="E343" t="str">
            <v>Best Few</v>
          </cell>
          <cell r="H343">
            <v>40</v>
          </cell>
        </row>
        <row r="344">
          <cell r="E344" t="str">
            <v>In the Funnel</v>
          </cell>
          <cell r="H344">
            <v>40</v>
          </cell>
        </row>
        <row r="345">
          <cell r="E345" t="str">
            <v>Above the Funnel</v>
          </cell>
          <cell r="H345">
            <v>0</v>
          </cell>
        </row>
        <row r="346">
          <cell r="E346" t="str">
            <v>Best Few</v>
          </cell>
          <cell r="H346">
            <v>15</v>
          </cell>
        </row>
        <row r="347">
          <cell r="E347" t="str">
            <v>Best Few</v>
          </cell>
          <cell r="H347">
            <v>40</v>
          </cell>
        </row>
        <row r="348">
          <cell r="E348" t="str">
            <v>In the Funnel</v>
          </cell>
          <cell r="H348">
            <v>40</v>
          </cell>
        </row>
        <row r="349">
          <cell r="E349" t="str">
            <v>Above the Funnel</v>
          </cell>
          <cell r="H349">
            <v>0</v>
          </cell>
        </row>
        <row r="350">
          <cell r="E350" t="str">
            <v>Best Few</v>
          </cell>
          <cell r="H350">
            <v>40</v>
          </cell>
        </row>
        <row r="351">
          <cell r="E351" t="str">
            <v>In the Funnel</v>
          </cell>
          <cell r="H351">
            <v>40</v>
          </cell>
        </row>
        <row r="352">
          <cell r="E352" t="str">
            <v>In the Funnel</v>
          </cell>
          <cell r="H352">
            <v>40</v>
          </cell>
        </row>
        <row r="353">
          <cell r="E353" t="str">
            <v>Best Few</v>
          </cell>
          <cell r="H353">
            <v>15</v>
          </cell>
        </row>
        <row r="354">
          <cell r="E354" t="str">
            <v>In the Funnel</v>
          </cell>
          <cell r="H354">
            <v>40</v>
          </cell>
        </row>
        <row r="355">
          <cell r="E355" t="str">
            <v>Above the Funnel</v>
          </cell>
          <cell r="H355">
            <v>0</v>
          </cell>
        </row>
        <row r="356">
          <cell r="E356" t="str">
            <v>Above the Funnel</v>
          </cell>
          <cell r="H356">
            <v>0</v>
          </cell>
        </row>
        <row r="357">
          <cell r="E357" t="str">
            <v>Unsuccessful</v>
          </cell>
          <cell r="H357">
            <v>0</v>
          </cell>
        </row>
        <row r="358">
          <cell r="E358" t="str">
            <v>Best Few</v>
          </cell>
          <cell r="H358">
            <v>40</v>
          </cell>
        </row>
        <row r="359">
          <cell r="E359" t="str">
            <v>In the Funnel</v>
          </cell>
          <cell r="H359">
            <v>40</v>
          </cell>
        </row>
        <row r="360">
          <cell r="E360" t="str">
            <v>Best Few</v>
          </cell>
          <cell r="H360">
            <v>40</v>
          </cell>
        </row>
        <row r="361">
          <cell r="E361" t="str">
            <v>Best Few</v>
          </cell>
          <cell r="H361">
            <v>40</v>
          </cell>
        </row>
        <row r="362">
          <cell r="E362" t="str">
            <v>Unsuccessful</v>
          </cell>
          <cell r="H362">
            <v>0</v>
          </cell>
        </row>
        <row r="363">
          <cell r="E363" t="str">
            <v>Above the Funnel</v>
          </cell>
          <cell r="H363">
            <v>0</v>
          </cell>
        </row>
        <row r="364">
          <cell r="E364" t="str">
            <v>Above the Funnel</v>
          </cell>
          <cell r="H364">
            <v>0</v>
          </cell>
        </row>
        <row r="365">
          <cell r="E365" t="str">
            <v>Best Few</v>
          </cell>
          <cell r="H365">
            <v>40</v>
          </cell>
        </row>
        <row r="366">
          <cell r="E366" t="str">
            <v>Best Few</v>
          </cell>
          <cell r="H366">
            <v>40</v>
          </cell>
        </row>
        <row r="367">
          <cell r="E367" t="str">
            <v>In the Funnel</v>
          </cell>
          <cell r="H367">
            <v>40</v>
          </cell>
        </row>
        <row r="368">
          <cell r="E368" t="str">
            <v>In the Funnel</v>
          </cell>
          <cell r="H368">
            <v>40</v>
          </cell>
        </row>
        <row r="369">
          <cell r="E369" t="str">
            <v>Best Few</v>
          </cell>
          <cell r="H369">
            <v>40</v>
          </cell>
        </row>
        <row r="370">
          <cell r="E370" t="str">
            <v>Best Few</v>
          </cell>
          <cell r="H370">
            <v>40</v>
          </cell>
        </row>
        <row r="371">
          <cell r="E371" t="str">
            <v>Above the Funnel</v>
          </cell>
          <cell r="H371">
            <v>0</v>
          </cell>
        </row>
        <row r="372">
          <cell r="E372" t="str">
            <v>Above the Funnel</v>
          </cell>
          <cell r="H372">
            <v>0</v>
          </cell>
        </row>
        <row r="373">
          <cell r="E373" t="str">
            <v>In the Funnel</v>
          </cell>
          <cell r="H373">
            <v>40</v>
          </cell>
        </row>
        <row r="374">
          <cell r="E374" t="str">
            <v>Unsuccessful</v>
          </cell>
          <cell r="H374">
            <v>0</v>
          </cell>
        </row>
        <row r="375">
          <cell r="E375" t="str">
            <v>Unsuccessful</v>
          </cell>
          <cell r="H375">
            <v>0</v>
          </cell>
        </row>
        <row r="376">
          <cell r="E376" t="str">
            <v>Best Few</v>
          </cell>
          <cell r="H376">
            <v>40</v>
          </cell>
        </row>
        <row r="377">
          <cell r="E377" t="str">
            <v>Best Few</v>
          </cell>
          <cell r="H377">
            <v>40</v>
          </cell>
        </row>
        <row r="378">
          <cell r="E378" t="str">
            <v>Best Few</v>
          </cell>
          <cell r="H378">
            <v>15</v>
          </cell>
        </row>
        <row r="379">
          <cell r="E379" t="str">
            <v>In the Funnel</v>
          </cell>
          <cell r="H379">
            <v>40</v>
          </cell>
        </row>
        <row r="380">
          <cell r="E380" t="str">
            <v>Unsuccessful</v>
          </cell>
          <cell r="H380">
            <v>0</v>
          </cell>
        </row>
        <row r="381">
          <cell r="E381" t="str">
            <v>Best Few</v>
          </cell>
          <cell r="H381">
            <v>40</v>
          </cell>
        </row>
        <row r="382">
          <cell r="E382" t="str">
            <v>In the Funnel</v>
          </cell>
          <cell r="H382">
            <v>40</v>
          </cell>
        </row>
        <row r="383">
          <cell r="E383" t="str">
            <v>Best Few</v>
          </cell>
          <cell r="H383">
            <v>15</v>
          </cell>
        </row>
        <row r="384">
          <cell r="E384" t="str">
            <v>Above the Funnel</v>
          </cell>
          <cell r="H384">
            <v>0</v>
          </cell>
        </row>
        <row r="385">
          <cell r="E385" t="str">
            <v>In the Funnel</v>
          </cell>
          <cell r="H385">
            <v>40</v>
          </cell>
        </row>
        <row r="386">
          <cell r="E386" t="str">
            <v>Unsuccessful</v>
          </cell>
          <cell r="H386">
            <v>0</v>
          </cell>
        </row>
        <row r="387">
          <cell r="E387" t="str">
            <v>Best Few</v>
          </cell>
          <cell r="H387">
            <v>15</v>
          </cell>
        </row>
        <row r="388">
          <cell r="E388" t="str">
            <v>In the Funnel</v>
          </cell>
          <cell r="H388">
            <v>40</v>
          </cell>
        </row>
        <row r="389">
          <cell r="E389" t="str">
            <v>In the Funnel</v>
          </cell>
          <cell r="H389">
            <v>40</v>
          </cell>
        </row>
        <row r="390">
          <cell r="E390" t="str">
            <v>In the Funnel</v>
          </cell>
          <cell r="H390">
            <v>40</v>
          </cell>
        </row>
        <row r="391">
          <cell r="E391" t="str">
            <v>Above the Funnel</v>
          </cell>
          <cell r="H391">
            <v>0</v>
          </cell>
        </row>
        <row r="392">
          <cell r="E392" t="str">
            <v>Best Few</v>
          </cell>
          <cell r="H392">
            <v>15</v>
          </cell>
        </row>
        <row r="393">
          <cell r="E393" t="str">
            <v>Above the Funnel</v>
          </cell>
          <cell r="H393">
            <v>0</v>
          </cell>
        </row>
        <row r="394">
          <cell r="E394" t="str">
            <v>In the Funnel</v>
          </cell>
          <cell r="H394">
            <v>40</v>
          </cell>
        </row>
        <row r="395">
          <cell r="E395" t="str">
            <v>Above the Funnel</v>
          </cell>
          <cell r="H395">
            <v>0</v>
          </cell>
        </row>
        <row r="396">
          <cell r="E396" t="str">
            <v>Unsuccessful</v>
          </cell>
          <cell r="H396">
            <v>0</v>
          </cell>
        </row>
        <row r="397">
          <cell r="E397" t="str">
            <v>Unsuccessful</v>
          </cell>
          <cell r="H397">
            <v>0</v>
          </cell>
        </row>
        <row r="398">
          <cell r="E398" t="str">
            <v>Unsuccessful</v>
          </cell>
          <cell r="H398">
            <v>0</v>
          </cell>
        </row>
        <row r="399">
          <cell r="E399" t="str">
            <v>Unsuccessful</v>
          </cell>
          <cell r="H399">
            <v>0</v>
          </cell>
        </row>
        <row r="400">
          <cell r="E400" t="str">
            <v>Unsuccessful</v>
          </cell>
          <cell r="H400">
            <v>0</v>
          </cell>
        </row>
        <row r="401">
          <cell r="E401" t="str">
            <v>Unsuccessful</v>
          </cell>
          <cell r="H401">
            <v>0</v>
          </cell>
        </row>
        <row r="402">
          <cell r="E402" t="str">
            <v>Unsuccessful</v>
          </cell>
          <cell r="H402">
            <v>0</v>
          </cell>
        </row>
        <row r="403">
          <cell r="E403" t="str">
            <v>Unsuccessful</v>
          </cell>
          <cell r="H403">
            <v>0</v>
          </cell>
        </row>
        <row r="404">
          <cell r="E404" t="str">
            <v>Unsuccessful</v>
          </cell>
          <cell r="H404">
            <v>0</v>
          </cell>
        </row>
        <row r="405">
          <cell r="E405" t="str">
            <v>Unsuccessful</v>
          </cell>
          <cell r="H405">
            <v>0</v>
          </cell>
        </row>
        <row r="406">
          <cell r="E406" t="str">
            <v>Unsuccessful</v>
          </cell>
          <cell r="H406">
            <v>0</v>
          </cell>
        </row>
        <row r="407">
          <cell r="E407" t="str">
            <v>Unsuccessful</v>
          </cell>
          <cell r="H407">
            <v>0</v>
          </cell>
        </row>
        <row r="408">
          <cell r="E408" t="str">
            <v>Unsuccessful</v>
          </cell>
          <cell r="H408">
            <v>0</v>
          </cell>
        </row>
        <row r="409">
          <cell r="E409" t="str">
            <v>Unsuccessful</v>
          </cell>
          <cell r="H409">
            <v>0</v>
          </cell>
        </row>
        <row r="410">
          <cell r="E410" t="str">
            <v>Unsuccessful</v>
          </cell>
          <cell r="H410">
            <v>0</v>
          </cell>
        </row>
        <row r="411">
          <cell r="E411" t="str">
            <v>Unsuccessful</v>
          </cell>
          <cell r="H411">
            <v>0</v>
          </cell>
        </row>
        <row r="412">
          <cell r="E412" t="str">
            <v>Unsuccessful</v>
          </cell>
          <cell r="H412">
            <v>0</v>
          </cell>
        </row>
        <row r="413">
          <cell r="E413" t="str">
            <v>Unsuccessful</v>
          </cell>
          <cell r="H413">
            <v>0</v>
          </cell>
        </row>
        <row r="414">
          <cell r="E414" t="str">
            <v>Unsuccessful</v>
          </cell>
          <cell r="H414">
            <v>0</v>
          </cell>
        </row>
        <row r="415">
          <cell r="E415" t="str">
            <v>Unsuccessful</v>
          </cell>
          <cell r="H415">
            <v>0</v>
          </cell>
        </row>
        <row r="416">
          <cell r="E416" t="str">
            <v>Unsuccessful</v>
          </cell>
          <cell r="H416">
            <v>0</v>
          </cell>
        </row>
        <row r="417">
          <cell r="E417" t="str">
            <v>Unsuccessful</v>
          </cell>
          <cell r="H417">
            <v>0</v>
          </cell>
        </row>
        <row r="418">
          <cell r="E418" t="str">
            <v>Unsuccessful</v>
          </cell>
          <cell r="H418">
            <v>0</v>
          </cell>
        </row>
        <row r="419">
          <cell r="E419" t="str">
            <v>Unsuccessful</v>
          </cell>
          <cell r="H419">
            <v>0</v>
          </cell>
        </row>
        <row r="420">
          <cell r="E420" t="str">
            <v>Unsuccessful</v>
          </cell>
          <cell r="H420">
            <v>0</v>
          </cell>
        </row>
        <row r="421">
          <cell r="E421" t="str">
            <v>Unsuccessful</v>
          </cell>
          <cell r="H421">
            <v>0</v>
          </cell>
        </row>
        <row r="422">
          <cell r="E422" t="str">
            <v>Unsuccessful</v>
          </cell>
          <cell r="H422">
            <v>0</v>
          </cell>
        </row>
        <row r="423">
          <cell r="E423" t="str">
            <v>Unsuccessful</v>
          </cell>
          <cell r="H423">
            <v>0</v>
          </cell>
        </row>
        <row r="424">
          <cell r="E424" t="str">
            <v>Unsuccessful</v>
          </cell>
          <cell r="H424">
            <v>0</v>
          </cell>
        </row>
        <row r="425">
          <cell r="E425" t="str">
            <v>Unsuccessful</v>
          </cell>
          <cell r="H425">
            <v>0</v>
          </cell>
        </row>
        <row r="426">
          <cell r="E426" t="str">
            <v>Unsuccessful</v>
          </cell>
          <cell r="H426">
            <v>0</v>
          </cell>
        </row>
        <row r="427">
          <cell r="E427" t="str">
            <v>Unsuccessful</v>
          </cell>
          <cell r="H427">
            <v>0</v>
          </cell>
        </row>
        <row r="428">
          <cell r="E428" t="str">
            <v>Unsuccessful</v>
          </cell>
          <cell r="H428">
            <v>0</v>
          </cell>
        </row>
        <row r="429">
          <cell r="E429" t="str">
            <v>Unsuccessful</v>
          </cell>
          <cell r="H429">
            <v>0</v>
          </cell>
        </row>
        <row r="430">
          <cell r="E430" t="str">
            <v>Unsuccessful</v>
          </cell>
          <cell r="H430">
            <v>0</v>
          </cell>
        </row>
        <row r="431">
          <cell r="E431" t="str">
            <v>Unsuccessful</v>
          </cell>
          <cell r="H431">
            <v>0</v>
          </cell>
        </row>
        <row r="432">
          <cell r="E432" t="str">
            <v>Unsuccessful</v>
          </cell>
          <cell r="H432">
            <v>0</v>
          </cell>
        </row>
        <row r="433">
          <cell r="E433" t="str">
            <v>Unsuccessful</v>
          </cell>
          <cell r="H433">
            <v>0</v>
          </cell>
        </row>
        <row r="434">
          <cell r="E434" t="str">
            <v>Unsuccessful</v>
          </cell>
          <cell r="H434">
            <v>0</v>
          </cell>
        </row>
        <row r="435">
          <cell r="E435" t="str">
            <v>Unsuccessful</v>
          </cell>
          <cell r="H435">
            <v>0</v>
          </cell>
        </row>
        <row r="436">
          <cell r="E436" t="str">
            <v>Unsuccessful</v>
          </cell>
          <cell r="H436">
            <v>0</v>
          </cell>
        </row>
        <row r="437">
          <cell r="E437" t="str">
            <v>Unsuccessful</v>
          </cell>
          <cell r="H437">
            <v>0</v>
          </cell>
        </row>
        <row r="438">
          <cell r="E438" t="str">
            <v>Unsuccessful</v>
          </cell>
          <cell r="H438">
            <v>0</v>
          </cell>
        </row>
        <row r="439">
          <cell r="E439" t="str">
            <v>Unsuccessful</v>
          </cell>
          <cell r="H439">
            <v>0</v>
          </cell>
        </row>
        <row r="440">
          <cell r="E440" t="str">
            <v>Unsuccessful</v>
          </cell>
          <cell r="H440">
            <v>0</v>
          </cell>
        </row>
        <row r="441">
          <cell r="E441" t="str">
            <v>Unsuccessful</v>
          </cell>
          <cell r="H441">
            <v>0</v>
          </cell>
        </row>
        <row r="442">
          <cell r="E442" t="str">
            <v>Unsuccessful</v>
          </cell>
          <cell r="H442">
            <v>0</v>
          </cell>
        </row>
        <row r="443">
          <cell r="E443" t="str">
            <v>Unsuccessful</v>
          </cell>
          <cell r="H443">
            <v>0</v>
          </cell>
        </row>
        <row r="444">
          <cell r="E444" t="str">
            <v>Unsuccessful</v>
          </cell>
          <cell r="H444">
            <v>0</v>
          </cell>
        </row>
        <row r="445">
          <cell r="E445" t="str">
            <v>Unsuccessful</v>
          </cell>
          <cell r="H445">
            <v>0</v>
          </cell>
        </row>
        <row r="446">
          <cell r="E446" t="str">
            <v>Unsuccessful</v>
          </cell>
          <cell r="H446">
            <v>0</v>
          </cell>
        </row>
        <row r="447">
          <cell r="E447" t="str">
            <v>Unsuccessful</v>
          </cell>
          <cell r="H447">
            <v>0</v>
          </cell>
        </row>
        <row r="448">
          <cell r="E448" t="str">
            <v>Unsuccessful</v>
          </cell>
          <cell r="H448">
            <v>0</v>
          </cell>
        </row>
        <row r="449">
          <cell r="E449" t="str">
            <v>Unsuccessful</v>
          </cell>
          <cell r="H449">
            <v>0</v>
          </cell>
        </row>
        <row r="450">
          <cell r="E450" t="str">
            <v>Unsuccessful</v>
          </cell>
          <cell r="H450">
            <v>0</v>
          </cell>
        </row>
        <row r="451">
          <cell r="E451" t="str">
            <v>Unsuccessful</v>
          </cell>
          <cell r="H451">
            <v>0</v>
          </cell>
        </row>
        <row r="452">
          <cell r="E452" t="str">
            <v>Unsuccessful</v>
          </cell>
          <cell r="H452">
            <v>0</v>
          </cell>
        </row>
        <row r="453">
          <cell r="E453" t="str">
            <v>Unsuccessful</v>
          </cell>
          <cell r="H453">
            <v>0</v>
          </cell>
        </row>
        <row r="454">
          <cell r="E454" t="str">
            <v>Sold Not Booked</v>
          </cell>
          <cell r="H454">
            <v>100</v>
          </cell>
        </row>
        <row r="455">
          <cell r="E455" t="str">
            <v>Sold Not Booked</v>
          </cell>
          <cell r="H455">
            <v>100</v>
          </cell>
        </row>
        <row r="456">
          <cell r="E456" t="str">
            <v>Booked</v>
          </cell>
          <cell r="H456">
            <v>80</v>
          </cell>
        </row>
        <row r="457">
          <cell r="E457" t="str">
            <v>Sold Not Booked</v>
          </cell>
          <cell r="H457">
            <v>100</v>
          </cell>
        </row>
        <row r="458">
          <cell r="E458" t="str">
            <v>Sold Not Booked</v>
          </cell>
          <cell r="H458">
            <v>100</v>
          </cell>
        </row>
        <row r="459">
          <cell r="E459" t="str">
            <v>Booked</v>
          </cell>
          <cell r="H459">
            <v>80</v>
          </cell>
        </row>
        <row r="460">
          <cell r="E460" t="str">
            <v>Booked</v>
          </cell>
          <cell r="H460">
            <v>80</v>
          </cell>
        </row>
        <row r="461">
          <cell r="E461" t="str">
            <v>Booked</v>
          </cell>
          <cell r="H461">
            <v>80</v>
          </cell>
        </row>
        <row r="462">
          <cell r="E462" t="str">
            <v>Booked</v>
          </cell>
          <cell r="H462">
            <v>80</v>
          </cell>
        </row>
        <row r="463">
          <cell r="E463" t="str">
            <v>Booked</v>
          </cell>
          <cell r="H463">
            <v>80</v>
          </cell>
        </row>
        <row r="464">
          <cell r="E464" t="str">
            <v>Sold Not Booked</v>
          </cell>
          <cell r="H464">
            <v>100</v>
          </cell>
        </row>
        <row r="465">
          <cell r="E465" t="str">
            <v>Booked</v>
          </cell>
          <cell r="H465">
            <v>80</v>
          </cell>
        </row>
        <row r="466">
          <cell r="E466" t="str">
            <v>Booked</v>
          </cell>
          <cell r="H466">
            <v>80</v>
          </cell>
        </row>
        <row r="467">
          <cell r="E467" t="str">
            <v>Booked</v>
          </cell>
          <cell r="H467">
            <v>80</v>
          </cell>
        </row>
        <row r="468">
          <cell r="E468" t="str">
            <v>Sold Not Booked</v>
          </cell>
          <cell r="H468">
            <v>100</v>
          </cell>
        </row>
        <row r="469">
          <cell r="E469" t="str">
            <v>Sold Not Booked</v>
          </cell>
          <cell r="H469">
            <v>100</v>
          </cell>
        </row>
        <row r="470">
          <cell r="E470" t="str">
            <v>Booked</v>
          </cell>
          <cell r="H470">
            <v>80</v>
          </cell>
        </row>
        <row r="471">
          <cell r="E471" t="str">
            <v>Booked</v>
          </cell>
          <cell r="H471">
            <v>80</v>
          </cell>
        </row>
        <row r="472">
          <cell r="E472" t="str">
            <v>Sold Not Booked</v>
          </cell>
          <cell r="H472">
            <v>100</v>
          </cell>
        </row>
        <row r="473">
          <cell r="E473" t="str">
            <v>Sold Not Booked</v>
          </cell>
          <cell r="H473">
            <v>100</v>
          </cell>
        </row>
        <row r="474">
          <cell r="E474" t="str">
            <v>Sold Not Booked</v>
          </cell>
          <cell r="H474">
            <v>100</v>
          </cell>
        </row>
        <row r="475">
          <cell r="E475" t="str">
            <v>Sold Not Booked</v>
          </cell>
          <cell r="H475">
            <v>100</v>
          </cell>
        </row>
        <row r="476">
          <cell r="E476" t="str">
            <v>Sold Not Booked</v>
          </cell>
          <cell r="H476">
            <v>100</v>
          </cell>
        </row>
        <row r="477">
          <cell r="E477" t="str">
            <v>Sold Not Booked</v>
          </cell>
          <cell r="H477">
            <v>100</v>
          </cell>
        </row>
        <row r="478">
          <cell r="E478" t="str">
            <v>Booked</v>
          </cell>
          <cell r="H478">
            <v>80</v>
          </cell>
        </row>
        <row r="479">
          <cell r="E479" t="str">
            <v>Booked</v>
          </cell>
          <cell r="H479">
            <v>80</v>
          </cell>
        </row>
        <row r="480">
          <cell r="E480" t="str">
            <v>Sold Not Booked</v>
          </cell>
          <cell r="H480">
            <v>100</v>
          </cell>
        </row>
        <row r="481">
          <cell r="E481" t="str">
            <v>Booked</v>
          </cell>
          <cell r="H481">
            <v>80</v>
          </cell>
        </row>
        <row r="482">
          <cell r="E482" t="str">
            <v>Booked</v>
          </cell>
          <cell r="H482">
            <v>80</v>
          </cell>
        </row>
        <row r="483">
          <cell r="E483" t="str">
            <v>Booked</v>
          </cell>
          <cell r="H483">
            <v>80</v>
          </cell>
        </row>
        <row r="484">
          <cell r="E484" t="str">
            <v>Sold Not Booked</v>
          </cell>
          <cell r="H484">
            <v>100</v>
          </cell>
        </row>
        <row r="485">
          <cell r="E485" t="str">
            <v>Sold Not Booked</v>
          </cell>
          <cell r="H485">
            <v>100</v>
          </cell>
        </row>
        <row r="486">
          <cell r="E486" t="str">
            <v>Booked</v>
          </cell>
          <cell r="H486">
            <v>80</v>
          </cell>
        </row>
        <row r="487">
          <cell r="E487" t="str">
            <v>Booked</v>
          </cell>
          <cell r="H487">
            <v>80</v>
          </cell>
        </row>
        <row r="488">
          <cell r="E488" t="str">
            <v>Booked</v>
          </cell>
          <cell r="H488">
            <v>80</v>
          </cell>
        </row>
        <row r="489">
          <cell r="E489" t="str">
            <v>Sold Not Booked</v>
          </cell>
          <cell r="H489">
            <v>100</v>
          </cell>
        </row>
        <row r="490">
          <cell r="E490" t="str">
            <v>Sold Not Booked</v>
          </cell>
          <cell r="H490">
            <v>100</v>
          </cell>
        </row>
        <row r="491">
          <cell r="E491" t="str">
            <v>Sold Not Booked</v>
          </cell>
          <cell r="H491">
            <v>100</v>
          </cell>
        </row>
        <row r="492">
          <cell r="E492" t="str">
            <v>Booked</v>
          </cell>
          <cell r="H492">
            <v>80</v>
          </cell>
        </row>
        <row r="493">
          <cell r="E493" t="str">
            <v>Booked</v>
          </cell>
          <cell r="H493">
            <v>80</v>
          </cell>
        </row>
        <row r="494">
          <cell r="E494" t="str">
            <v>Sold Not Booked</v>
          </cell>
          <cell r="H494">
            <v>100</v>
          </cell>
        </row>
        <row r="495">
          <cell r="E495" t="str">
            <v>Sold Not Booked</v>
          </cell>
          <cell r="H495">
            <v>100</v>
          </cell>
        </row>
        <row r="496">
          <cell r="E496" t="str">
            <v>Booked</v>
          </cell>
          <cell r="H496">
            <v>80</v>
          </cell>
        </row>
        <row r="497">
          <cell r="E497" t="str">
            <v>Sold Not Booked</v>
          </cell>
          <cell r="H497">
            <v>100</v>
          </cell>
        </row>
        <row r="498">
          <cell r="E498" t="str">
            <v>Sold Not Booked</v>
          </cell>
          <cell r="H498">
            <v>100</v>
          </cell>
        </row>
        <row r="499">
          <cell r="E499" t="str">
            <v>Sold Not Booked</v>
          </cell>
          <cell r="H499">
            <v>100</v>
          </cell>
        </row>
        <row r="500">
          <cell r="E500" t="str">
            <v>Booked</v>
          </cell>
          <cell r="H500">
            <v>80</v>
          </cell>
        </row>
        <row r="501">
          <cell r="E501" t="str">
            <v>Sold Not Booked</v>
          </cell>
          <cell r="H501">
            <v>100</v>
          </cell>
        </row>
        <row r="502">
          <cell r="E502" t="str">
            <v>Booked</v>
          </cell>
          <cell r="H502">
            <v>80</v>
          </cell>
        </row>
        <row r="503">
          <cell r="E503" t="str">
            <v>Booked</v>
          </cell>
          <cell r="H503">
            <v>80</v>
          </cell>
        </row>
        <row r="504">
          <cell r="E504" t="str">
            <v>Booked</v>
          </cell>
          <cell r="H504">
            <v>80</v>
          </cell>
        </row>
        <row r="505">
          <cell r="E505" t="str">
            <v>Booked</v>
          </cell>
          <cell r="H505">
            <v>80</v>
          </cell>
        </row>
        <row r="506">
          <cell r="E506" t="str">
            <v>Sold Not Booked</v>
          </cell>
          <cell r="H506">
            <v>100</v>
          </cell>
        </row>
        <row r="507">
          <cell r="E507" t="str">
            <v>Sold Not Booked</v>
          </cell>
          <cell r="H507">
            <v>100</v>
          </cell>
        </row>
        <row r="508">
          <cell r="E508" t="str">
            <v>Booked</v>
          </cell>
          <cell r="H508">
            <v>80</v>
          </cell>
        </row>
        <row r="509">
          <cell r="E509" t="str">
            <v>Booked</v>
          </cell>
          <cell r="H509">
            <v>80</v>
          </cell>
        </row>
        <row r="510">
          <cell r="E510" t="str">
            <v>Booked</v>
          </cell>
          <cell r="H510">
            <v>80</v>
          </cell>
        </row>
        <row r="511">
          <cell r="E511" t="str">
            <v>Booked</v>
          </cell>
          <cell r="H511">
            <v>80</v>
          </cell>
        </row>
        <row r="512">
          <cell r="E512" t="str">
            <v>Booked</v>
          </cell>
          <cell r="H512">
            <v>80</v>
          </cell>
        </row>
        <row r="513">
          <cell r="E513" t="str">
            <v>Booked</v>
          </cell>
          <cell r="H513">
            <v>80</v>
          </cell>
        </row>
        <row r="514">
          <cell r="E514" t="str">
            <v>Sold Not Booked</v>
          </cell>
          <cell r="H514">
            <v>100</v>
          </cell>
        </row>
        <row r="515">
          <cell r="E515" t="str">
            <v>Booked</v>
          </cell>
          <cell r="H515">
            <v>80</v>
          </cell>
        </row>
        <row r="516">
          <cell r="E516" t="str">
            <v>Sold Not Booked</v>
          </cell>
          <cell r="H516">
            <v>100</v>
          </cell>
        </row>
        <row r="517">
          <cell r="E517" t="str">
            <v>Booked</v>
          </cell>
          <cell r="H517">
            <v>80</v>
          </cell>
        </row>
        <row r="518">
          <cell r="E518" t="str">
            <v>Sold Not Booked</v>
          </cell>
          <cell r="H518">
            <v>100</v>
          </cell>
        </row>
        <row r="519">
          <cell r="E519" t="str">
            <v>Sold Not Booked</v>
          </cell>
          <cell r="H519">
            <v>100</v>
          </cell>
        </row>
        <row r="520">
          <cell r="E520" t="str">
            <v>Sold Not Booked</v>
          </cell>
          <cell r="H520">
            <v>100</v>
          </cell>
        </row>
        <row r="521">
          <cell r="E521" t="str">
            <v>Sold Not Booked</v>
          </cell>
          <cell r="H521">
            <v>100</v>
          </cell>
        </row>
        <row r="522">
          <cell r="E522" t="str">
            <v>Sold Not Booked</v>
          </cell>
          <cell r="H522">
            <v>100</v>
          </cell>
        </row>
        <row r="523">
          <cell r="E523" t="str">
            <v>Sold Not Booked</v>
          </cell>
          <cell r="H523">
            <v>100</v>
          </cell>
        </row>
        <row r="524">
          <cell r="E524" t="str">
            <v>Sold Not Booked</v>
          </cell>
          <cell r="H524">
            <v>100</v>
          </cell>
        </row>
        <row r="525">
          <cell r="E525" t="str">
            <v>Booked</v>
          </cell>
          <cell r="H525">
            <v>80</v>
          </cell>
        </row>
        <row r="526">
          <cell r="E526" t="str">
            <v>Sold Not Booked</v>
          </cell>
          <cell r="H526">
            <v>100</v>
          </cell>
        </row>
        <row r="527">
          <cell r="E527" t="str">
            <v>Booked</v>
          </cell>
          <cell r="H527">
            <v>80</v>
          </cell>
        </row>
        <row r="528">
          <cell r="E528" t="str">
            <v>Sold Not Booked</v>
          </cell>
          <cell r="H528">
            <v>100</v>
          </cell>
        </row>
        <row r="529">
          <cell r="E529" t="str">
            <v>Booked</v>
          </cell>
          <cell r="H529">
            <v>80</v>
          </cell>
        </row>
        <row r="530">
          <cell r="E530" t="str">
            <v>Sold Not Booked</v>
          </cell>
          <cell r="H530">
            <v>100</v>
          </cell>
        </row>
        <row r="531">
          <cell r="E531" t="str">
            <v>Booked</v>
          </cell>
          <cell r="H531">
            <v>80</v>
          </cell>
        </row>
        <row r="532">
          <cell r="E532" t="str">
            <v>Booked</v>
          </cell>
          <cell r="H532">
            <v>80</v>
          </cell>
        </row>
        <row r="533">
          <cell r="E533" t="str">
            <v>Sold Not Booked</v>
          </cell>
          <cell r="H533">
            <v>100</v>
          </cell>
        </row>
        <row r="534">
          <cell r="E534" t="str">
            <v>Booked</v>
          </cell>
          <cell r="H534">
            <v>80</v>
          </cell>
        </row>
        <row r="535">
          <cell r="E535" t="str">
            <v>Sold Not Booked</v>
          </cell>
          <cell r="H535">
            <v>100</v>
          </cell>
        </row>
        <row r="536">
          <cell r="E536" t="str">
            <v>Booked</v>
          </cell>
          <cell r="H536">
            <v>80</v>
          </cell>
        </row>
        <row r="537">
          <cell r="E537" t="str">
            <v>Sold Not Booked</v>
          </cell>
          <cell r="H537">
            <v>100</v>
          </cell>
        </row>
        <row r="538">
          <cell r="E538" t="str">
            <v>Sold Not Booked</v>
          </cell>
          <cell r="H538">
            <v>100</v>
          </cell>
        </row>
        <row r="539">
          <cell r="E539" t="str">
            <v>Sold Not Booked</v>
          </cell>
          <cell r="H539">
            <v>100</v>
          </cell>
        </row>
        <row r="540">
          <cell r="E540" t="str">
            <v>Sold Not Booked</v>
          </cell>
          <cell r="H540">
            <v>100</v>
          </cell>
        </row>
        <row r="541">
          <cell r="E541" t="str">
            <v>Booked</v>
          </cell>
          <cell r="H541">
            <v>80</v>
          </cell>
        </row>
        <row r="542">
          <cell r="E542" t="str">
            <v>Sold Not Booked</v>
          </cell>
          <cell r="H542">
            <v>100</v>
          </cell>
        </row>
        <row r="543">
          <cell r="E543" t="str">
            <v>Sold Not Booked</v>
          </cell>
          <cell r="H543">
            <v>100</v>
          </cell>
        </row>
        <row r="544">
          <cell r="E544" t="str">
            <v>Booked</v>
          </cell>
          <cell r="H544">
            <v>80</v>
          </cell>
        </row>
        <row r="545">
          <cell r="E545" t="str">
            <v>Sold Not Booked</v>
          </cell>
          <cell r="H545">
            <v>100</v>
          </cell>
        </row>
        <row r="546">
          <cell r="E546" t="str">
            <v>Sold Not Booked</v>
          </cell>
          <cell r="H546">
            <v>100</v>
          </cell>
        </row>
        <row r="547">
          <cell r="E547" t="str">
            <v>Sold Not Booked</v>
          </cell>
          <cell r="H547">
            <v>100</v>
          </cell>
        </row>
        <row r="548">
          <cell r="E548" t="str">
            <v>Sold Not Booked</v>
          </cell>
          <cell r="H548">
            <v>100</v>
          </cell>
        </row>
        <row r="549">
          <cell r="E549" t="str">
            <v>Booked</v>
          </cell>
          <cell r="H549">
            <v>80</v>
          </cell>
        </row>
        <row r="550">
          <cell r="E550" t="str">
            <v>Sold Not Booked</v>
          </cell>
          <cell r="H550">
            <v>100</v>
          </cell>
        </row>
        <row r="551">
          <cell r="E551" t="str">
            <v>Booked</v>
          </cell>
          <cell r="H551">
            <v>80</v>
          </cell>
        </row>
        <row r="552">
          <cell r="E552" t="str">
            <v>Sold Not Booked</v>
          </cell>
          <cell r="H552">
            <v>100</v>
          </cell>
        </row>
        <row r="553">
          <cell r="E553" t="str">
            <v>Booked</v>
          </cell>
          <cell r="H553">
            <v>80</v>
          </cell>
        </row>
        <row r="554">
          <cell r="E554" t="str">
            <v>Sold Not Booked</v>
          </cell>
          <cell r="H554">
            <v>100</v>
          </cell>
        </row>
        <row r="555">
          <cell r="E555" t="str">
            <v>Sold Not Booked</v>
          </cell>
          <cell r="H555">
            <v>100</v>
          </cell>
        </row>
        <row r="556">
          <cell r="E556" t="str">
            <v>Booked</v>
          </cell>
          <cell r="H556">
            <v>80</v>
          </cell>
        </row>
        <row r="557">
          <cell r="E557" t="str">
            <v>Booked</v>
          </cell>
          <cell r="H557">
            <v>80</v>
          </cell>
        </row>
        <row r="558">
          <cell r="E558" t="str">
            <v>Sold Not Booked</v>
          </cell>
          <cell r="H558">
            <v>100</v>
          </cell>
        </row>
        <row r="559">
          <cell r="E559" t="str">
            <v>Sold Not Booked</v>
          </cell>
          <cell r="H559">
            <v>100</v>
          </cell>
        </row>
        <row r="560">
          <cell r="E560" t="str">
            <v>Sold Not Booked</v>
          </cell>
          <cell r="H560">
            <v>100</v>
          </cell>
        </row>
        <row r="561">
          <cell r="E561" t="str">
            <v>Sold Not Booked</v>
          </cell>
          <cell r="H561">
            <v>100</v>
          </cell>
        </row>
        <row r="562">
          <cell r="E562" t="str">
            <v>Sold Not Booked</v>
          </cell>
          <cell r="H562">
            <v>100</v>
          </cell>
        </row>
        <row r="563">
          <cell r="E563" t="str">
            <v>Booked</v>
          </cell>
          <cell r="H563">
            <v>80</v>
          </cell>
        </row>
        <row r="564">
          <cell r="E564" t="str">
            <v>Booked</v>
          </cell>
          <cell r="H564">
            <v>80</v>
          </cell>
        </row>
        <row r="565">
          <cell r="E565" t="str">
            <v>Sold Not Booked</v>
          </cell>
          <cell r="H565">
            <v>100</v>
          </cell>
        </row>
        <row r="566">
          <cell r="E566" t="str">
            <v>Booked</v>
          </cell>
          <cell r="H566">
            <v>80</v>
          </cell>
        </row>
        <row r="567">
          <cell r="E567" t="str">
            <v>Sold Not Booked</v>
          </cell>
          <cell r="H567">
            <v>100</v>
          </cell>
        </row>
        <row r="568">
          <cell r="E568" t="str">
            <v>Sold Not Booked</v>
          </cell>
          <cell r="H568">
            <v>100</v>
          </cell>
        </row>
        <row r="569">
          <cell r="E569" t="str">
            <v>Booked</v>
          </cell>
          <cell r="H569">
            <v>80</v>
          </cell>
        </row>
        <row r="570">
          <cell r="E570" t="str">
            <v>Sold Not Booked</v>
          </cell>
          <cell r="H570">
            <v>100</v>
          </cell>
        </row>
        <row r="571">
          <cell r="E571" t="str">
            <v>Booked</v>
          </cell>
          <cell r="H571">
            <v>80</v>
          </cell>
        </row>
        <row r="572">
          <cell r="E572" t="str">
            <v>Sold Not Booked</v>
          </cell>
          <cell r="H572">
            <v>100</v>
          </cell>
        </row>
        <row r="573">
          <cell r="E573" t="str">
            <v>Booked</v>
          </cell>
          <cell r="H573">
            <v>80</v>
          </cell>
        </row>
        <row r="574">
          <cell r="E574" t="str">
            <v>Sold Not Booked</v>
          </cell>
          <cell r="H574">
            <v>100</v>
          </cell>
        </row>
        <row r="575">
          <cell r="E575" t="str">
            <v>Booked</v>
          </cell>
          <cell r="H575">
            <v>80</v>
          </cell>
        </row>
        <row r="576">
          <cell r="E576" t="str">
            <v>Sold Not Booked</v>
          </cell>
          <cell r="H576">
            <v>100</v>
          </cell>
        </row>
        <row r="577">
          <cell r="E577" t="str">
            <v>Sold Not Booked</v>
          </cell>
          <cell r="H577">
            <v>100</v>
          </cell>
        </row>
        <row r="578">
          <cell r="E578" t="str">
            <v>Booked</v>
          </cell>
          <cell r="H578">
            <v>80</v>
          </cell>
        </row>
        <row r="579">
          <cell r="E579" t="str">
            <v>Booked</v>
          </cell>
          <cell r="H579">
            <v>80</v>
          </cell>
        </row>
        <row r="580">
          <cell r="E580" t="str">
            <v>Sold Not Booked</v>
          </cell>
          <cell r="H580">
            <v>100</v>
          </cell>
        </row>
        <row r="581">
          <cell r="E581" t="str">
            <v>Sold Not Booked</v>
          </cell>
          <cell r="H581">
            <v>100</v>
          </cell>
        </row>
        <row r="582">
          <cell r="E582" t="str">
            <v>Booked</v>
          </cell>
          <cell r="H582">
            <v>80</v>
          </cell>
        </row>
        <row r="583">
          <cell r="E583" t="str">
            <v>Sold Not Booked</v>
          </cell>
          <cell r="H583">
            <v>100</v>
          </cell>
        </row>
        <row r="584">
          <cell r="E584" t="str">
            <v>Booked</v>
          </cell>
          <cell r="H584">
            <v>80</v>
          </cell>
        </row>
        <row r="585">
          <cell r="E585" t="str">
            <v>Sold Not Booked</v>
          </cell>
          <cell r="H585">
            <v>100</v>
          </cell>
        </row>
        <row r="586">
          <cell r="E586" t="str">
            <v>Booked</v>
          </cell>
          <cell r="H586">
            <v>80</v>
          </cell>
        </row>
        <row r="587">
          <cell r="E587" t="str">
            <v>Sold Not Booked</v>
          </cell>
          <cell r="H587">
            <v>100</v>
          </cell>
        </row>
        <row r="588">
          <cell r="E588" t="str">
            <v>Sold Not Booked</v>
          </cell>
          <cell r="H588">
            <v>100</v>
          </cell>
        </row>
        <row r="589">
          <cell r="E589" t="str">
            <v>Sold Not Booked</v>
          </cell>
          <cell r="H589">
            <v>100</v>
          </cell>
        </row>
        <row r="590">
          <cell r="E590" t="str">
            <v>Booked</v>
          </cell>
          <cell r="H590">
            <v>80</v>
          </cell>
        </row>
        <row r="591">
          <cell r="E591" t="str">
            <v>Booked</v>
          </cell>
          <cell r="H591">
            <v>80</v>
          </cell>
        </row>
        <row r="592">
          <cell r="E592" t="str">
            <v>Booked</v>
          </cell>
          <cell r="H592">
            <v>80</v>
          </cell>
        </row>
        <row r="593">
          <cell r="E593" t="str">
            <v>Booked</v>
          </cell>
          <cell r="H593">
            <v>80</v>
          </cell>
        </row>
        <row r="594">
          <cell r="E594" t="str">
            <v>Sold Not Booked</v>
          </cell>
          <cell r="H594">
            <v>100</v>
          </cell>
        </row>
        <row r="595">
          <cell r="E595" t="str">
            <v>Sold Not Booked</v>
          </cell>
          <cell r="H595">
            <v>100</v>
          </cell>
        </row>
        <row r="596">
          <cell r="E596" t="str">
            <v>Booked</v>
          </cell>
          <cell r="H596">
            <v>80</v>
          </cell>
        </row>
        <row r="597">
          <cell r="E597" t="str">
            <v>Sold Not Booked</v>
          </cell>
          <cell r="H597">
            <v>100</v>
          </cell>
        </row>
        <row r="598">
          <cell r="E598" t="str">
            <v>Booked</v>
          </cell>
          <cell r="H598">
            <v>80</v>
          </cell>
        </row>
        <row r="599">
          <cell r="E599" t="str">
            <v>Sold Not Booked</v>
          </cell>
          <cell r="H599">
            <v>100</v>
          </cell>
        </row>
        <row r="600">
          <cell r="E600" t="str">
            <v>Booked</v>
          </cell>
          <cell r="H600">
            <v>80</v>
          </cell>
        </row>
        <row r="601">
          <cell r="E601" t="str">
            <v>Booked</v>
          </cell>
          <cell r="H601">
            <v>80</v>
          </cell>
        </row>
        <row r="602">
          <cell r="E602" t="str">
            <v>Booked</v>
          </cell>
          <cell r="H602">
            <v>80</v>
          </cell>
        </row>
        <row r="603">
          <cell r="E603" t="str">
            <v>Booked</v>
          </cell>
          <cell r="H603">
            <v>80</v>
          </cell>
        </row>
        <row r="604">
          <cell r="E604" t="str">
            <v>Sold Not Booked</v>
          </cell>
          <cell r="H604">
            <v>100</v>
          </cell>
        </row>
        <row r="605">
          <cell r="E605" t="str">
            <v>Sold Not Booked</v>
          </cell>
          <cell r="H605">
            <v>100</v>
          </cell>
        </row>
        <row r="606">
          <cell r="E606" t="str">
            <v>Booked</v>
          </cell>
          <cell r="H606">
            <v>80</v>
          </cell>
        </row>
        <row r="607">
          <cell r="E607" t="str">
            <v>Sold Not Booked</v>
          </cell>
          <cell r="H607">
            <v>100</v>
          </cell>
        </row>
        <row r="608">
          <cell r="E608" t="str">
            <v>Sold Not Booked</v>
          </cell>
          <cell r="H608">
            <v>100</v>
          </cell>
        </row>
        <row r="609">
          <cell r="E609" t="str">
            <v>Sold Not Booked</v>
          </cell>
          <cell r="H609">
            <v>100</v>
          </cell>
        </row>
        <row r="610">
          <cell r="E610" t="str">
            <v>Sold Not Booked</v>
          </cell>
          <cell r="H610">
            <v>100</v>
          </cell>
        </row>
        <row r="611">
          <cell r="E611" t="str">
            <v>Booked</v>
          </cell>
          <cell r="H611">
            <v>80</v>
          </cell>
        </row>
        <row r="612">
          <cell r="E612" t="str">
            <v>Booked</v>
          </cell>
          <cell r="H612">
            <v>80</v>
          </cell>
        </row>
        <row r="613">
          <cell r="E613" t="str">
            <v>Sold Not Booked</v>
          </cell>
          <cell r="H613">
            <v>100</v>
          </cell>
        </row>
        <row r="614">
          <cell r="E614" t="str">
            <v>Booked</v>
          </cell>
          <cell r="H614">
            <v>80</v>
          </cell>
        </row>
        <row r="615">
          <cell r="E615" t="str">
            <v>Sold Not Booked</v>
          </cell>
          <cell r="H615">
            <v>100</v>
          </cell>
        </row>
        <row r="616">
          <cell r="E616" t="str">
            <v>Unsuccessful</v>
          </cell>
          <cell r="H616">
            <v>0</v>
          </cell>
        </row>
        <row r="617">
          <cell r="E617" t="str">
            <v>Sold Not Booked</v>
          </cell>
          <cell r="H617">
            <v>100</v>
          </cell>
        </row>
        <row r="618">
          <cell r="E618" t="str">
            <v>Sold Not Booked</v>
          </cell>
          <cell r="H618">
            <v>100</v>
          </cell>
        </row>
        <row r="619">
          <cell r="E619" t="str">
            <v>Sold Not Booked</v>
          </cell>
          <cell r="H619">
            <v>100</v>
          </cell>
        </row>
        <row r="620">
          <cell r="E620" t="str">
            <v>Booked</v>
          </cell>
          <cell r="H620">
            <v>80</v>
          </cell>
        </row>
        <row r="621">
          <cell r="E621" t="str">
            <v>Booked</v>
          </cell>
          <cell r="H621">
            <v>80</v>
          </cell>
        </row>
        <row r="622">
          <cell r="E622" t="str">
            <v>Booked</v>
          </cell>
          <cell r="H622">
            <v>80</v>
          </cell>
        </row>
        <row r="623">
          <cell r="E623" t="str">
            <v>Booked</v>
          </cell>
          <cell r="H623">
            <v>80</v>
          </cell>
        </row>
        <row r="624">
          <cell r="E624" t="str">
            <v>Sold Not Booked</v>
          </cell>
          <cell r="H624">
            <v>100</v>
          </cell>
        </row>
        <row r="625">
          <cell r="E625" t="str">
            <v>Booked</v>
          </cell>
          <cell r="H625">
            <v>80</v>
          </cell>
        </row>
        <row r="626">
          <cell r="E626" t="str">
            <v>Booked</v>
          </cell>
          <cell r="H626">
            <v>80</v>
          </cell>
        </row>
        <row r="627">
          <cell r="E627" t="str">
            <v>Unsuccessful</v>
          </cell>
          <cell r="H627">
            <v>0</v>
          </cell>
        </row>
        <row r="628">
          <cell r="E628" t="str">
            <v>Sold Not Booked</v>
          </cell>
          <cell r="H628">
            <v>100</v>
          </cell>
        </row>
        <row r="629">
          <cell r="E629" t="str">
            <v>Sold Not Booked</v>
          </cell>
          <cell r="H629">
            <v>100</v>
          </cell>
        </row>
        <row r="630">
          <cell r="E630" t="str">
            <v>Sold Not Booked</v>
          </cell>
          <cell r="H630">
            <v>100</v>
          </cell>
        </row>
        <row r="631">
          <cell r="E631" t="str">
            <v>Booked</v>
          </cell>
          <cell r="H631">
            <v>80</v>
          </cell>
        </row>
        <row r="632">
          <cell r="E632" t="str">
            <v>Sold Not Booked</v>
          </cell>
          <cell r="H632">
            <v>100</v>
          </cell>
        </row>
        <row r="633">
          <cell r="E633" t="str">
            <v>Booked</v>
          </cell>
          <cell r="H633">
            <v>80</v>
          </cell>
        </row>
        <row r="634">
          <cell r="E634" t="str">
            <v>Booked</v>
          </cell>
          <cell r="H634">
            <v>80</v>
          </cell>
        </row>
        <row r="635">
          <cell r="E635" t="str">
            <v>Booked</v>
          </cell>
          <cell r="H635">
            <v>80</v>
          </cell>
        </row>
        <row r="636">
          <cell r="E636" t="str">
            <v>Sold Not Booked</v>
          </cell>
          <cell r="H636">
            <v>100</v>
          </cell>
        </row>
        <row r="637">
          <cell r="E637" t="str">
            <v>Sold Not Booked</v>
          </cell>
          <cell r="H637">
            <v>100</v>
          </cell>
        </row>
        <row r="638">
          <cell r="E638" t="str">
            <v>Sold Not Booked</v>
          </cell>
          <cell r="H638">
            <v>100</v>
          </cell>
        </row>
        <row r="639">
          <cell r="E639" t="str">
            <v>Sold Not Booked</v>
          </cell>
          <cell r="H639">
            <v>100</v>
          </cell>
        </row>
        <row r="640">
          <cell r="E640" t="str">
            <v>Sold Not Booked</v>
          </cell>
          <cell r="H640">
            <v>100</v>
          </cell>
        </row>
        <row r="641">
          <cell r="E641" t="str">
            <v>Booked</v>
          </cell>
          <cell r="H641">
            <v>80</v>
          </cell>
        </row>
        <row r="642">
          <cell r="E642" t="str">
            <v>Sold Not Booked</v>
          </cell>
          <cell r="H642">
            <v>100</v>
          </cell>
        </row>
        <row r="643">
          <cell r="E643" t="str">
            <v>Unsuccessful</v>
          </cell>
          <cell r="H643">
            <v>0</v>
          </cell>
        </row>
        <row r="644">
          <cell r="E644" t="str">
            <v>Sold Not Booked</v>
          </cell>
          <cell r="H644">
            <v>100</v>
          </cell>
        </row>
        <row r="645">
          <cell r="E645" t="str">
            <v>Booked</v>
          </cell>
          <cell r="H645">
            <v>80</v>
          </cell>
        </row>
        <row r="646">
          <cell r="E646" t="str">
            <v>Sold Not Booked</v>
          </cell>
          <cell r="H646">
            <v>100</v>
          </cell>
        </row>
        <row r="647">
          <cell r="E647" t="str">
            <v>Sold Not Booked</v>
          </cell>
          <cell r="H647">
            <v>100</v>
          </cell>
        </row>
        <row r="648">
          <cell r="E648" t="str">
            <v>Sold Not Booked</v>
          </cell>
          <cell r="H648">
            <v>100</v>
          </cell>
        </row>
        <row r="649">
          <cell r="E649" t="str">
            <v>Unsuccessful</v>
          </cell>
          <cell r="H649">
            <v>0</v>
          </cell>
        </row>
        <row r="650">
          <cell r="E650" t="str">
            <v>Booked</v>
          </cell>
          <cell r="H650">
            <v>80</v>
          </cell>
        </row>
        <row r="651">
          <cell r="E651" t="str">
            <v>Booked</v>
          </cell>
          <cell r="H651">
            <v>80</v>
          </cell>
        </row>
        <row r="652">
          <cell r="E652" t="str">
            <v>Booked</v>
          </cell>
          <cell r="H652">
            <v>80</v>
          </cell>
        </row>
        <row r="653">
          <cell r="E653" t="str">
            <v>Sold Not Booked</v>
          </cell>
          <cell r="H653">
            <v>100</v>
          </cell>
        </row>
        <row r="654">
          <cell r="E654" t="str">
            <v>Booked</v>
          </cell>
          <cell r="H654">
            <v>80</v>
          </cell>
        </row>
        <row r="655">
          <cell r="E655" t="str">
            <v>Booked</v>
          </cell>
          <cell r="H655">
            <v>80</v>
          </cell>
        </row>
        <row r="656">
          <cell r="E656" t="str">
            <v>Sold Not Booked</v>
          </cell>
          <cell r="H656">
            <v>100</v>
          </cell>
        </row>
        <row r="657">
          <cell r="E657" t="str">
            <v>Booked</v>
          </cell>
          <cell r="H657">
            <v>80</v>
          </cell>
        </row>
        <row r="658">
          <cell r="E658" t="str">
            <v>Booked</v>
          </cell>
          <cell r="H658">
            <v>80</v>
          </cell>
        </row>
        <row r="659">
          <cell r="E659" t="str">
            <v>Sold Not Booked</v>
          </cell>
          <cell r="H659">
            <v>100</v>
          </cell>
        </row>
        <row r="660">
          <cell r="E660" t="str">
            <v>Booked</v>
          </cell>
          <cell r="H660">
            <v>80</v>
          </cell>
        </row>
        <row r="661">
          <cell r="E661" t="str">
            <v>Unsuccessful</v>
          </cell>
          <cell r="H661">
            <v>0</v>
          </cell>
        </row>
        <row r="662">
          <cell r="E662" t="str">
            <v>Booked</v>
          </cell>
          <cell r="H662">
            <v>80</v>
          </cell>
        </row>
        <row r="663">
          <cell r="E663" t="str">
            <v>Unsuccessful</v>
          </cell>
          <cell r="H663">
            <v>0</v>
          </cell>
        </row>
        <row r="664">
          <cell r="E664" t="str">
            <v>Booked</v>
          </cell>
          <cell r="H664">
            <v>80</v>
          </cell>
        </row>
        <row r="665">
          <cell r="E665" t="str">
            <v>Sold Not Booked</v>
          </cell>
          <cell r="H665">
            <v>100</v>
          </cell>
        </row>
        <row r="666">
          <cell r="E666" t="str">
            <v>Booked</v>
          </cell>
          <cell r="H666">
            <v>80</v>
          </cell>
        </row>
        <row r="667">
          <cell r="E667" t="str">
            <v>Unsuccessful</v>
          </cell>
          <cell r="H667">
            <v>0</v>
          </cell>
        </row>
        <row r="668">
          <cell r="E668" t="str">
            <v>Sold Not Booked</v>
          </cell>
          <cell r="H668">
            <v>100</v>
          </cell>
        </row>
        <row r="669">
          <cell r="E669" t="str">
            <v>Sold Not Booked</v>
          </cell>
          <cell r="H669">
            <v>100</v>
          </cell>
        </row>
        <row r="670">
          <cell r="E670" t="str">
            <v>Sold Not Booked</v>
          </cell>
          <cell r="H670">
            <v>100</v>
          </cell>
        </row>
        <row r="671">
          <cell r="E671" t="str">
            <v>Sold Not Booked</v>
          </cell>
          <cell r="H671">
            <v>100</v>
          </cell>
        </row>
        <row r="672">
          <cell r="E672" t="str">
            <v>Sold Not Booked</v>
          </cell>
          <cell r="H672">
            <v>100</v>
          </cell>
        </row>
        <row r="673">
          <cell r="E673" t="str">
            <v>Sold Not Booked</v>
          </cell>
          <cell r="H673">
            <v>100</v>
          </cell>
        </row>
        <row r="674">
          <cell r="E674" t="str">
            <v>Booked</v>
          </cell>
          <cell r="H674">
            <v>80</v>
          </cell>
        </row>
        <row r="675">
          <cell r="E675" t="str">
            <v>Booked</v>
          </cell>
          <cell r="H675">
            <v>80</v>
          </cell>
        </row>
        <row r="676">
          <cell r="E676" t="str">
            <v>Sold Not Booked</v>
          </cell>
          <cell r="H676">
            <v>100</v>
          </cell>
        </row>
        <row r="677">
          <cell r="E677" t="str">
            <v>Sold Not Booked</v>
          </cell>
          <cell r="H677">
            <v>100</v>
          </cell>
        </row>
        <row r="678">
          <cell r="E678" t="str">
            <v>Sold Not Booked</v>
          </cell>
          <cell r="H678">
            <v>100</v>
          </cell>
        </row>
        <row r="679">
          <cell r="E679" t="str">
            <v>Sold Not Booked</v>
          </cell>
          <cell r="H679">
            <v>100</v>
          </cell>
        </row>
        <row r="680">
          <cell r="E680" t="str">
            <v>Booked</v>
          </cell>
          <cell r="H680">
            <v>80</v>
          </cell>
        </row>
        <row r="681">
          <cell r="E681" t="str">
            <v>Sold Not Booked</v>
          </cell>
          <cell r="H681">
            <v>100</v>
          </cell>
        </row>
        <row r="682">
          <cell r="E682" t="str">
            <v>Unsuccessful</v>
          </cell>
          <cell r="H682">
            <v>0</v>
          </cell>
        </row>
        <row r="683">
          <cell r="E683" t="str">
            <v>Booked</v>
          </cell>
          <cell r="H683">
            <v>80</v>
          </cell>
        </row>
        <row r="684">
          <cell r="E684" t="str">
            <v>Sold Not Booked</v>
          </cell>
          <cell r="H684">
            <v>100</v>
          </cell>
        </row>
        <row r="685">
          <cell r="E685" t="str">
            <v>Booked</v>
          </cell>
          <cell r="H685">
            <v>80</v>
          </cell>
        </row>
        <row r="686">
          <cell r="E686" t="str">
            <v>Booked</v>
          </cell>
          <cell r="H686">
            <v>80</v>
          </cell>
        </row>
        <row r="687">
          <cell r="E687" t="str">
            <v>Sold Not Booked</v>
          </cell>
          <cell r="H687">
            <v>100</v>
          </cell>
        </row>
        <row r="688">
          <cell r="E688" t="str">
            <v>Booked</v>
          </cell>
          <cell r="H688">
            <v>80</v>
          </cell>
        </row>
        <row r="689">
          <cell r="E689" t="str">
            <v>Sold Not Booked</v>
          </cell>
          <cell r="H689">
            <v>100</v>
          </cell>
        </row>
        <row r="690">
          <cell r="E690" t="str">
            <v>Booked</v>
          </cell>
          <cell r="H690">
            <v>80</v>
          </cell>
        </row>
        <row r="691">
          <cell r="E691" t="str">
            <v>Booked</v>
          </cell>
          <cell r="H691">
            <v>80</v>
          </cell>
        </row>
        <row r="692">
          <cell r="E692" t="str">
            <v>Sold Not Booked</v>
          </cell>
          <cell r="H692">
            <v>100</v>
          </cell>
        </row>
        <row r="693">
          <cell r="E693" t="str">
            <v>Unsuccessful</v>
          </cell>
          <cell r="H693">
            <v>0</v>
          </cell>
        </row>
        <row r="694">
          <cell r="E694" t="str">
            <v>Sold Not Booked</v>
          </cell>
          <cell r="H694">
            <v>100</v>
          </cell>
        </row>
        <row r="695">
          <cell r="E695" t="str">
            <v>Booked</v>
          </cell>
          <cell r="H695">
            <v>80</v>
          </cell>
        </row>
        <row r="696">
          <cell r="E696" t="str">
            <v>Sold Not Booked</v>
          </cell>
          <cell r="H696">
            <v>100</v>
          </cell>
        </row>
        <row r="697">
          <cell r="E697" t="str">
            <v>Booked</v>
          </cell>
          <cell r="H697">
            <v>80</v>
          </cell>
        </row>
        <row r="698">
          <cell r="E698" t="str">
            <v>Sold Not Booked</v>
          </cell>
          <cell r="H698">
            <v>100</v>
          </cell>
        </row>
        <row r="699">
          <cell r="E699" t="str">
            <v>Booked</v>
          </cell>
          <cell r="H699">
            <v>80</v>
          </cell>
        </row>
        <row r="700">
          <cell r="E700" t="str">
            <v>Booked</v>
          </cell>
          <cell r="H700">
            <v>80</v>
          </cell>
        </row>
        <row r="701">
          <cell r="E701" t="str">
            <v>Booked</v>
          </cell>
          <cell r="H701">
            <v>80</v>
          </cell>
        </row>
        <row r="702">
          <cell r="E702" t="str">
            <v>Sold Not Booked</v>
          </cell>
          <cell r="H702">
            <v>100</v>
          </cell>
        </row>
        <row r="703">
          <cell r="E703" t="str">
            <v>Sold Not Booked</v>
          </cell>
          <cell r="H703">
            <v>100</v>
          </cell>
        </row>
        <row r="704">
          <cell r="E704" t="str">
            <v>Booked</v>
          </cell>
          <cell r="H704">
            <v>80</v>
          </cell>
        </row>
        <row r="705">
          <cell r="E705" t="str">
            <v>Booked</v>
          </cell>
          <cell r="H705">
            <v>80</v>
          </cell>
        </row>
        <row r="706">
          <cell r="E706" t="str">
            <v>Sold Not Booked</v>
          </cell>
          <cell r="H706">
            <v>100</v>
          </cell>
        </row>
        <row r="707">
          <cell r="E707" t="str">
            <v>Sold Not Booked</v>
          </cell>
          <cell r="H707">
            <v>100</v>
          </cell>
        </row>
        <row r="708">
          <cell r="E708" t="str">
            <v>Sold Not Booked</v>
          </cell>
          <cell r="H708">
            <v>100</v>
          </cell>
        </row>
        <row r="709">
          <cell r="E709" t="str">
            <v>Sold Not Booked</v>
          </cell>
          <cell r="H709">
            <v>100</v>
          </cell>
        </row>
        <row r="710">
          <cell r="E710" t="str">
            <v>Booked</v>
          </cell>
          <cell r="H710">
            <v>80</v>
          </cell>
        </row>
        <row r="711">
          <cell r="E711" t="str">
            <v>Sold Not Booked</v>
          </cell>
          <cell r="H711">
            <v>100</v>
          </cell>
        </row>
        <row r="712">
          <cell r="E712" t="str">
            <v>Booked</v>
          </cell>
          <cell r="H712">
            <v>80</v>
          </cell>
        </row>
        <row r="713">
          <cell r="E713" t="str">
            <v>Sold Not Booked</v>
          </cell>
          <cell r="H713">
            <v>100</v>
          </cell>
        </row>
        <row r="714">
          <cell r="E714" t="str">
            <v>Booked</v>
          </cell>
          <cell r="H714">
            <v>80</v>
          </cell>
        </row>
        <row r="715">
          <cell r="E715" t="str">
            <v>Booked</v>
          </cell>
          <cell r="H715">
            <v>80</v>
          </cell>
        </row>
        <row r="716">
          <cell r="E716" t="str">
            <v>Booked</v>
          </cell>
          <cell r="H716">
            <v>80</v>
          </cell>
        </row>
        <row r="717">
          <cell r="E717" t="str">
            <v>Sold Not Booked</v>
          </cell>
          <cell r="H717">
            <v>100</v>
          </cell>
        </row>
        <row r="718">
          <cell r="E718" t="str">
            <v>Booked</v>
          </cell>
          <cell r="H718">
            <v>80</v>
          </cell>
        </row>
        <row r="719">
          <cell r="E719" t="str">
            <v>Unsuccessful</v>
          </cell>
          <cell r="H719">
            <v>0</v>
          </cell>
        </row>
        <row r="720">
          <cell r="E720" t="str">
            <v>Sold Not Booked</v>
          </cell>
          <cell r="H720">
            <v>100</v>
          </cell>
        </row>
        <row r="721">
          <cell r="E721" t="str">
            <v>Sold Not Booked</v>
          </cell>
          <cell r="H721">
            <v>100</v>
          </cell>
        </row>
        <row r="722">
          <cell r="E722" t="str">
            <v>Sold Not Booked</v>
          </cell>
          <cell r="H722">
            <v>100</v>
          </cell>
        </row>
        <row r="723">
          <cell r="E723" t="str">
            <v>Booked</v>
          </cell>
          <cell r="H723">
            <v>80</v>
          </cell>
        </row>
        <row r="724">
          <cell r="E724" t="str">
            <v>Sold Not Booked</v>
          </cell>
          <cell r="H724">
            <v>100</v>
          </cell>
        </row>
        <row r="725">
          <cell r="E725" t="str">
            <v>Sold Not Booked</v>
          </cell>
          <cell r="H725">
            <v>100</v>
          </cell>
        </row>
        <row r="726">
          <cell r="E726" t="str">
            <v>Sold Not Booked</v>
          </cell>
          <cell r="H726">
            <v>100</v>
          </cell>
        </row>
        <row r="727">
          <cell r="E727" t="str">
            <v>Sold Not Booked</v>
          </cell>
          <cell r="H727">
            <v>100</v>
          </cell>
        </row>
        <row r="728">
          <cell r="E728" t="str">
            <v>Booked</v>
          </cell>
          <cell r="H728">
            <v>80</v>
          </cell>
        </row>
        <row r="729">
          <cell r="E729" t="str">
            <v>Sold Not Booked</v>
          </cell>
          <cell r="H729">
            <v>100</v>
          </cell>
        </row>
        <row r="730">
          <cell r="E730" t="str">
            <v>Sold Not Booked</v>
          </cell>
          <cell r="H730">
            <v>100</v>
          </cell>
        </row>
        <row r="731">
          <cell r="E731" t="str">
            <v>Booked</v>
          </cell>
          <cell r="H731">
            <v>80</v>
          </cell>
        </row>
        <row r="732">
          <cell r="E732" t="str">
            <v>Booked</v>
          </cell>
          <cell r="H732">
            <v>80</v>
          </cell>
        </row>
        <row r="733">
          <cell r="E733" t="str">
            <v>Sold Not Booked</v>
          </cell>
          <cell r="H733">
            <v>100</v>
          </cell>
        </row>
        <row r="734">
          <cell r="E734" t="str">
            <v>Sold Not Booked</v>
          </cell>
          <cell r="H734">
            <v>100</v>
          </cell>
        </row>
        <row r="735">
          <cell r="E735" t="str">
            <v>Booked</v>
          </cell>
          <cell r="H735">
            <v>80</v>
          </cell>
        </row>
        <row r="736">
          <cell r="E736" t="str">
            <v>Booked</v>
          </cell>
          <cell r="H736">
            <v>80</v>
          </cell>
        </row>
        <row r="737">
          <cell r="E737" t="str">
            <v>Sold Not Booked</v>
          </cell>
          <cell r="H737">
            <v>100</v>
          </cell>
        </row>
        <row r="738">
          <cell r="E738" t="str">
            <v>Sold Not Booked</v>
          </cell>
          <cell r="H738">
            <v>100</v>
          </cell>
        </row>
        <row r="739">
          <cell r="E739" t="str">
            <v>Sold Not Booked</v>
          </cell>
          <cell r="H739">
            <v>100</v>
          </cell>
        </row>
        <row r="740">
          <cell r="E740" t="str">
            <v>Unsuccessful</v>
          </cell>
          <cell r="H740">
            <v>0</v>
          </cell>
        </row>
        <row r="741">
          <cell r="E741" t="str">
            <v>Booked</v>
          </cell>
          <cell r="H741">
            <v>80</v>
          </cell>
        </row>
        <row r="742">
          <cell r="E742" t="str">
            <v>Booked</v>
          </cell>
          <cell r="H742">
            <v>80</v>
          </cell>
        </row>
        <row r="743">
          <cell r="E743" t="str">
            <v>Sold Not Booked</v>
          </cell>
          <cell r="H743">
            <v>100</v>
          </cell>
        </row>
        <row r="744">
          <cell r="E744" t="str">
            <v>Unsuccessful</v>
          </cell>
          <cell r="H744">
            <v>0</v>
          </cell>
        </row>
        <row r="745">
          <cell r="E745" t="str">
            <v>Unsuccessful</v>
          </cell>
          <cell r="H745">
            <v>0</v>
          </cell>
        </row>
        <row r="746">
          <cell r="E746" t="str">
            <v>Booked</v>
          </cell>
          <cell r="H746">
            <v>80</v>
          </cell>
        </row>
        <row r="747">
          <cell r="E747" t="str">
            <v>Above the Funnel</v>
          </cell>
          <cell r="H747">
            <v>0</v>
          </cell>
        </row>
        <row r="748">
          <cell r="E748" t="str">
            <v>Unsuccessful</v>
          </cell>
          <cell r="H748">
            <v>0</v>
          </cell>
        </row>
        <row r="749">
          <cell r="E749" t="str">
            <v>Above the Funnel</v>
          </cell>
          <cell r="H749">
            <v>0</v>
          </cell>
        </row>
        <row r="750">
          <cell r="E750" t="str">
            <v>In the Funnel</v>
          </cell>
          <cell r="H750">
            <v>40</v>
          </cell>
        </row>
        <row r="751">
          <cell r="E751" t="str">
            <v>In the Funnel</v>
          </cell>
          <cell r="H751">
            <v>40</v>
          </cell>
        </row>
        <row r="752">
          <cell r="E752" t="str">
            <v>In the Funnel</v>
          </cell>
          <cell r="H752">
            <v>40</v>
          </cell>
        </row>
        <row r="753">
          <cell r="E753" t="str">
            <v>In the Funnel</v>
          </cell>
          <cell r="H753">
            <v>40</v>
          </cell>
        </row>
        <row r="754">
          <cell r="E754" t="str">
            <v>Best Few</v>
          </cell>
          <cell r="H754">
            <v>40</v>
          </cell>
        </row>
        <row r="755">
          <cell r="E755" t="str">
            <v>In the Funnel</v>
          </cell>
          <cell r="H755">
            <v>40</v>
          </cell>
        </row>
        <row r="756">
          <cell r="E756" t="str">
            <v>Best Few</v>
          </cell>
          <cell r="H756">
            <v>40</v>
          </cell>
        </row>
        <row r="757">
          <cell r="E757" t="str">
            <v>In the Funnel</v>
          </cell>
          <cell r="H757">
            <v>40</v>
          </cell>
        </row>
        <row r="758">
          <cell r="E758" t="str">
            <v>In the Funnel</v>
          </cell>
          <cell r="H758">
            <v>40</v>
          </cell>
        </row>
        <row r="759">
          <cell r="E759" t="str">
            <v>Best Few</v>
          </cell>
          <cell r="H759">
            <v>15</v>
          </cell>
        </row>
        <row r="760">
          <cell r="E760" t="str">
            <v>Above the Funnel</v>
          </cell>
          <cell r="H760">
            <v>0</v>
          </cell>
        </row>
        <row r="761">
          <cell r="E761" t="str">
            <v>Unsuccessful</v>
          </cell>
          <cell r="H761">
            <v>0</v>
          </cell>
        </row>
        <row r="762">
          <cell r="E762" t="str">
            <v>Best Few</v>
          </cell>
          <cell r="H762">
            <v>40</v>
          </cell>
        </row>
        <row r="763">
          <cell r="E763" t="str">
            <v>Above the Funnel</v>
          </cell>
          <cell r="H763">
            <v>0</v>
          </cell>
        </row>
        <row r="764">
          <cell r="E764" t="str">
            <v>In the Funnel</v>
          </cell>
          <cell r="H764">
            <v>40</v>
          </cell>
        </row>
        <row r="765">
          <cell r="E765" t="str">
            <v>Unsuccessful</v>
          </cell>
          <cell r="H765">
            <v>0</v>
          </cell>
        </row>
        <row r="766">
          <cell r="E766" t="str">
            <v>In the Funnel</v>
          </cell>
          <cell r="H766">
            <v>40</v>
          </cell>
        </row>
        <row r="767">
          <cell r="E767" t="str">
            <v>Above the Funnel</v>
          </cell>
          <cell r="H767">
            <v>0</v>
          </cell>
        </row>
        <row r="768">
          <cell r="E768" t="str">
            <v>Best Few</v>
          </cell>
          <cell r="H768">
            <v>15</v>
          </cell>
        </row>
        <row r="769">
          <cell r="E769" t="str">
            <v>Best Few</v>
          </cell>
          <cell r="H769">
            <v>40</v>
          </cell>
        </row>
        <row r="770">
          <cell r="E770" t="str">
            <v>Above the Funnel</v>
          </cell>
          <cell r="H770">
            <v>0</v>
          </cell>
        </row>
        <row r="771">
          <cell r="E771" t="str">
            <v>In the Funnel</v>
          </cell>
          <cell r="H771">
            <v>40</v>
          </cell>
        </row>
        <row r="772">
          <cell r="E772" t="str">
            <v>Unsuccessful</v>
          </cell>
          <cell r="H772">
            <v>0</v>
          </cell>
        </row>
        <row r="773">
          <cell r="E773" t="str">
            <v>Unsuccessful</v>
          </cell>
          <cell r="H773">
            <v>0</v>
          </cell>
        </row>
        <row r="774">
          <cell r="E774" t="str">
            <v>Unsuccessful</v>
          </cell>
          <cell r="H774">
            <v>0</v>
          </cell>
        </row>
        <row r="775">
          <cell r="E775" t="str">
            <v>In the Funnel</v>
          </cell>
          <cell r="H775">
            <v>40</v>
          </cell>
        </row>
        <row r="776">
          <cell r="E776" t="str">
            <v>Best Few</v>
          </cell>
          <cell r="H776">
            <v>40</v>
          </cell>
        </row>
        <row r="777">
          <cell r="E777" t="str">
            <v>Above the Funnel</v>
          </cell>
          <cell r="H777">
            <v>0</v>
          </cell>
        </row>
        <row r="778">
          <cell r="E778" t="str">
            <v>In the Funnel</v>
          </cell>
          <cell r="H778">
            <v>40</v>
          </cell>
        </row>
        <row r="779">
          <cell r="E779" t="str">
            <v>In the Funnel</v>
          </cell>
          <cell r="H779">
            <v>40</v>
          </cell>
        </row>
        <row r="780">
          <cell r="E780" t="str">
            <v>Above the Funnel</v>
          </cell>
          <cell r="H780">
            <v>0</v>
          </cell>
        </row>
        <row r="781">
          <cell r="E781" t="str">
            <v>Best Few</v>
          </cell>
          <cell r="H781">
            <v>15</v>
          </cell>
        </row>
        <row r="782">
          <cell r="E782" t="str">
            <v>Above the Funnel</v>
          </cell>
          <cell r="H782">
            <v>0</v>
          </cell>
        </row>
        <row r="783">
          <cell r="E783" t="str">
            <v>Best Few</v>
          </cell>
          <cell r="H783">
            <v>15</v>
          </cell>
        </row>
        <row r="784">
          <cell r="E784" t="str">
            <v>Best Few</v>
          </cell>
          <cell r="H784">
            <v>15</v>
          </cell>
        </row>
        <row r="785">
          <cell r="E785" t="str">
            <v>In the Funnel</v>
          </cell>
          <cell r="H785">
            <v>40</v>
          </cell>
        </row>
        <row r="786">
          <cell r="E786" t="str">
            <v>Unsuccessful</v>
          </cell>
          <cell r="H786">
            <v>0</v>
          </cell>
        </row>
        <row r="787">
          <cell r="E787" t="str">
            <v>Best Few</v>
          </cell>
          <cell r="H787">
            <v>40</v>
          </cell>
        </row>
        <row r="788">
          <cell r="E788" t="str">
            <v>In the Funnel</v>
          </cell>
          <cell r="H788">
            <v>40</v>
          </cell>
        </row>
        <row r="789">
          <cell r="E789" t="str">
            <v>Best Few</v>
          </cell>
          <cell r="H789">
            <v>40</v>
          </cell>
        </row>
        <row r="790">
          <cell r="E790" t="str">
            <v>Above the Funnel</v>
          </cell>
          <cell r="H790">
            <v>0</v>
          </cell>
        </row>
        <row r="791">
          <cell r="E791" t="str">
            <v>In the Funnel</v>
          </cell>
          <cell r="H791">
            <v>40</v>
          </cell>
        </row>
        <row r="792">
          <cell r="E792" t="str">
            <v>Best Few</v>
          </cell>
          <cell r="H792">
            <v>15</v>
          </cell>
        </row>
        <row r="793">
          <cell r="E793" t="str">
            <v>Above the Funnel</v>
          </cell>
          <cell r="H793">
            <v>0</v>
          </cell>
        </row>
        <row r="794">
          <cell r="E794" t="str">
            <v>Best Few</v>
          </cell>
          <cell r="H794">
            <v>15</v>
          </cell>
        </row>
        <row r="795">
          <cell r="E795" t="str">
            <v>Best Few</v>
          </cell>
          <cell r="H795">
            <v>40</v>
          </cell>
        </row>
        <row r="796">
          <cell r="E796" t="str">
            <v>Best Few</v>
          </cell>
          <cell r="H796">
            <v>40</v>
          </cell>
        </row>
        <row r="797">
          <cell r="E797" t="str">
            <v>In the Funnel</v>
          </cell>
          <cell r="H797">
            <v>40</v>
          </cell>
        </row>
        <row r="798">
          <cell r="E798" t="str">
            <v>Best Few</v>
          </cell>
          <cell r="H798">
            <v>40</v>
          </cell>
        </row>
        <row r="799">
          <cell r="E799" t="str">
            <v>Above the Funnel</v>
          </cell>
          <cell r="H799">
            <v>0</v>
          </cell>
        </row>
        <row r="800">
          <cell r="E800" t="str">
            <v>Above the Funnel</v>
          </cell>
          <cell r="H800">
            <v>0</v>
          </cell>
        </row>
        <row r="801">
          <cell r="E801" t="str">
            <v>In the Funnel</v>
          </cell>
          <cell r="H801">
            <v>40</v>
          </cell>
        </row>
        <row r="802">
          <cell r="E802" t="str">
            <v>Best Few</v>
          </cell>
          <cell r="H802">
            <v>15</v>
          </cell>
        </row>
        <row r="803">
          <cell r="E803" t="str">
            <v>Best Few</v>
          </cell>
          <cell r="H803">
            <v>15</v>
          </cell>
        </row>
        <row r="804">
          <cell r="E804" t="str">
            <v>Above the Funnel</v>
          </cell>
          <cell r="H804">
            <v>0</v>
          </cell>
        </row>
        <row r="805">
          <cell r="E805" t="str">
            <v>Unsuccessful</v>
          </cell>
          <cell r="H805">
            <v>0</v>
          </cell>
        </row>
        <row r="806">
          <cell r="E806" t="str">
            <v>Unsuccessful</v>
          </cell>
          <cell r="H806">
            <v>0</v>
          </cell>
        </row>
        <row r="807">
          <cell r="E807" t="str">
            <v>In the Funnel</v>
          </cell>
          <cell r="H807">
            <v>40</v>
          </cell>
        </row>
        <row r="808">
          <cell r="E808" t="str">
            <v>Best Few</v>
          </cell>
          <cell r="H808">
            <v>40</v>
          </cell>
        </row>
        <row r="809">
          <cell r="E809" t="str">
            <v>Best Few</v>
          </cell>
          <cell r="H809">
            <v>15</v>
          </cell>
        </row>
        <row r="810">
          <cell r="E810" t="str">
            <v>In the Funnel</v>
          </cell>
          <cell r="H810">
            <v>40</v>
          </cell>
        </row>
        <row r="811">
          <cell r="E811" t="str">
            <v>In the Funnel</v>
          </cell>
          <cell r="H811">
            <v>40</v>
          </cell>
        </row>
        <row r="812">
          <cell r="E812" t="str">
            <v>Best Few</v>
          </cell>
          <cell r="H812">
            <v>40</v>
          </cell>
        </row>
        <row r="813">
          <cell r="E813" t="str">
            <v>Best Few</v>
          </cell>
          <cell r="H813">
            <v>15</v>
          </cell>
        </row>
        <row r="814">
          <cell r="E814" t="str">
            <v>Above the Funnel</v>
          </cell>
          <cell r="H814">
            <v>0</v>
          </cell>
        </row>
        <row r="815">
          <cell r="E815" t="str">
            <v>Best Few</v>
          </cell>
          <cell r="H815">
            <v>15</v>
          </cell>
        </row>
        <row r="816">
          <cell r="E816" t="str">
            <v>Best Few</v>
          </cell>
          <cell r="H816">
            <v>40</v>
          </cell>
        </row>
        <row r="817">
          <cell r="E817" t="str">
            <v>Above the Funnel</v>
          </cell>
          <cell r="H817">
            <v>0</v>
          </cell>
        </row>
        <row r="818">
          <cell r="E818" t="str">
            <v>In the Funnel</v>
          </cell>
          <cell r="H818">
            <v>40</v>
          </cell>
        </row>
        <row r="819">
          <cell r="E819" t="str">
            <v>Unsuccessful</v>
          </cell>
          <cell r="H819">
            <v>0</v>
          </cell>
        </row>
        <row r="820">
          <cell r="E820" t="str">
            <v>Above the Funnel</v>
          </cell>
          <cell r="H820">
            <v>0</v>
          </cell>
        </row>
        <row r="821">
          <cell r="E821" t="str">
            <v>In the Funnel</v>
          </cell>
          <cell r="H821">
            <v>40</v>
          </cell>
        </row>
        <row r="822">
          <cell r="E822" t="str">
            <v>In the Funnel</v>
          </cell>
          <cell r="H822">
            <v>40</v>
          </cell>
        </row>
        <row r="823">
          <cell r="E823" t="str">
            <v>Best Few</v>
          </cell>
          <cell r="H823">
            <v>40</v>
          </cell>
        </row>
        <row r="824">
          <cell r="E824" t="str">
            <v>Best Few</v>
          </cell>
          <cell r="H824">
            <v>15</v>
          </cell>
        </row>
        <row r="825">
          <cell r="E825" t="str">
            <v>Above the Funnel</v>
          </cell>
          <cell r="H825">
            <v>0</v>
          </cell>
        </row>
        <row r="826">
          <cell r="E826" t="str">
            <v>Best Few</v>
          </cell>
          <cell r="H826">
            <v>40</v>
          </cell>
        </row>
        <row r="827">
          <cell r="E827" t="str">
            <v>Unsuccessful</v>
          </cell>
          <cell r="H827">
            <v>0</v>
          </cell>
        </row>
        <row r="828">
          <cell r="E828" t="str">
            <v>Above the Funnel</v>
          </cell>
          <cell r="H828">
            <v>0</v>
          </cell>
        </row>
        <row r="829">
          <cell r="E829" t="str">
            <v>In the Funnel</v>
          </cell>
          <cell r="H829">
            <v>40</v>
          </cell>
        </row>
        <row r="830">
          <cell r="E830" t="str">
            <v>Unsuccessful</v>
          </cell>
          <cell r="H830">
            <v>0</v>
          </cell>
        </row>
        <row r="831">
          <cell r="E831" t="str">
            <v>In the Funnel</v>
          </cell>
          <cell r="H831">
            <v>40</v>
          </cell>
        </row>
        <row r="832">
          <cell r="E832" t="str">
            <v>Unsuccessful</v>
          </cell>
          <cell r="H832">
            <v>0</v>
          </cell>
        </row>
        <row r="833">
          <cell r="E833" t="str">
            <v>Unsuccessful</v>
          </cell>
          <cell r="H833">
            <v>0</v>
          </cell>
        </row>
        <row r="834">
          <cell r="E834" t="str">
            <v>In the Funnel</v>
          </cell>
          <cell r="H834">
            <v>40</v>
          </cell>
        </row>
        <row r="835">
          <cell r="E835" t="str">
            <v>Above the Funnel</v>
          </cell>
          <cell r="H835">
            <v>0</v>
          </cell>
        </row>
        <row r="836">
          <cell r="E836" t="str">
            <v>Unsuccessful</v>
          </cell>
          <cell r="H836">
            <v>0</v>
          </cell>
        </row>
        <row r="837">
          <cell r="E837" t="str">
            <v>Unsuccessful</v>
          </cell>
          <cell r="H837">
            <v>0</v>
          </cell>
        </row>
        <row r="838">
          <cell r="E838" t="str">
            <v>Unsuccessful</v>
          </cell>
          <cell r="H838">
            <v>0</v>
          </cell>
        </row>
        <row r="839">
          <cell r="E839" t="str">
            <v>Unsuccessful</v>
          </cell>
          <cell r="H839">
            <v>0</v>
          </cell>
        </row>
        <row r="840">
          <cell r="E840" t="str">
            <v>Unsuccessful</v>
          </cell>
          <cell r="H840">
            <v>0</v>
          </cell>
        </row>
        <row r="841">
          <cell r="E841" t="str">
            <v>Unsuccessful</v>
          </cell>
          <cell r="H841">
            <v>0</v>
          </cell>
        </row>
        <row r="842">
          <cell r="E842" t="str">
            <v>Unsuccessful</v>
          </cell>
          <cell r="H842">
            <v>0</v>
          </cell>
        </row>
        <row r="843">
          <cell r="E843" t="str">
            <v>Unsuccessful</v>
          </cell>
          <cell r="H843">
            <v>0</v>
          </cell>
        </row>
        <row r="844">
          <cell r="E844" t="str">
            <v>Unsuccessful</v>
          </cell>
          <cell r="H844">
            <v>0</v>
          </cell>
        </row>
        <row r="845">
          <cell r="E845" t="str">
            <v>Unsuccessful</v>
          </cell>
          <cell r="H845">
            <v>0</v>
          </cell>
        </row>
        <row r="846">
          <cell r="E846" t="str">
            <v>Unsuccessful</v>
          </cell>
          <cell r="H846">
            <v>0</v>
          </cell>
        </row>
        <row r="847">
          <cell r="E847" t="str">
            <v>Unsuccessful</v>
          </cell>
          <cell r="H847">
            <v>0</v>
          </cell>
        </row>
        <row r="848">
          <cell r="E848" t="str">
            <v>Unsuccessful</v>
          </cell>
          <cell r="H848">
            <v>0</v>
          </cell>
        </row>
        <row r="849">
          <cell r="E849" t="str">
            <v>Unsuccessful</v>
          </cell>
          <cell r="H849">
            <v>0</v>
          </cell>
        </row>
        <row r="850">
          <cell r="E850" t="str">
            <v>Unsuccessful</v>
          </cell>
          <cell r="H850">
            <v>0</v>
          </cell>
        </row>
        <row r="851">
          <cell r="E851" t="str">
            <v>Unsuccessful</v>
          </cell>
          <cell r="H851">
            <v>0</v>
          </cell>
        </row>
        <row r="852">
          <cell r="E852" t="str">
            <v>Unsuccessful</v>
          </cell>
          <cell r="H852">
            <v>0</v>
          </cell>
        </row>
        <row r="853">
          <cell r="E853" t="str">
            <v>Unsuccessful</v>
          </cell>
          <cell r="H853">
            <v>0</v>
          </cell>
        </row>
        <row r="854">
          <cell r="E854" t="str">
            <v>Unsuccessful</v>
          </cell>
          <cell r="H854">
            <v>0</v>
          </cell>
        </row>
        <row r="855">
          <cell r="E855" t="str">
            <v>Unsuccessful</v>
          </cell>
          <cell r="H855">
            <v>0</v>
          </cell>
        </row>
        <row r="856">
          <cell r="E856" t="str">
            <v>Unsuccessful</v>
          </cell>
          <cell r="H856">
            <v>0</v>
          </cell>
        </row>
        <row r="857">
          <cell r="E857" t="str">
            <v>Unsuccessful</v>
          </cell>
          <cell r="H857">
            <v>0</v>
          </cell>
        </row>
        <row r="858">
          <cell r="E858" t="str">
            <v>Unsuccessful</v>
          </cell>
          <cell r="H858">
            <v>0</v>
          </cell>
        </row>
        <row r="859">
          <cell r="E859" t="str">
            <v>Unsuccessful</v>
          </cell>
          <cell r="H859">
            <v>0</v>
          </cell>
        </row>
        <row r="860">
          <cell r="E860" t="str">
            <v>Unsuccessful</v>
          </cell>
          <cell r="H860">
            <v>0</v>
          </cell>
        </row>
        <row r="861">
          <cell r="E861" t="str">
            <v>Unsuccessful</v>
          </cell>
          <cell r="H861">
            <v>0</v>
          </cell>
        </row>
        <row r="862">
          <cell r="E862" t="str">
            <v>Unsuccessful</v>
          </cell>
          <cell r="H862">
            <v>0</v>
          </cell>
        </row>
        <row r="863">
          <cell r="E863" t="str">
            <v>Unsuccessful</v>
          </cell>
          <cell r="H863">
            <v>0</v>
          </cell>
        </row>
        <row r="864">
          <cell r="E864" t="str">
            <v>Unsuccessful</v>
          </cell>
          <cell r="H864">
            <v>0</v>
          </cell>
        </row>
        <row r="865">
          <cell r="E865" t="str">
            <v>Unsuccessful</v>
          </cell>
          <cell r="H865">
            <v>0</v>
          </cell>
        </row>
        <row r="866">
          <cell r="E866" t="str">
            <v>Unsuccessful</v>
          </cell>
          <cell r="H866">
            <v>0</v>
          </cell>
        </row>
        <row r="867">
          <cell r="E867" t="str">
            <v>Unsuccessful</v>
          </cell>
          <cell r="H867">
            <v>0</v>
          </cell>
        </row>
        <row r="868">
          <cell r="E868" t="str">
            <v>Unsuccessful</v>
          </cell>
          <cell r="H868">
            <v>0</v>
          </cell>
        </row>
        <row r="869">
          <cell r="E869" t="str">
            <v>Unsuccessful</v>
          </cell>
          <cell r="H869">
            <v>0</v>
          </cell>
        </row>
        <row r="870">
          <cell r="E870" t="str">
            <v>Unsuccessful</v>
          </cell>
          <cell r="H870">
            <v>0</v>
          </cell>
        </row>
        <row r="871">
          <cell r="E871" t="str">
            <v>Unsuccessful</v>
          </cell>
          <cell r="H871">
            <v>0</v>
          </cell>
        </row>
        <row r="872">
          <cell r="E872" t="str">
            <v>Unsuccessful</v>
          </cell>
          <cell r="H872">
            <v>0</v>
          </cell>
        </row>
        <row r="873">
          <cell r="E873" t="str">
            <v>Unsuccessful</v>
          </cell>
          <cell r="H873">
            <v>0</v>
          </cell>
        </row>
        <row r="874">
          <cell r="E874" t="str">
            <v>Unsuccessful</v>
          </cell>
          <cell r="H874">
            <v>0</v>
          </cell>
        </row>
        <row r="875">
          <cell r="E875" t="str">
            <v>Unsuccessful</v>
          </cell>
          <cell r="H875">
            <v>0</v>
          </cell>
        </row>
        <row r="876">
          <cell r="E876" t="str">
            <v>Unsuccessful</v>
          </cell>
          <cell r="H876">
            <v>0</v>
          </cell>
        </row>
        <row r="877">
          <cell r="E877" t="str">
            <v>Unsuccessful</v>
          </cell>
          <cell r="H877">
            <v>0</v>
          </cell>
        </row>
        <row r="878">
          <cell r="E878" t="str">
            <v>Unsuccessful</v>
          </cell>
          <cell r="H878">
            <v>0</v>
          </cell>
        </row>
        <row r="879">
          <cell r="E879" t="str">
            <v>Unsuccessful</v>
          </cell>
          <cell r="H879">
            <v>0</v>
          </cell>
        </row>
        <row r="880">
          <cell r="E880" t="str">
            <v>Unsuccessful</v>
          </cell>
          <cell r="H880">
            <v>0</v>
          </cell>
        </row>
        <row r="881">
          <cell r="E881" t="str">
            <v>Unsuccessful</v>
          </cell>
          <cell r="H881">
            <v>0</v>
          </cell>
        </row>
        <row r="882">
          <cell r="E882" t="str">
            <v>Unsuccessful</v>
          </cell>
          <cell r="H882">
            <v>0</v>
          </cell>
        </row>
        <row r="883">
          <cell r="E883" t="str">
            <v>Unsuccessful</v>
          </cell>
          <cell r="H883">
            <v>0</v>
          </cell>
        </row>
        <row r="884">
          <cell r="E884" t="str">
            <v>Unsuccessful</v>
          </cell>
          <cell r="H884">
            <v>0</v>
          </cell>
        </row>
        <row r="885">
          <cell r="E885" t="str">
            <v>Unsuccessful</v>
          </cell>
          <cell r="H885">
            <v>0</v>
          </cell>
        </row>
        <row r="886">
          <cell r="E886" t="str">
            <v>Unsuccessful</v>
          </cell>
          <cell r="H886">
            <v>0</v>
          </cell>
        </row>
        <row r="887">
          <cell r="E887" t="str">
            <v>Unsuccessful</v>
          </cell>
          <cell r="H887">
            <v>0</v>
          </cell>
        </row>
        <row r="888">
          <cell r="E888" t="str">
            <v>Unsuccessful</v>
          </cell>
          <cell r="H888">
            <v>0</v>
          </cell>
        </row>
        <row r="889">
          <cell r="E889" t="str">
            <v>Unsuccessful</v>
          </cell>
          <cell r="H889">
            <v>0</v>
          </cell>
        </row>
        <row r="890">
          <cell r="E890" t="str">
            <v>Unsuccessful</v>
          </cell>
          <cell r="H890">
            <v>0</v>
          </cell>
        </row>
        <row r="891">
          <cell r="E891" t="str">
            <v>Unsuccessful</v>
          </cell>
          <cell r="H891">
            <v>0</v>
          </cell>
        </row>
        <row r="892">
          <cell r="E892" t="str">
            <v>Unsuccessful</v>
          </cell>
          <cell r="H892">
            <v>0</v>
          </cell>
        </row>
        <row r="893">
          <cell r="E893" t="str">
            <v>Unsuccessful</v>
          </cell>
          <cell r="H893">
            <v>0</v>
          </cell>
        </row>
        <row r="894">
          <cell r="E894" t="str">
            <v>Unsuccessful</v>
          </cell>
          <cell r="H894">
            <v>0</v>
          </cell>
        </row>
        <row r="895">
          <cell r="E895" t="str">
            <v>Unsuccessful</v>
          </cell>
          <cell r="H895">
            <v>0</v>
          </cell>
        </row>
        <row r="896">
          <cell r="E896" t="str">
            <v>Unsuccessful</v>
          </cell>
          <cell r="H896">
            <v>0</v>
          </cell>
        </row>
        <row r="897">
          <cell r="E897" t="str">
            <v>Unsuccessful</v>
          </cell>
          <cell r="H897">
            <v>0</v>
          </cell>
        </row>
        <row r="898">
          <cell r="E898" t="str">
            <v>Unsuccessful</v>
          </cell>
          <cell r="H898">
            <v>0</v>
          </cell>
        </row>
        <row r="899">
          <cell r="E899" t="str">
            <v>Unsuccessful</v>
          </cell>
          <cell r="H899">
            <v>0</v>
          </cell>
        </row>
        <row r="900">
          <cell r="E900" t="str">
            <v>Unsuccessful</v>
          </cell>
          <cell r="H900">
            <v>0</v>
          </cell>
        </row>
        <row r="901">
          <cell r="E901" t="str">
            <v>Booked</v>
          </cell>
          <cell r="H901">
            <v>80</v>
          </cell>
        </row>
        <row r="902">
          <cell r="E902" t="str">
            <v>Booked</v>
          </cell>
          <cell r="H902">
            <v>80</v>
          </cell>
        </row>
        <row r="903">
          <cell r="E903" t="str">
            <v>Sold Not Booked</v>
          </cell>
          <cell r="H903">
            <v>100</v>
          </cell>
        </row>
        <row r="904">
          <cell r="E904" t="str">
            <v>Booked</v>
          </cell>
          <cell r="H904">
            <v>80</v>
          </cell>
        </row>
        <row r="905">
          <cell r="E905" t="str">
            <v>Booked</v>
          </cell>
          <cell r="H905">
            <v>80</v>
          </cell>
        </row>
        <row r="906">
          <cell r="E906" t="str">
            <v>Booked</v>
          </cell>
          <cell r="H906">
            <v>80</v>
          </cell>
        </row>
        <row r="907">
          <cell r="E907" t="str">
            <v>Booked</v>
          </cell>
          <cell r="H907">
            <v>80</v>
          </cell>
        </row>
        <row r="908">
          <cell r="E908" t="str">
            <v>Sold Not Booked</v>
          </cell>
          <cell r="H908">
            <v>100</v>
          </cell>
        </row>
        <row r="909">
          <cell r="E909" t="str">
            <v>Booked</v>
          </cell>
          <cell r="H909">
            <v>80</v>
          </cell>
        </row>
        <row r="910">
          <cell r="E910" t="str">
            <v>Booked</v>
          </cell>
          <cell r="H910">
            <v>80</v>
          </cell>
        </row>
        <row r="911">
          <cell r="E911" t="str">
            <v>Booked</v>
          </cell>
          <cell r="H911">
            <v>80</v>
          </cell>
        </row>
        <row r="912">
          <cell r="E912" t="str">
            <v>Sold Not Booked</v>
          </cell>
          <cell r="H912">
            <v>100</v>
          </cell>
        </row>
        <row r="913">
          <cell r="E913" t="str">
            <v>Booked</v>
          </cell>
          <cell r="H913">
            <v>80</v>
          </cell>
        </row>
        <row r="914">
          <cell r="E914" t="str">
            <v>Booked</v>
          </cell>
          <cell r="H914">
            <v>80</v>
          </cell>
        </row>
        <row r="915">
          <cell r="E915" t="str">
            <v>Booked</v>
          </cell>
          <cell r="H915">
            <v>80</v>
          </cell>
        </row>
        <row r="916">
          <cell r="E916" t="str">
            <v>Sold Not Booked</v>
          </cell>
          <cell r="H916">
            <v>100</v>
          </cell>
        </row>
        <row r="917">
          <cell r="E917" t="str">
            <v>Booked</v>
          </cell>
          <cell r="H917">
            <v>80</v>
          </cell>
        </row>
        <row r="918">
          <cell r="E918" t="str">
            <v>Sold Not Booked</v>
          </cell>
          <cell r="H918">
            <v>100</v>
          </cell>
        </row>
        <row r="919">
          <cell r="E919" t="str">
            <v>Booked</v>
          </cell>
          <cell r="H919">
            <v>80</v>
          </cell>
        </row>
        <row r="920">
          <cell r="E920" t="str">
            <v>Booked</v>
          </cell>
          <cell r="H920">
            <v>80</v>
          </cell>
        </row>
        <row r="921">
          <cell r="E921" t="str">
            <v>Sold Not Booked</v>
          </cell>
          <cell r="H921">
            <v>100</v>
          </cell>
        </row>
        <row r="922">
          <cell r="E922" t="str">
            <v>Booked</v>
          </cell>
          <cell r="H922">
            <v>80</v>
          </cell>
        </row>
        <row r="923">
          <cell r="E923" t="str">
            <v>Sold Not Booked</v>
          </cell>
          <cell r="H923">
            <v>100</v>
          </cell>
        </row>
        <row r="924">
          <cell r="E924" t="str">
            <v>Sold Not Booked</v>
          </cell>
          <cell r="H924">
            <v>100</v>
          </cell>
        </row>
        <row r="925">
          <cell r="E925" t="str">
            <v>Sold Not Booked</v>
          </cell>
          <cell r="H925">
            <v>100</v>
          </cell>
        </row>
        <row r="926">
          <cell r="E926" t="str">
            <v>Sold Not Booked</v>
          </cell>
          <cell r="H926">
            <v>100</v>
          </cell>
        </row>
        <row r="927">
          <cell r="E927" t="str">
            <v>Booked</v>
          </cell>
          <cell r="H927">
            <v>80</v>
          </cell>
        </row>
        <row r="928">
          <cell r="E928" t="str">
            <v>Sold Not Booked</v>
          </cell>
          <cell r="H928">
            <v>100</v>
          </cell>
        </row>
        <row r="929">
          <cell r="E929" t="str">
            <v>Sold Not Booked</v>
          </cell>
          <cell r="H929">
            <v>100</v>
          </cell>
        </row>
        <row r="930">
          <cell r="E930" t="str">
            <v>Booked</v>
          </cell>
          <cell r="H930">
            <v>80</v>
          </cell>
        </row>
        <row r="931">
          <cell r="E931" t="str">
            <v>Sold Not Booked</v>
          </cell>
          <cell r="H931">
            <v>100</v>
          </cell>
        </row>
        <row r="932">
          <cell r="E932" t="str">
            <v>Booked</v>
          </cell>
          <cell r="H932">
            <v>80</v>
          </cell>
        </row>
        <row r="933">
          <cell r="E933" t="str">
            <v>Booked</v>
          </cell>
          <cell r="H933">
            <v>80</v>
          </cell>
        </row>
        <row r="934">
          <cell r="E934" t="str">
            <v>Booked</v>
          </cell>
          <cell r="H934">
            <v>80</v>
          </cell>
        </row>
        <row r="935">
          <cell r="E935" t="str">
            <v>Sold Not Booked</v>
          </cell>
          <cell r="H935">
            <v>100</v>
          </cell>
        </row>
        <row r="936">
          <cell r="E936" t="str">
            <v>Sold Not Booked</v>
          </cell>
          <cell r="H936">
            <v>100</v>
          </cell>
        </row>
        <row r="937">
          <cell r="E937" t="str">
            <v>Booked</v>
          </cell>
          <cell r="H937">
            <v>80</v>
          </cell>
        </row>
        <row r="938">
          <cell r="E938" t="str">
            <v>Booked</v>
          </cell>
          <cell r="H938">
            <v>80</v>
          </cell>
        </row>
        <row r="939">
          <cell r="E939" t="str">
            <v>Sold Not Booked</v>
          </cell>
          <cell r="H939">
            <v>100</v>
          </cell>
        </row>
        <row r="940">
          <cell r="E940" t="str">
            <v>Sold Not Booked</v>
          </cell>
          <cell r="H940">
            <v>100</v>
          </cell>
        </row>
        <row r="941">
          <cell r="E941" t="str">
            <v>Booked</v>
          </cell>
          <cell r="H941">
            <v>80</v>
          </cell>
        </row>
        <row r="942">
          <cell r="E942" t="str">
            <v>Booked</v>
          </cell>
          <cell r="H942">
            <v>80</v>
          </cell>
        </row>
        <row r="943">
          <cell r="E943" t="str">
            <v>Booked</v>
          </cell>
          <cell r="H943">
            <v>80</v>
          </cell>
        </row>
        <row r="944">
          <cell r="E944" t="str">
            <v>Sold Not Booked</v>
          </cell>
          <cell r="H944">
            <v>100</v>
          </cell>
        </row>
        <row r="945">
          <cell r="E945" t="str">
            <v>Sold Not Booked</v>
          </cell>
          <cell r="H945">
            <v>100</v>
          </cell>
        </row>
        <row r="946">
          <cell r="E946" t="str">
            <v>Sold Not Booked</v>
          </cell>
          <cell r="H946">
            <v>100</v>
          </cell>
        </row>
        <row r="947">
          <cell r="E947" t="str">
            <v>Booked</v>
          </cell>
          <cell r="H947">
            <v>80</v>
          </cell>
        </row>
        <row r="948">
          <cell r="E948" t="str">
            <v>Booked</v>
          </cell>
          <cell r="H948">
            <v>80</v>
          </cell>
        </row>
        <row r="949">
          <cell r="E949" t="str">
            <v>Booked</v>
          </cell>
          <cell r="H949">
            <v>80</v>
          </cell>
        </row>
        <row r="950">
          <cell r="E950" t="str">
            <v>Booked</v>
          </cell>
          <cell r="H950">
            <v>80</v>
          </cell>
        </row>
        <row r="951">
          <cell r="E951" t="str">
            <v>Sold Not Booked</v>
          </cell>
          <cell r="H951">
            <v>100</v>
          </cell>
        </row>
        <row r="952">
          <cell r="E952" t="str">
            <v>Booked</v>
          </cell>
          <cell r="H952">
            <v>80</v>
          </cell>
        </row>
        <row r="953">
          <cell r="E953" t="str">
            <v>Sold Not Booked</v>
          </cell>
          <cell r="H953">
            <v>100</v>
          </cell>
        </row>
        <row r="954">
          <cell r="E954" t="str">
            <v>Sold Not Booked</v>
          </cell>
          <cell r="H954">
            <v>100</v>
          </cell>
        </row>
        <row r="955">
          <cell r="E955" t="str">
            <v>Sold Not Booked</v>
          </cell>
          <cell r="H955">
            <v>100</v>
          </cell>
        </row>
        <row r="956">
          <cell r="E956" t="str">
            <v>Sold Not Booked</v>
          </cell>
          <cell r="H956">
            <v>100</v>
          </cell>
        </row>
        <row r="957">
          <cell r="E957" t="str">
            <v>Booked</v>
          </cell>
          <cell r="H957">
            <v>80</v>
          </cell>
        </row>
        <row r="958">
          <cell r="E958" t="str">
            <v>Booked</v>
          </cell>
          <cell r="H958">
            <v>80</v>
          </cell>
        </row>
        <row r="959">
          <cell r="E959" t="str">
            <v>Booked</v>
          </cell>
          <cell r="H959">
            <v>80</v>
          </cell>
        </row>
        <row r="960">
          <cell r="E960" t="str">
            <v>Booked</v>
          </cell>
          <cell r="H960">
            <v>80</v>
          </cell>
        </row>
        <row r="961">
          <cell r="E961" t="str">
            <v>Booked</v>
          </cell>
          <cell r="H961">
            <v>80</v>
          </cell>
        </row>
        <row r="962">
          <cell r="E962" t="str">
            <v>Sold Not Booked</v>
          </cell>
          <cell r="H962">
            <v>100</v>
          </cell>
        </row>
        <row r="963">
          <cell r="E963" t="str">
            <v>Booked</v>
          </cell>
          <cell r="H963">
            <v>80</v>
          </cell>
        </row>
        <row r="964">
          <cell r="E964" t="str">
            <v>Sold Not Booked</v>
          </cell>
          <cell r="H964">
            <v>100</v>
          </cell>
        </row>
        <row r="965">
          <cell r="E965" t="str">
            <v>Sold Not Booked</v>
          </cell>
          <cell r="H965">
            <v>100</v>
          </cell>
        </row>
        <row r="966">
          <cell r="E966" t="str">
            <v>Sold Not Booked</v>
          </cell>
          <cell r="H966">
            <v>100</v>
          </cell>
        </row>
        <row r="967">
          <cell r="E967" t="str">
            <v>Sold Not Booked</v>
          </cell>
          <cell r="H967">
            <v>100</v>
          </cell>
        </row>
        <row r="968">
          <cell r="E968" t="str">
            <v>Booked</v>
          </cell>
          <cell r="H968">
            <v>80</v>
          </cell>
        </row>
        <row r="969">
          <cell r="E969" t="str">
            <v>Booked</v>
          </cell>
          <cell r="H969">
            <v>80</v>
          </cell>
        </row>
        <row r="970">
          <cell r="E970" t="str">
            <v>Sold Not Booked</v>
          </cell>
          <cell r="H970">
            <v>100</v>
          </cell>
        </row>
        <row r="971">
          <cell r="E971" t="str">
            <v>Booked</v>
          </cell>
          <cell r="H971">
            <v>80</v>
          </cell>
        </row>
        <row r="972">
          <cell r="E972" t="str">
            <v>Booked</v>
          </cell>
          <cell r="H972">
            <v>80</v>
          </cell>
        </row>
        <row r="973">
          <cell r="E973" t="str">
            <v>Booked</v>
          </cell>
          <cell r="H973">
            <v>80</v>
          </cell>
        </row>
        <row r="974">
          <cell r="E974" t="str">
            <v>Booked</v>
          </cell>
          <cell r="H974">
            <v>80</v>
          </cell>
        </row>
        <row r="975">
          <cell r="E975" t="str">
            <v>Booked</v>
          </cell>
          <cell r="H975">
            <v>80</v>
          </cell>
        </row>
        <row r="976">
          <cell r="E976" t="str">
            <v>Sold Not Booked</v>
          </cell>
          <cell r="H976">
            <v>100</v>
          </cell>
        </row>
        <row r="977">
          <cell r="E977" t="str">
            <v>Booked</v>
          </cell>
          <cell r="H977">
            <v>80</v>
          </cell>
        </row>
        <row r="978">
          <cell r="E978" t="str">
            <v>Booked</v>
          </cell>
          <cell r="H978">
            <v>80</v>
          </cell>
        </row>
        <row r="979">
          <cell r="E979" t="str">
            <v>Booked</v>
          </cell>
          <cell r="H979">
            <v>80</v>
          </cell>
        </row>
        <row r="980">
          <cell r="E980" t="str">
            <v>Sold Not Booked</v>
          </cell>
          <cell r="H980">
            <v>100</v>
          </cell>
        </row>
        <row r="981">
          <cell r="E981" t="str">
            <v>Booked</v>
          </cell>
          <cell r="H981">
            <v>80</v>
          </cell>
        </row>
        <row r="982">
          <cell r="E982" t="str">
            <v>Booked</v>
          </cell>
          <cell r="H982">
            <v>80</v>
          </cell>
        </row>
        <row r="983">
          <cell r="E983" t="str">
            <v>Sold Not Booked</v>
          </cell>
          <cell r="H983">
            <v>100</v>
          </cell>
        </row>
        <row r="984">
          <cell r="E984" t="str">
            <v>Sold Not Booked</v>
          </cell>
          <cell r="H984">
            <v>100</v>
          </cell>
        </row>
        <row r="985">
          <cell r="E985" t="str">
            <v>Booked</v>
          </cell>
          <cell r="H985">
            <v>80</v>
          </cell>
        </row>
        <row r="986">
          <cell r="E986" t="str">
            <v>Sold Not Booked</v>
          </cell>
          <cell r="H986">
            <v>100</v>
          </cell>
        </row>
        <row r="987">
          <cell r="E987" t="str">
            <v>Booked</v>
          </cell>
          <cell r="H987">
            <v>80</v>
          </cell>
        </row>
        <row r="988">
          <cell r="E988" t="str">
            <v>Sold Not Booked</v>
          </cell>
          <cell r="H988">
            <v>100</v>
          </cell>
        </row>
        <row r="989">
          <cell r="E989" t="str">
            <v>Booked</v>
          </cell>
          <cell r="H989">
            <v>80</v>
          </cell>
        </row>
        <row r="990">
          <cell r="E990" t="str">
            <v>Sold Not Booked</v>
          </cell>
          <cell r="H990">
            <v>100</v>
          </cell>
        </row>
        <row r="991">
          <cell r="E991" t="str">
            <v>Booked</v>
          </cell>
          <cell r="H991">
            <v>80</v>
          </cell>
        </row>
        <row r="992">
          <cell r="E992" t="str">
            <v>Sold Not Booked</v>
          </cell>
          <cell r="H992">
            <v>100</v>
          </cell>
        </row>
        <row r="993">
          <cell r="E993" t="str">
            <v>Sold Not Booked</v>
          </cell>
          <cell r="H993">
            <v>100</v>
          </cell>
        </row>
        <row r="994">
          <cell r="E994" t="str">
            <v>Booked</v>
          </cell>
          <cell r="H994">
            <v>80</v>
          </cell>
        </row>
        <row r="995">
          <cell r="E995" t="str">
            <v>Sold Not Booked</v>
          </cell>
          <cell r="H995">
            <v>100</v>
          </cell>
        </row>
        <row r="996">
          <cell r="E996" t="str">
            <v>Booked</v>
          </cell>
          <cell r="H996">
            <v>80</v>
          </cell>
        </row>
        <row r="997">
          <cell r="E997" t="str">
            <v>Sold Not Booked</v>
          </cell>
          <cell r="H997">
            <v>100</v>
          </cell>
        </row>
        <row r="998">
          <cell r="E998" t="str">
            <v>Sold Not Booked</v>
          </cell>
          <cell r="H998">
            <v>100</v>
          </cell>
        </row>
        <row r="999">
          <cell r="E999" t="str">
            <v>Booked</v>
          </cell>
          <cell r="H999">
            <v>80</v>
          </cell>
        </row>
        <row r="1000">
          <cell r="E1000" t="str">
            <v>Booked</v>
          </cell>
          <cell r="H1000">
            <v>80</v>
          </cell>
        </row>
        <row r="1001">
          <cell r="E1001" t="str">
            <v>Sold Not Booked</v>
          </cell>
          <cell r="H1001">
            <v>100</v>
          </cell>
        </row>
        <row r="1002">
          <cell r="E1002" t="str">
            <v>Sold Not Booked</v>
          </cell>
          <cell r="H1002">
            <v>100</v>
          </cell>
        </row>
        <row r="1003">
          <cell r="E1003" t="str">
            <v>Booked</v>
          </cell>
          <cell r="H1003">
            <v>80</v>
          </cell>
        </row>
        <row r="1004">
          <cell r="E1004" t="str">
            <v>Sold Not Booked</v>
          </cell>
          <cell r="H1004">
            <v>100</v>
          </cell>
        </row>
        <row r="1005">
          <cell r="E1005" t="str">
            <v>Booked</v>
          </cell>
          <cell r="H1005">
            <v>80</v>
          </cell>
        </row>
        <row r="1006">
          <cell r="E1006" t="str">
            <v>Sold Not Booked</v>
          </cell>
          <cell r="H1006">
            <v>100</v>
          </cell>
        </row>
        <row r="1007">
          <cell r="E1007" t="str">
            <v>Booked</v>
          </cell>
          <cell r="H1007">
            <v>80</v>
          </cell>
        </row>
        <row r="1008">
          <cell r="E1008" t="str">
            <v>Sold Not Booked</v>
          </cell>
          <cell r="H1008">
            <v>100</v>
          </cell>
        </row>
        <row r="1009">
          <cell r="E1009" t="str">
            <v>Booked</v>
          </cell>
          <cell r="H1009">
            <v>80</v>
          </cell>
        </row>
        <row r="1010">
          <cell r="E1010" t="str">
            <v>Sold Not Booked</v>
          </cell>
          <cell r="H1010">
            <v>100</v>
          </cell>
        </row>
        <row r="1011">
          <cell r="E1011" t="str">
            <v>Booked</v>
          </cell>
          <cell r="H1011">
            <v>80</v>
          </cell>
        </row>
        <row r="1012">
          <cell r="E1012" t="str">
            <v>Booked</v>
          </cell>
          <cell r="H1012">
            <v>80</v>
          </cell>
        </row>
        <row r="1013">
          <cell r="E1013" t="str">
            <v>Sold Not Booked</v>
          </cell>
          <cell r="H1013">
            <v>100</v>
          </cell>
        </row>
        <row r="1014">
          <cell r="E1014" t="str">
            <v>Sold Not Booked</v>
          </cell>
          <cell r="H1014">
            <v>100</v>
          </cell>
        </row>
        <row r="1015">
          <cell r="E1015" t="str">
            <v>Booked</v>
          </cell>
          <cell r="H1015">
            <v>80</v>
          </cell>
        </row>
        <row r="1016">
          <cell r="E1016" t="str">
            <v>Sold Not Booked</v>
          </cell>
          <cell r="H1016">
            <v>100</v>
          </cell>
        </row>
        <row r="1017">
          <cell r="E1017" t="str">
            <v>Booked</v>
          </cell>
          <cell r="H1017">
            <v>80</v>
          </cell>
        </row>
        <row r="1018">
          <cell r="E1018" t="str">
            <v>Sold Not Booked</v>
          </cell>
          <cell r="H1018">
            <v>100</v>
          </cell>
        </row>
        <row r="1019">
          <cell r="E1019" t="str">
            <v>Sold Not Booked</v>
          </cell>
          <cell r="H1019">
            <v>100</v>
          </cell>
        </row>
        <row r="1020">
          <cell r="E1020" t="str">
            <v>Booked</v>
          </cell>
          <cell r="H1020">
            <v>80</v>
          </cell>
        </row>
        <row r="1021">
          <cell r="E1021" t="str">
            <v>Booked</v>
          </cell>
          <cell r="H1021">
            <v>80</v>
          </cell>
        </row>
        <row r="1022">
          <cell r="E1022" t="str">
            <v>Sold Not Booked</v>
          </cell>
          <cell r="H1022">
            <v>100</v>
          </cell>
        </row>
        <row r="1023">
          <cell r="E1023" t="str">
            <v>Sold Not Booked</v>
          </cell>
          <cell r="H1023">
            <v>100</v>
          </cell>
        </row>
        <row r="1024">
          <cell r="E1024" t="str">
            <v>Booked</v>
          </cell>
          <cell r="H1024">
            <v>80</v>
          </cell>
        </row>
        <row r="1025">
          <cell r="E1025" t="str">
            <v>Booked</v>
          </cell>
          <cell r="H1025">
            <v>80</v>
          </cell>
        </row>
        <row r="1026">
          <cell r="E1026" t="str">
            <v>Sold Not Booked</v>
          </cell>
          <cell r="H1026">
            <v>100</v>
          </cell>
        </row>
        <row r="1027">
          <cell r="E1027" t="str">
            <v>Booked</v>
          </cell>
          <cell r="H1027">
            <v>80</v>
          </cell>
        </row>
        <row r="1028">
          <cell r="E1028" t="str">
            <v>Booked</v>
          </cell>
          <cell r="H1028">
            <v>80</v>
          </cell>
        </row>
        <row r="1029">
          <cell r="E1029" t="str">
            <v>Booked</v>
          </cell>
          <cell r="H1029">
            <v>80</v>
          </cell>
        </row>
        <row r="1030">
          <cell r="E1030" t="str">
            <v>Sold Not Booked</v>
          </cell>
          <cell r="H1030">
            <v>100</v>
          </cell>
        </row>
        <row r="1031">
          <cell r="E1031" t="str">
            <v>Booked</v>
          </cell>
          <cell r="H1031">
            <v>80</v>
          </cell>
        </row>
        <row r="1032">
          <cell r="E1032" t="str">
            <v>Sold Not Booked</v>
          </cell>
          <cell r="H1032">
            <v>100</v>
          </cell>
        </row>
        <row r="1033">
          <cell r="E1033" t="str">
            <v>Booked</v>
          </cell>
          <cell r="H1033">
            <v>80</v>
          </cell>
        </row>
        <row r="1034">
          <cell r="E1034" t="str">
            <v>Sold Not Booked</v>
          </cell>
          <cell r="H1034">
            <v>100</v>
          </cell>
        </row>
        <row r="1035">
          <cell r="E1035" t="str">
            <v>Sold Not Booked</v>
          </cell>
          <cell r="H1035">
            <v>100</v>
          </cell>
        </row>
        <row r="1036">
          <cell r="E1036" t="str">
            <v>Booked</v>
          </cell>
          <cell r="H1036">
            <v>80</v>
          </cell>
        </row>
        <row r="1037">
          <cell r="E1037" t="str">
            <v>Sold Not Booked</v>
          </cell>
          <cell r="H1037">
            <v>100</v>
          </cell>
        </row>
        <row r="1038">
          <cell r="E1038" t="str">
            <v>Booked</v>
          </cell>
          <cell r="H1038">
            <v>80</v>
          </cell>
        </row>
        <row r="1039">
          <cell r="E1039" t="str">
            <v>Booked</v>
          </cell>
          <cell r="H1039">
            <v>80</v>
          </cell>
        </row>
        <row r="1040">
          <cell r="E1040" t="str">
            <v>Sold Not Booked</v>
          </cell>
          <cell r="H1040">
            <v>100</v>
          </cell>
        </row>
        <row r="1041">
          <cell r="E1041" t="str">
            <v>Booked</v>
          </cell>
          <cell r="H1041">
            <v>80</v>
          </cell>
        </row>
        <row r="1042">
          <cell r="E1042" t="str">
            <v>Booked</v>
          </cell>
          <cell r="H1042">
            <v>80</v>
          </cell>
        </row>
        <row r="1043">
          <cell r="E1043" t="str">
            <v>Sold Not Booked</v>
          </cell>
          <cell r="H1043">
            <v>100</v>
          </cell>
        </row>
        <row r="1044">
          <cell r="E1044" t="str">
            <v>Sold Not Booked</v>
          </cell>
          <cell r="H1044">
            <v>100</v>
          </cell>
        </row>
        <row r="1045">
          <cell r="E1045" t="str">
            <v>Sold Not Booked</v>
          </cell>
          <cell r="H1045">
            <v>100</v>
          </cell>
        </row>
        <row r="1046">
          <cell r="E1046" t="str">
            <v>Sold Not Booked</v>
          </cell>
          <cell r="H1046">
            <v>100</v>
          </cell>
        </row>
        <row r="1047">
          <cell r="E1047" t="str">
            <v>Unsuccessful</v>
          </cell>
          <cell r="H1047">
            <v>0</v>
          </cell>
        </row>
        <row r="1048">
          <cell r="E1048" t="str">
            <v>Unsuccessful</v>
          </cell>
          <cell r="H1048">
            <v>0</v>
          </cell>
        </row>
        <row r="1049">
          <cell r="E1049" t="str">
            <v>Sold Not Booked</v>
          </cell>
          <cell r="H1049">
            <v>100</v>
          </cell>
        </row>
        <row r="1050">
          <cell r="E1050" t="str">
            <v>Sold Not Booked</v>
          </cell>
          <cell r="H1050">
            <v>100</v>
          </cell>
        </row>
        <row r="1051">
          <cell r="E1051" t="str">
            <v>Sold Not Booked</v>
          </cell>
          <cell r="H1051">
            <v>100</v>
          </cell>
        </row>
        <row r="1052">
          <cell r="E1052" t="str">
            <v>Booked</v>
          </cell>
          <cell r="H1052">
            <v>80</v>
          </cell>
        </row>
        <row r="1053">
          <cell r="E1053" t="str">
            <v>Sold Not Booked</v>
          </cell>
          <cell r="H1053">
            <v>100</v>
          </cell>
        </row>
        <row r="1054">
          <cell r="E1054" t="str">
            <v>Unsuccessful</v>
          </cell>
          <cell r="H1054">
            <v>0</v>
          </cell>
        </row>
        <row r="1055">
          <cell r="E1055" t="str">
            <v>Booked</v>
          </cell>
          <cell r="H1055">
            <v>80</v>
          </cell>
        </row>
        <row r="1056">
          <cell r="E1056" t="str">
            <v>Booked</v>
          </cell>
          <cell r="H1056">
            <v>80</v>
          </cell>
        </row>
        <row r="1057">
          <cell r="E1057" t="str">
            <v>Sold Not Booked</v>
          </cell>
          <cell r="H1057">
            <v>100</v>
          </cell>
        </row>
        <row r="1058">
          <cell r="E1058" t="str">
            <v>Unsuccessful</v>
          </cell>
          <cell r="H1058">
            <v>0</v>
          </cell>
        </row>
        <row r="1059">
          <cell r="E1059" t="str">
            <v>Sold Not Booked</v>
          </cell>
          <cell r="H1059">
            <v>100</v>
          </cell>
        </row>
        <row r="1060">
          <cell r="E1060" t="str">
            <v>Booked</v>
          </cell>
          <cell r="H1060">
            <v>80</v>
          </cell>
        </row>
        <row r="1061">
          <cell r="E1061" t="str">
            <v>Sold Not Booked</v>
          </cell>
          <cell r="H1061">
            <v>100</v>
          </cell>
        </row>
        <row r="1062">
          <cell r="E1062" t="str">
            <v>Sold Not Booked</v>
          </cell>
          <cell r="H1062">
            <v>100</v>
          </cell>
        </row>
        <row r="1063">
          <cell r="E1063" t="str">
            <v>Booked</v>
          </cell>
          <cell r="H1063">
            <v>80</v>
          </cell>
        </row>
        <row r="1064">
          <cell r="E1064" t="str">
            <v>Sold Not Booked</v>
          </cell>
          <cell r="H1064">
            <v>100</v>
          </cell>
        </row>
        <row r="1065">
          <cell r="E1065" t="str">
            <v>Sold Not Booked</v>
          </cell>
          <cell r="H1065">
            <v>100</v>
          </cell>
        </row>
        <row r="1066">
          <cell r="E1066" t="str">
            <v>Booked</v>
          </cell>
          <cell r="H1066">
            <v>80</v>
          </cell>
        </row>
        <row r="1067">
          <cell r="E1067" t="str">
            <v>Sold Not Booked</v>
          </cell>
          <cell r="H1067">
            <v>100</v>
          </cell>
        </row>
        <row r="1068">
          <cell r="E1068" t="str">
            <v>Sold Not Booked</v>
          </cell>
          <cell r="H1068">
            <v>100</v>
          </cell>
        </row>
        <row r="1069">
          <cell r="E1069" t="str">
            <v>Booked</v>
          </cell>
          <cell r="H1069">
            <v>80</v>
          </cell>
        </row>
        <row r="1070">
          <cell r="E1070" t="str">
            <v>Sold Not Booked</v>
          </cell>
          <cell r="H1070">
            <v>100</v>
          </cell>
        </row>
        <row r="1071">
          <cell r="E1071" t="str">
            <v>Booked</v>
          </cell>
          <cell r="H1071">
            <v>80</v>
          </cell>
        </row>
        <row r="1072">
          <cell r="E1072" t="str">
            <v>Sold Not Booked</v>
          </cell>
          <cell r="H1072">
            <v>100</v>
          </cell>
        </row>
        <row r="1073">
          <cell r="E1073" t="str">
            <v>Unsuccessful</v>
          </cell>
          <cell r="H1073">
            <v>0</v>
          </cell>
        </row>
        <row r="1074">
          <cell r="E1074" t="str">
            <v>Booked</v>
          </cell>
          <cell r="H1074">
            <v>80</v>
          </cell>
        </row>
        <row r="1075">
          <cell r="E1075" t="str">
            <v>Booked</v>
          </cell>
          <cell r="H1075">
            <v>80</v>
          </cell>
        </row>
        <row r="1076">
          <cell r="E1076" t="str">
            <v>Sold Not Booked</v>
          </cell>
          <cell r="H1076">
            <v>100</v>
          </cell>
        </row>
        <row r="1077">
          <cell r="E1077" t="str">
            <v>Booked</v>
          </cell>
          <cell r="H1077">
            <v>80</v>
          </cell>
        </row>
        <row r="1078">
          <cell r="E1078" t="str">
            <v>Booked</v>
          </cell>
          <cell r="H1078">
            <v>80</v>
          </cell>
        </row>
        <row r="1079">
          <cell r="E1079" t="str">
            <v>Unsuccessful</v>
          </cell>
          <cell r="H1079">
            <v>0</v>
          </cell>
        </row>
        <row r="1080">
          <cell r="E1080" t="str">
            <v>Sold Not Booked</v>
          </cell>
          <cell r="H1080">
            <v>100</v>
          </cell>
        </row>
        <row r="1081">
          <cell r="E1081" t="str">
            <v>Sold Not Booked</v>
          </cell>
          <cell r="H1081">
            <v>100</v>
          </cell>
        </row>
        <row r="1082">
          <cell r="E1082" t="str">
            <v>Sold Not Booked</v>
          </cell>
          <cell r="H1082">
            <v>100</v>
          </cell>
        </row>
        <row r="1083">
          <cell r="E1083" t="str">
            <v>Booked</v>
          </cell>
          <cell r="H1083">
            <v>80</v>
          </cell>
        </row>
        <row r="1084">
          <cell r="E1084" t="str">
            <v>Booked</v>
          </cell>
          <cell r="H1084">
            <v>80</v>
          </cell>
        </row>
        <row r="1085">
          <cell r="E1085" t="str">
            <v>Sold Not Booked</v>
          </cell>
          <cell r="H1085">
            <v>100</v>
          </cell>
        </row>
        <row r="1086">
          <cell r="E1086" t="str">
            <v>Sold Not Booked</v>
          </cell>
          <cell r="H1086">
            <v>100</v>
          </cell>
        </row>
        <row r="1087">
          <cell r="E1087" t="str">
            <v>Sold Not Booked</v>
          </cell>
          <cell r="H1087">
            <v>100</v>
          </cell>
        </row>
        <row r="1088">
          <cell r="E1088" t="str">
            <v>Sold Not Booked</v>
          </cell>
          <cell r="H1088">
            <v>100</v>
          </cell>
        </row>
        <row r="1089">
          <cell r="E1089" t="str">
            <v>Booked</v>
          </cell>
          <cell r="H1089">
            <v>80</v>
          </cell>
        </row>
        <row r="1090">
          <cell r="E1090" t="str">
            <v>Booked</v>
          </cell>
          <cell r="H1090">
            <v>80</v>
          </cell>
        </row>
        <row r="1091">
          <cell r="E1091" t="str">
            <v>Sold Not Booked</v>
          </cell>
          <cell r="H1091">
            <v>100</v>
          </cell>
        </row>
        <row r="1092">
          <cell r="E1092" t="str">
            <v>Unsuccessful</v>
          </cell>
          <cell r="H1092">
            <v>0</v>
          </cell>
        </row>
        <row r="1093">
          <cell r="E1093" t="str">
            <v>Unsuccessful</v>
          </cell>
          <cell r="H1093">
            <v>0</v>
          </cell>
        </row>
        <row r="1094">
          <cell r="E1094" t="str">
            <v>Sold Not Booked</v>
          </cell>
          <cell r="H1094">
            <v>100</v>
          </cell>
        </row>
        <row r="1095">
          <cell r="E1095" t="str">
            <v>Booked</v>
          </cell>
          <cell r="H1095">
            <v>80</v>
          </cell>
        </row>
        <row r="1096">
          <cell r="E1096" t="str">
            <v>Booked</v>
          </cell>
          <cell r="H1096">
            <v>80</v>
          </cell>
        </row>
        <row r="1097">
          <cell r="E1097" t="str">
            <v>Booked</v>
          </cell>
          <cell r="H1097">
            <v>80</v>
          </cell>
        </row>
        <row r="1098">
          <cell r="E1098" t="str">
            <v>Booked</v>
          </cell>
          <cell r="H1098">
            <v>80</v>
          </cell>
        </row>
        <row r="1099">
          <cell r="E1099" t="str">
            <v>Booked</v>
          </cell>
          <cell r="H1099">
            <v>80</v>
          </cell>
        </row>
        <row r="1100">
          <cell r="E1100" t="str">
            <v>Booked</v>
          </cell>
          <cell r="H1100">
            <v>80</v>
          </cell>
        </row>
        <row r="1101">
          <cell r="E1101" t="str">
            <v>Booked</v>
          </cell>
          <cell r="H1101">
            <v>80</v>
          </cell>
        </row>
        <row r="1102">
          <cell r="E1102" t="str">
            <v>Sold Not Booked</v>
          </cell>
          <cell r="H1102">
            <v>100</v>
          </cell>
        </row>
        <row r="1103">
          <cell r="E1103" t="str">
            <v>Sold Not Booked</v>
          </cell>
          <cell r="H1103">
            <v>100</v>
          </cell>
        </row>
        <row r="1104">
          <cell r="E1104" t="str">
            <v>Sold Not Booked</v>
          </cell>
          <cell r="H1104">
            <v>100</v>
          </cell>
        </row>
        <row r="1105">
          <cell r="E1105" t="str">
            <v>Unsuccessful</v>
          </cell>
          <cell r="H1105">
            <v>0</v>
          </cell>
        </row>
        <row r="1106">
          <cell r="E1106" t="str">
            <v>Sold Not Booked</v>
          </cell>
          <cell r="H1106">
            <v>100</v>
          </cell>
        </row>
        <row r="1107">
          <cell r="E1107" t="str">
            <v>Booked</v>
          </cell>
          <cell r="H1107">
            <v>80</v>
          </cell>
        </row>
        <row r="1108">
          <cell r="E1108" t="str">
            <v>Booked</v>
          </cell>
          <cell r="H1108">
            <v>80</v>
          </cell>
        </row>
        <row r="1109">
          <cell r="E1109" t="str">
            <v>Booked</v>
          </cell>
          <cell r="H1109">
            <v>80</v>
          </cell>
        </row>
        <row r="1110">
          <cell r="E1110" t="str">
            <v>Sold Not Booked</v>
          </cell>
          <cell r="H1110">
            <v>100</v>
          </cell>
        </row>
        <row r="1111">
          <cell r="E1111" t="str">
            <v>Sold Not Booked</v>
          </cell>
          <cell r="H1111">
            <v>100</v>
          </cell>
        </row>
        <row r="1112">
          <cell r="E1112" t="str">
            <v>Booked</v>
          </cell>
          <cell r="H1112">
            <v>80</v>
          </cell>
        </row>
        <row r="1113">
          <cell r="E1113" t="str">
            <v>Booked</v>
          </cell>
          <cell r="H1113">
            <v>80</v>
          </cell>
        </row>
        <row r="1114">
          <cell r="E1114" t="str">
            <v>Booked</v>
          </cell>
          <cell r="H1114">
            <v>80</v>
          </cell>
        </row>
        <row r="1115">
          <cell r="E1115" t="str">
            <v>Sold Not Booked</v>
          </cell>
          <cell r="H1115">
            <v>100</v>
          </cell>
        </row>
        <row r="1116">
          <cell r="E1116" t="str">
            <v>Booked</v>
          </cell>
          <cell r="H1116">
            <v>80</v>
          </cell>
        </row>
        <row r="1117">
          <cell r="E1117" t="str">
            <v>Unsuccessful</v>
          </cell>
          <cell r="H1117">
            <v>0</v>
          </cell>
        </row>
        <row r="1118">
          <cell r="E1118" t="str">
            <v>Sold Not Booked</v>
          </cell>
          <cell r="H1118">
            <v>100</v>
          </cell>
        </row>
        <row r="1119">
          <cell r="E1119" t="str">
            <v>Sold Not Booked</v>
          </cell>
          <cell r="H1119">
            <v>100</v>
          </cell>
        </row>
        <row r="1120">
          <cell r="E1120" t="str">
            <v>Sold Not Booked</v>
          </cell>
          <cell r="H1120">
            <v>100</v>
          </cell>
        </row>
        <row r="1121">
          <cell r="E1121" t="str">
            <v>Booked</v>
          </cell>
          <cell r="H1121">
            <v>80</v>
          </cell>
        </row>
        <row r="1122">
          <cell r="E1122" t="str">
            <v>Booked</v>
          </cell>
          <cell r="H1122">
            <v>80</v>
          </cell>
        </row>
        <row r="1123">
          <cell r="E1123" t="str">
            <v>Booked</v>
          </cell>
          <cell r="H1123">
            <v>80</v>
          </cell>
        </row>
        <row r="1124">
          <cell r="E1124" t="str">
            <v>Sold Not Booked</v>
          </cell>
          <cell r="H1124">
            <v>100</v>
          </cell>
        </row>
        <row r="1125">
          <cell r="E1125" t="str">
            <v>Booked</v>
          </cell>
          <cell r="H1125">
            <v>80</v>
          </cell>
        </row>
        <row r="1126">
          <cell r="E1126" t="str">
            <v>Unsuccessful</v>
          </cell>
          <cell r="H1126">
            <v>0</v>
          </cell>
        </row>
        <row r="1127">
          <cell r="E1127" t="str">
            <v>Booked</v>
          </cell>
          <cell r="H1127">
            <v>80</v>
          </cell>
        </row>
        <row r="1128">
          <cell r="E1128" t="str">
            <v>Booked</v>
          </cell>
          <cell r="H1128">
            <v>80</v>
          </cell>
        </row>
        <row r="1129">
          <cell r="E1129" t="str">
            <v>Booked</v>
          </cell>
          <cell r="H1129">
            <v>80</v>
          </cell>
        </row>
        <row r="1130">
          <cell r="E1130" t="str">
            <v>Booked</v>
          </cell>
          <cell r="H1130">
            <v>80</v>
          </cell>
        </row>
        <row r="1131">
          <cell r="E1131" t="str">
            <v>Booked</v>
          </cell>
          <cell r="H1131">
            <v>80</v>
          </cell>
        </row>
        <row r="1132">
          <cell r="E1132" t="str">
            <v>Booked</v>
          </cell>
          <cell r="H1132">
            <v>80</v>
          </cell>
        </row>
        <row r="1133">
          <cell r="E1133" t="str">
            <v>Booked</v>
          </cell>
          <cell r="H1133">
            <v>80</v>
          </cell>
        </row>
        <row r="1134">
          <cell r="E1134" t="str">
            <v>Sold Not Booked</v>
          </cell>
          <cell r="H1134">
            <v>100</v>
          </cell>
        </row>
        <row r="1135">
          <cell r="E1135" t="str">
            <v>Booked</v>
          </cell>
          <cell r="H1135">
            <v>80</v>
          </cell>
        </row>
        <row r="1136">
          <cell r="E1136" t="str">
            <v>Sold Not Booked</v>
          </cell>
          <cell r="H1136">
            <v>100</v>
          </cell>
        </row>
        <row r="1137">
          <cell r="E1137" t="str">
            <v>Booked</v>
          </cell>
          <cell r="H1137">
            <v>80</v>
          </cell>
        </row>
        <row r="1138">
          <cell r="E1138" t="str">
            <v>Sold Not Booked</v>
          </cell>
          <cell r="H1138">
            <v>100</v>
          </cell>
        </row>
        <row r="1139">
          <cell r="E1139" t="str">
            <v>Booked</v>
          </cell>
          <cell r="H1139">
            <v>80</v>
          </cell>
        </row>
        <row r="1140">
          <cell r="E1140" t="str">
            <v>Booked</v>
          </cell>
          <cell r="H1140">
            <v>80</v>
          </cell>
        </row>
        <row r="1141">
          <cell r="E1141" t="str">
            <v>Booked</v>
          </cell>
          <cell r="H1141">
            <v>80</v>
          </cell>
        </row>
        <row r="1142">
          <cell r="E1142" t="str">
            <v>Unsuccessful</v>
          </cell>
          <cell r="H1142">
            <v>0</v>
          </cell>
        </row>
        <row r="1143">
          <cell r="E1143" t="str">
            <v>Booked</v>
          </cell>
          <cell r="H1143">
            <v>80</v>
          </cell>
        </row>
        <row r="1144">
          <cell r="E1144" t="str">
            <v>Booked</v>
          </cell>
          <cell r="H1144">
            <v>80</v>
          </cell>
        </row>
        <row r="1145">
          <cell r="E1145" t="str">
            <v>Sold Not Booked</v>
          </cell>
          <cell r="H1145">
            <v>100</v>
          </cell>
        </row>
        <row r="1146">
          <cell r="E1146" t="str">
            <v>Booked</v>
          </cell>
          <cell r="H1146">
            <v>80</v>
          </cell>
        </row>
        <row r="1147">
          <cell r="E1147" t="str">
            <v>Booked</v>
          </cell>
          <cell r="H1147">
            <v>80</v>
          </cell>
        </row>
        <row r="1148">
          <cell r="E1148" t="str">
            <v>Unsuccessful</v>
          </cell>
          <cell r="H1148">
            <v>0</v>
          </cell>
        </row>
        <row r="1149">
          <cell r="E1149" t="str">
            <v>Booked</v>
          </cell>
          <cell r="H1149">
            <v>80</v>
          </cell>
        </row>
        <row r="1150">
          <cell r="E1150" t="str">
            <v>Sold Not Booked</v>
          </cell>
          <cell r="H1150">
            <v>100</v>
          </cell>
        </row>
        <row r="1151">
          <cell r="E1151" t="str">
            <v>Sold Not Booked</v>
          </cell>
          <cell r="H1151">
            <v>100</v>
          </cell>
        </row>
        <row r="1152">
          <cell r="E1152" t="str">
            <v>Sold Not Booked</v>
          </cell>
          <cell r="H1152">
            <v>100</v>
          </cell>
        </row>
        <row r="1153">
          <cell r="E1153" t="str">
            <v>Sold Not Booked</v>
          </cell>
          <cell r="H1153">
            <v>100</v>
          </cell>
        </row>
        <row r="1154">
          <cell r="E1154" t="str">
            <v>Booked</v>
          </cell>
          <cell r="H1154">
            <v>80</v>
          </cell>
        </row>
        <row r="1155">
          <cell r="E1155" t="str">
            <v>Unsuccessful</v>
          </cell>
          <cell r="H1155">
            <v>0</v>
          </cell>
        </row>
        <row r="1156">
          <cell r="E1156" t="str">
            <v>Booked</v>
          </cell>
          <cell r="H1156">
            <v>80</v>
          </cell>
        </row>
        <row r="1157">
          <cell r="E1157" t="str">
            <v>Sold Not Booked</v>
          </cell>
          <cell r="H1157">
            <v>100</v>
          </cell>
        </row>
        <row r="1158">
          <cell r="E1158" t="str">
            <v>Sold Not Booked</v>
          </cell>
          <cell r="H1158">
            <v>100</v>
          </cell>
        </row>
        <row r="1159">
          <cell r="E1159" t="str">
            <v>Sold Not Booked</v>
          </cell>
          <cell r="H1159">
            <v>100</v>
          </cell>
        </row>
        <row r="1160">
          <cell r="E1160" t="str">
            <v>Booked</v>
          </cell>
          <cell r="H1160">
            <v>80</v>
          </cell>
        </row>
        <row r="1161">
          <cell r="E1161" t="str">
            <v>Booked</v>
          </cell>
          <cell r="H1161">
            <v>80</v>
          </cell>
        </row>
        <row r="1162">
          <cell r="E1162" t="str">
            <v>Sold Not Booked</v>
          </cell>
          <cell r="H1162">
            <v>100</v>
          </cell>
        </row>
        <row r="1163">
          <cell r="E1163" t="str">
            <v>Sold Not Booked</v>
          </cell>
          <cell r="H1163">
            <v>100</v>
          </cell>
        </row>
        <row r="1164">
          <cell r="E1164" t="str">
            <v>Booked</v>
          </cell>
          <cell r="H1164">
            <v>80</v>
          </cell>
        </row>
        <row r="1165">
          <cell r="E1165" t="str">
            <v>Booked</v>
          </cell>
          <cell r="H1165">
            <v>80</v>
          </cell>
        </row>
        <row r="1166">
          <cell r="E1166" t="str">
            <v>Booked</v>
          </cell>
          <cell r="H1166">
            <v>80</v>
          </cell>
        </row>
        <row r="1167">
          <cell r="E1167" t="str">
            <v>Sold Not Booked</v>
          </cell>
          <cell r="H1167">
            <v>100</v>
          </cell>
        </row>
        <row r="1168">
          <cell r="E1168" t="str">
            <v>Booked</v>
          </cell>
          <cell r="H1168">
            <v>80</v>
          </cell>
        </row>
        <row r="1169">
          <cell r="E1169" t="str">
            <v>Sold Not Booked</v>
          </cell>
          <cell r="H1169">
            <v>100</v>
          </cell>
        </row>
        <row r="1170">
          <cell r="E1170" t="str">
            <v>Booked</v>
          </cell>
          <cell r="H1170">
            <v>80</v>
          </cell>
        </row>
        <row r="1171">
          <cell r="E1171" t="str">
            <v>Booked</v>
          </cell>
          <cell r="H1171">
            <v>80</v>
          </cell>
        </row>
        <row r="1172">
          <cell r="E1172" t="str">
            <v>Booked</v>
          </cell>
          <cell r="H1172">
            <v>80</v>
          </cell>
        </row>
        <row r="1173">
          <cell r="E1173" t="str">
            <v>Booked</v>
          </cell>
          <cell r="H1173">
            <v>80</v>
          </cell>
        </row>
        <row r="1174">
          <cell r="E1174" t="str">
            <v>Unsuccessful</v>
          </cell>
          <cell r="H1174">
            <v>0</v>
          </cell>
        </row>
        <row r="1175">
          <cell r="E1175" t="str">
            <v>Sold Not Booked</v>
          </cell>
          <cell r="H1175">
            <v>100</v>
          </cell>
        </row>
        <row r="1176">
          <cell r="E1176" t="str">
            <v>Booked</v>
          </cell>
          <cell r="H1176">
            <v>80</v>
          </cell>
        </row>
        <row r="1177">
          <cell r="E1177" t="str">
            <v>Unsuccessful</v>
          </cell>
          <cell r="H1177">
            <v>0</v>
          </cell>
        </row>
        <row r="1178">
          <cell r="E1178" t="str">
            <v>Sold Not Booked</v>
          </cell>
          <cell r="H1178">
            <v>100</v>
          </cell>
        </row>
        <row r="1179">
          <cell r="E1179" t="str">
            <v>Booked</v>
          </cell>
          <cell r="H1179">
            <v>80</v>
          </cell>
        </row>
        <row r="1180">
          <cell r="E1180" t="str">
            <v>Sold Not Booked</v>
          </cell>
          <cell r="H1180">
            <v>100</v>
          </cell>
        </row>
        <row r="1181">
          <cell r="E1181" t="str">
            <v>Booked</v>
          </cell>
          <cell r="H1181">
            <v>80</v>
          </cell>
        </row>
        <row r="1182">
          <cell r="E1182" t="str">
            <v>Sold Not Booked</v>
          </cell>
          <cell r="H1182">
            <v>100</v>
          </cell>
        </row>
        <row r="1183">
          <cell r="E1183" t="str">
            <v>Booked</v>
          </cell>
          <cell r="H1183">
            <v>80</v>
          </cell>
        </row>
        <row r="1184">
          <cell r="E1184" t="str">
            <v>Booked</v>
          </cell>
          <cell r="H1184">
            <v>80</v>
          </cell>
        </row>
        <row r="1185">
          <cell r="E1185" t="str">
            <v>Sold Not Booked</v>
          </cell>
          <cell r="H1185">
            <v>100</v>
          </cell>
        </row>
        <row r="1186">
          <cell r="E1186" t="str">
            <v>Sold Not Booked</v>
          </cell>
          <cell r="H1186">
            <v>100</v>
          </cell>
        </row>
        <row r="1187">
          <cell r="E1187" t="str">
            <v>Sold Not Booked</v>
          </cell>
          <cell r="H1187">
            <v>100</v>
          </cell>
        </row>
        <row r="1188">
          <cell r="E1188" t="str">
            <v>Booked</v>
          </cell>
          <cell r="H1188">
            <v>80</v>
          </cell>
        </row>
        <row r="1189">
          <cell r="E1189" t="str">
            <v>Booked</v>
          </cell>
          <cell r="H1189">
            <v>80</v>
          </cell>
        </row>
        <row r="1190">
          <cell r="E1190" t="str">
            <v>Booked</v>
          </cell>
          <cell r="H1190">
            <v>80</v>
          </cell>
        </row>
        <row r="1191">
          <cell r="E1191" t="str">
            <v>Sold Not Booked</v>
          </cell>
          <cell r="H1191">
            <v>100</v>
          </cell>
        </row>
        <row r="1192">
          <cell r="E1192" t="str">
            <v>In the Funnel</v>
          </cell>
          <cell r="H1192">
            <v>40</v>
          </cell>
        </row>
        <row r="1193">
          <cell r="E1193" t="str">
            <v>Unsuccessful</v>
          </cell>
          <cell r="H1193">
            <v>0</v>
          </cell>
        </row>
        <row r="1194">
          <cell r="E1194" t="str">
            <v>Above the Funnel</v>
          </cell>
          <cell r="H1194">
            <v>0</v>
          </cell>
        </row>
        <row r="1195">
          <cell r="E1195" t="str">
            <v>In the Funnel</v>
          </cell>
          <cell r="H1195">
            <v>40</v>
          </cell>
        </row>
        <row r="1196">
          <cell r="E1196" t="str">
            <v>In the Funnel</v>
          </cell>
          <cell r="H1196">
            <v>40</v>
          </cell>
        </row>
        <row r="1197">
          <cell r="E1197" t="str">
            <v>Unsuccessful</v>
          </cell>
          <cell r="H1197">
            <v>0</v>
          </cell>
        </row>
        <row r="1198">
          <cell r="E1198" t="str">
            <v>Best Few</v>
          </cell>
          <cell r="H1198">
            <v>40</v>
          </cell>
        </row>
        <row r="1199">
          <cell r="E1199" t="str">
            <v>Best Few</v>
          </cell>
          <cell r="H1199">
            <v>15</v>
          </cell>
        </row>
        <row r="1200">
          <cell r="E1200" t="str">
            <v>Best Few</v>
          </cell>
          <cell r="H1200">
            <v>40</v>
          </cell>
        </row>
        <row r="1201">
          <cell r="E1201" t="str">
            <v>In the Funnel</v>
          </cell>
          <cell r="H1201">
            <v>40</v>
          </cell>
        </row>
        <row r="1202">
          <cell r="E1202" t="str">
            <v>In the Funnel</v>
          </cell>
          <cell r="H1202">
            <v>40</v>
          </cell>
        </row>
        <row r="1203">
          <cell r="E1203" t="str">
            <v>Unsuccessful</v>
          </cell>
          <cell r="H1203">
            <v>0</v>
          </cell>
        </row>
        <row r="1204">
          <cell r="E1204" t="str">
            <v>In the Funnel</v>
          </cell>
          <cell r="H1204">
            <v>40</v>
          </cell>
        </row>
        <row r="1205">
          <cell r="E1205" t="str">
            <v>Best Few</v>
          </cell>
          <cell r="H1205">
            <v>40</v>
          </cell>
        </row>
        <row r="1206">
          <cell r="E1206" t="str">
            <v>Best Few</v>
          </cell>
          <cell r="H1206">
            <v>15</v>
          </cell>
        </row>
        <row r="1207">
          <cell r="E1207" t="str">
            <v>In the Funnel</v>
          </cell>
          <cell r="H1207">
            <v>40</v>
          </cell>
        </row>
        <row r="1208">
          <cell r="E1208" t="str">
            <v>In the Funnel</v>
          </cell>
          <cell r="H1208">
            <v>40</v>
          </cell>
        </row>
        <row r="1209">
          <cell r="E1209" t="str">
            <v>Above the Funnel</v>
          </cell>
          <cell r="H1209">
            <v>0</v>
          </cell>
        </row>
        <row r="1210">
          <cell r="E1210" t="str">
            <v>Unsuccessful</v>
          </cell>
          <cell r="H1210">
            <v>0</v>
          </cell>
        </row>
        <row r="1211">
          <cell r="E1211" t="str">
            <v>Above the Funnel</v>
          </cell>
          <cell r="H1211">
            <v>0</v>
          </cell>
        </row>
        <row r="1212">
          <cell r="E1212" t="str">
            <v>In the Funnel</v>
          </cell>
          <cell r="H1212">
            <v>40</v>
          </cell>
        </row>
        <row r="1213">
          <cell r="E1213" t="str">
            <v>Above the Funnel</v>
          </cell>
          <cell r="H1213">
            <v>0</v>
          </cell>
        </row>
        <row r="1214">
          <cell r="E1214" t="str">
            <v>Best Few</v>
          </cell>
          <cell r="H1214">
            <v>15</v>
          </cell>
        </row>
        <row r="1215">
          <cell r="E1215" t="str">
            <v>Best Few</v>
          </cell>
          <cell r="H1215">
            <v>15</v>
          </cell>
        </row>
        <row r="1216">
          <cell r="E1216" t="str">
            <v>Above the Funnel</v>
          </cell>
          <cell r="H1216">
            <v>0</v>
          </cell>
        </row>
        <row r="1217">
          <cell r="E1217" t="str">
            <v>In the Funnel</v>
          </cell>
          <cell r="H1217">
            <v>40</v>
          </cell>
        </row>
        <row r="1218">
          <cell r="E1218" t="str">
            <v>Above the Funnel</v>
          </cell>
          <cell r="H1218">
            <v>0</v>
          </cell>
        </row>
        <row r="1219">
          <cell r="E1219" t="str">
            <v>In the Funnel</v>
          </cell>
          <cell r="H1219">
            <v>40</v>
          </cell>
        </row>
        <row r="1220">
          <cell r="E1220" t="str">
            <v>Unsuccessful</v>
          </cell>
          <cell r="H1220">
            <v>0</v>
          </cell>
        </row>
        <row r="1221">
          <cell r="E1221" t="str">
            <v>Above the Funnel</v>
          </cell>
          <cell r="H1221">
            <v>0</v>
          </cell>
        </row>
        <row r="1222">
          <cell r="E1222" t="str">
            <v>Above the Funnel</v>
          </cell>
          <cell r="H1222">
            <v>0</v>
          </cell>
        </row>
        <row r="1223">
          <cell r="E1223" t="str">
            <v>In the Funnel</v>
          </cell>
          <cell r="H1223">
            <v>40</v>
          </cell>
        </row>
        <row r="1224">
          <cell r="E1224" t="str">
            <v>Unsuccessful</v>
          </cell>
          <cell r="H1224">
            <v>0</v>
          </cell>
        </row>
        <row r="1225">
          <cell r="E1225" t="str">
            <v>Above the Funnel</v>
          </cell>
          <cell r="H1225">
            <v>0</v>
          </cell>
        </row>
        <row r="1226">
          <cell r="E1226" t="str">
            <v>In the Funnel</v>
          </cell>
          <cell r="H1226">
            <v>40</v>
          </cell>
        </row>
        <row r="1227">
          <cell r="E1227" t="str">
            <v>In the Funnel</v>
          </cell>
          <cell r="H1227">
            <v>40</v>
          </cell>
        </row>
        <row r="1228">
          <cell r="E1228" t="str">
            <v>In the Funnel</v>
          </cell>
          <cell r="H1228">
            <v>40</v>
          </cell>
        </row>
        <row r="1229">
          <cell r="E1229" t="str">
            <v>Above the Funnel</v>
          </cell>
          <cell r="H1229">
            <v>0</v>
          </cell>
        </row>
        <row r="1230">
          <cell r="E1230" t="str">
            <v>In the Funnel</v>
          </cell>
          <cell r="H1230">
            <v>40</v>
          </cell>
        </row>
        <row r="1231">
          <cell r="E1231" t="str">
            <v>In the Funnel</v>
          </cell>
          <cell r="H1231">
            <v>40</v>
          </cell>
        </row>
        <row r="1232">
          <cell r="E1232" t="str">
            <v>Unsuccessful</v>
          </cell>
          <cell r="H1232">
            <v>0</v>
          </cell>
        </row>
        <row r="1233">
          <cell r="E1233" t="str">
            <v>Best Few</v>
          </cell>
          <cell r="H1233">
            <v>40</v>
          </cell>
        </row>
        <row r="1234">
          <cell r="E1234" t="str">
            <v>Above the Funnel</v>
          </cell>
          <cell r="H1234">
            <v>0</v>
          </cell>
        </row>
        <row r="1235">
          <cell r="E1235" t="str">
            <v>Best Few</v>
          </cell>
          <cell r="H1235">
            <v>40</v>
          </cell>
        </row>
        <row r="1236">
          <cell r="E1236" t="str">
            <v>In the Funnel</v>
          </cell>
          <cell r="H1236">
            <v>40</v>
          </cell>
        </row>
        <row r="1237">
          <cell r="E1237" t="str">
            <v>In the Funnel</v>
          </cell>
          <cell r="H1237">
            <v>40</v>
          </cell>
        </row>
        <row r="1238">
          <cell r="E1238" t="str">
            <v>Unsuccessful</v>
          </cell>
          <cell r="H1238">
            <v>0</v>
          </cell>
        </row>
        <row r="1239">
          <cell r="E1239" t="str">
            <v>Unsuccessful</v>
          </cell>
          <cell r="H1239">
            <v>0</v>
          </cell>
        </row>
        <row r="1240">
          <cell r="E1240" t="str">
            <v>Above the Funnel</v>
          </cell>
          <cell r="H1240">
            <v>0</v>
          </cell>
        </row>
        <row r="1241">
          <cell r="E1241" t="str">
            <v>In the Funnel</v>
          </cell>
          <cell r="H1241">
            <v>40</v>
          </cell>
        </row>
        <row r="1242">
          <cell r="E1242" t="str">
            <v>In the Funnel</v>
          </cell>
          <cell r="H1242">
            <v>40</v>
          </cell>
        </row>
        <row r="1243">
          <cell r="E1243" t="str">
            <v>In the Funnel</v>
          </cell>
          <cell r="H1243">
            <v>40</v>
          </cell>
        </row>
        <row r="1244">
          <cell r="E1244" t="str">
            <v>Unsuccessful</v>
          </cell>
          <cell r="H1244">
            <v>0</v>
          </cell>
        </row>
        <row r="1245">
          <cell r="E1245" t="str">
            <v>Above the Funnel</v>
          </cell>
          <cell r="H1245">
            <v>0</v>
          </cell>
        </row>
        <row r="1246">
          <cell r="E1246" t="str">
            <v>Unsuccessful</v>
          </cell>
          <cell r="H1246">
            <v>0</v>
          </cell>
        </row>
        <row r="1247">
          <cell r="E1247" t="str">
            <v>Best Few</v>
          </cell>
          <cell r="H1247">
            <v>40</v>
          </cell>
        </row>
        <row r="1248">
          <cell r="E1248" t="str">
            <v>Best Few</v>
          </cell>
          <cell r="H1248">
            <v>40</v>
          </cell>
        </row>
        <row r="1249">
          <cell r="E1249" t="str">
            <v>Above the Funnel</v>
          </cell>
          <cell r="H1249">
            <v>0</v>
          </cell>
        </row>
        <row r="1250">
          <cell r="E1250" t="str">
            <v>In the Funnel</v>
          </cell>
          <cell r="H1250">
            <v>40</v>
          </cell>
        </row>
        <row r="1251">
          <cell r="E1251" t="str">
            <v>Best Few</v>
          </cell>
          <cell r="H1251">
            <v>40</v>
          </cell>
        </row>
        <row r="1252">
          <cell r="E1252" t="str">
            <v>Above the Funnel</v>
          </cell>
          <cell r="H1252">
            <v>0</v>
          </cell>
        </row>
        <row r="1253">
          <cell r="E1253" t="str">
            <v>Best Few</v>
          </cell>
          <cell r="H1253">
            <v>15</v>
          </cell>
        </row>
        <row r="1254">
          <cell r="E1254" t="str">
            <v>In the Funnel</v>
          </cell>
          <cell r="H1254">
            <v>40</v>
          </cell>
        </row>
        <row r="1255">
          <cell r="E1255" t="str">
            <v>Above the Funnel</v>
          </cell>
          <cell r="H1255">
            <v>0</v>
          </cell>
        </row>
        <row r="1256">
          <cell r="E1256" t="str">
            <v>Above the Funnel</v>
          </cell>
          <cell r="H1256">
            <v>0</v>
          </cell>
        </row>
        <row r="1257">
          <cell r="E1257" t="str">
            <v>Above the Funnel</v>
          </cell>
          <cell r="H1257">
            <v>0</v>
          </cell>
        </row>
        <row r="1258">
          <cell r="E1258" t="str">
            <v>In the Funnel</v>
          </cell>
          <cell r="H1258">
            <v>40</v>
          </cell>
        </row>
        <row r="1259">
          <cell r="E1259" t="str">
            <v>Unsuccessful</v>
          </cell>
          <cell r="H1259">
            <v>0</v>
          </cell>
        </row>
        <row r="1260">
          <cell r="E1260" t="str">
            <v>Unsuccessful</v>
          </cell>
          <cell r="H1260">
            <v>0</v>
          </cell>
        </row>
        <row r="1261">
          <cell r="E1261" t="str">
            <v>Above the Funnel</v>
          </cell>
          <cell r="H1261">
            <v>0</v>
          </cell>
        </row>
        <row r="1262">
          <cell r="E1262" t="str">
            <v>Above the Funnel</v>
          </cell>
          <cell r="H1262">
            <v>0</v>
          </cell>
        </row>
        <row r="1263">
          <cell r="E1263" t="str">
            <v>Above the Funnel</v>
          </cell>
          <cell r="H1263">
            <v>0</v>
          </cell>
        </row>
        <row r="1264">
          <cell r="E1264" t="str">
            <v>In the Funnel</v>
          </cell>
          <cell r="H1264">
            <v>40</v>
          </cell>
        </row>
        <row r="1265">
          <cell r="E1265" t="str">
            <v>Best Few</v>
          </cell>
          <cell r="H1265">
            <v>15</v>
          </cell>
        </row>
        <row r="1266">
          <cell r="E1266" t="str">
            <v>Above the Funnel</v>
          </cell>
          <cell r="H1266">
            <v>0</v>
          </cell>
        </row>
        <row r="1267">
          <cell r="E1267" t="str">
            <v>Above the Funnel</v>
          </cell>
          <cell r="H1267">
            <v>0</v>
          </cell>
        </row>
        <row r="1268">
          <cell r="E1268" t="str">
            <v>In the Funnel</v>
          </cell>
          <cell r="H1268">
            <v>40</v>
          </cell>
        </row>
        <row r="1269">
          <cell r="E1269" t="str">
            <v>Unsuccessful</v>
          </cell>
          <cell r="H1269">
            <v>0</v>
          </cell>
        </row>
        <row r="1270">
          <cell r="E1270" t="str">
            <v>Best Few</v>
          </cell>
          <cell r="H1270">
            <v>40</v>
          </cell>
        </row>
        <row r="1271">
          <cell r="E1271" t="str">
            <v>In the Funnel</v>
          </cell>
          <cell r="H1271">
            <v>40</v>
          </cell>
        </row>
        <row r="1272">
          <cell r="E1272" t="str">
            <v>Best Few</v>
          </cell>
          <cell r="H1272">
            <v>15</v>
          </cell>
        </row>
        <row r="1273">
          <cell r="E1273" t="str">
            <v>Best Few</v>
          </cell>
          <cell r="H1273">
            <v>40</v>
          </cell>
        </row>
        <row r="1274">
          <cell r="E1274" t="str">
            <v>In the Funnel</v>
          </cell>
          <cell r="H1274">
            <v>40</v>
          </cell>
        </row>
        <row r="1275">
          <cell r="E1275" t="str">
            <v>Unsuccessful</v>
          </cell>
          <cell r="H1275">
            <v>0</v>
          </cell>
        </row>
        <row r="1276">
          <cell r="E1276" t="str">
            <v>Unsuccessful</v>
          </cell>
          <cell r="H1276">
            <v>0</v>
          </cell>
        </row>
        <row r="1277">
          <cell r="E1277" t="str">
            <v>Unsuccessful</v>
          </cell>
          <cell r="H1277">
            <v>0</v>
          </cell>
        </row>
        <row r="1278">
          <cell r="E1278" t="str">
            <v>Unsuccessful</v>
          </cell>
          <cell r="H1278">
            <v>0</v>
          </cell>
        </row>
        <row r="1279">
          <cell r="E1279" t="str">
            <v>Unsuccessful</v>
          </cell>
          <cell r="H1279">
            <v>0</v>
          </cell>
        </row>
        <row r="1280">
          <cell r="E1280" t="str">
            <v>Unsuccessful</v>
          </cell>
          <cell r="H1280">
            <v>0</v>
          </cell>
        </row>
        <row r="1281">
          <cell r="E1281" t="str">
            <v>Unsuccessful</v>
          </cell>
          <cell r="H1281">
            <v>0</v>
          </cell>
        </row>
        <row r="1282">
          <cell r="E1282" t="str">
            <v>Unsuccessful</v>
          </cell>
          <cell r="H1282">
            <v>0</v>
          </cell>
        </row>
        <row r="1283">
          <cell r="E1283" t="str">
            <v>Unsuccessful</v>
          </cell>
          <cell r="H1283">
            <v>0</v>
          </cell>
        </row>
        <row r="1284">
          <cell r="E1284" t="str">
            <v>Unsuccessful</v>
          </cell>
          <cell r="H1284">
            <v>0</v>
          </cell>
        </row>
        <row r="1285">
          <cell r="E1285" t="str">
            <v>Unsuccessful</v>
          </cell>
          <cell r="H1285">
            <v>0</v>
          </cell>
        </row>
        <row r="1286">
          <cell r="E1286" t="str">
            <v>Unsuccessful</v>
          </cell>
          <cell r="H1286">
            <v>0</v>
          </cell>
        </row>
        <row r="1287">
          <cell r="E1287" t="str">
            <v>Unsuccessful</v>
          </cell>
          <cell r="H1287">
            <v>0</v>
          </cell>
        </row>
        <row r="1288">
          <cell r="E1288" t="str">
            <v>Unsuccessful</v>
          </cell>
          <cell r="H1288">
            <v>0</v>
          </cell>
        </row>
        <row r="1289">
          <cell r="E1289" t="str">
            <v>Unsuccessful</v>
          </cell>
          <cell r="H1289">
            <v>0</v>
          </cell>
        </row>
        <row r="1290">
          <cell r="E1290" t="str">
            <v>Unsuccessful</v>
          </cell>
          <cell r="H1290">
            <v>0</v>
          </cell>
        </row>
        <row r="1291">
          <cell r="E1291" t="str">
            <v>Unsuccessful</v>
          </cell>
          <cell r="H1291">
            <v>0</v>
          </cell>
        </row>
        <row r="1292">
          <cell r="E1292" t="str">
            <v>Unsuccessful</v>
          </cell>
          <cell r="H1292">
            <v>0</v>
          </cell>
        </row>
        <row r="1293">
          <cell r="E1293" t="str">
            <v>Unsuccessful</v>
          </cell>
          <cell r="H1293">
            <v>0</v>
          </cell>
        </row>
        <row r="1294">
          <cell r="E1294" t="str">
            <v>Unsuccessful</v>
          </cell>
          <cell r="H1294">
            <v>0</v>
          </cell>
        </row>
        <row r="1295">
          <cell r="E1295" t="str">
            <v>Unsuccessful</v>
          </cell>
          <cell r="H1295">
            <v>0</v>
          </cell>
        </row>
        <row r="1296">
          <cell r="E1296" t="str">
            <v>Unsuccessful</v>
          </cell>
          <cell r="H1296">
            <v>0</v>
          </cell>
        </row>
        <row r="1297">
          <cell r="E1297" t="str">
            <v>Unsuccessful</v>
          </cell>
          <cell r="H1297">
            <v>0</v>
          </cell>
        </row>
        <row r="1298">
          <cell r="E1298" t="str">
            <v>Unsuccessful</v>
          </cell>
          <cell r="H1298">
            <v>0</v>
          </cell>
        </row>
        <row r="1299">
          <cell r="E1299" t="str">
            <v>Unsuccessful</v>
          </cell>
          <cell r="H1299">
            <v>0</v>
          </cell>
        </row>
        <row r="1300">
          <cell r="E1300" t="str">
            <v>Unsuccessful</v>
          </cell>
          <cell r="H1300">
            <v>0</v>
          </cell>
        </row>
        <row r="1301">
          <cell r="E1301" t="str">
            <v>Unsuccessful</v>
          </cell>
          <cell r="H1301">
            <v>0</v>
          </cell>
        </row>
        <row r="1302">
          <cell r="E1302" t="str">
            <v>Unsuccessful</v>
          </cell>
          <cell r="H1302">
            <v>0</v>
          </cell>
        </row>
        <row r="1303">
          <cell r="E1303" t="str">
            <v>Unsuccessful</v>
          </cell>
          <cell r="H1303">
            <v>0</v>
          </cell>
        </row>
        <row r="1304">
          <cell r="E1304" t="str">
            <v>Unsuccessful</v>
          </cell>
          <cell r="H1304">
            <v>0</v>
          </cell>
        </row>
        <row r="1305">
          <cell r="E1305" t="str">
            <v>Unsuccessful</v>
          </cell>
          <cell r="H1305">
            <v>0</v>
          </cell>
        </row>
        <row r="1306">
          <cell r="E1306" t="str">
            <v>Unsuccessful</v>
          </cell>
          <cell r="H1306">
            <v>0</v>
          </cell>
        </row>
        <row r="1307">
          <cell r="E1307" t="str">
            <v>Unsuccessful</v>
          </cell>
          <cell r="H1307">
            <v>0</v>
          </cell>
        </row>
        <row r="1308">
          <cell r="E1308" t="str">
            <v>Unsuccessful</v>
          </cell>
          <cell r="H1308">
            <v>0</v>
          </cell>
        </row>
        <row r="1309">
          <cell r="E1309" t="str">
            <v>Unsuccessful</v>
          </cell>
          <cell r="H1309">
            <v>0</v>
          </cell>
        </row>
        <row r="1310">
          <cell r="E1310" t="str">
            <v>Unsuccessful</v>
          </cell>
          <cell r="H1310">
            <v>0</v>
          </cell>
        </row>
        <row r="1311">
          <cell r="E1311" t="str">
            <v>Unsuccessful</v>
          </cell>
          <cell r="H1311">
            <v>0</v>
          </cell>
        </row>
        <row r="1312">
          <cell r="E1312" t="str">
            <v>Unsuccessful</v>
          </cell>
          <cell r="H1312">
            <v>0</v>
          </cell>
        </row>
        <row r="1313">
          <cell r="E1313" t="str">
            <v>Unsuccessful</v>
          </cell>
          <cell r="H1313">
            <v>0</v>
          </cell>
        </row>
        <row r="1314">
          <cell r="E1314" t="str">
            <v>Unsuccessful</v>
          </cell>
          <cell r="H1314">
            <v>0</v>
          </cell>
        </row>
        <row r="1315">
          <cell r="E1315" t="str">
            <v>Unsuccessful</v>
          </cell>
          <cell r="H1315">
            <v>0</v>
          </cell>
        </row>
        <row r="1316">
          <cell r="E1316" t="str">
            <v>Unsuccessful</v>
          </cell>
          <cell r="H1316">
            <v>0</v>
          </cell>
        </row>
        <row r="1317">
          <cell r="E1317" t="str">
            <v>Unsuccessful</v>
          </cell>
          <cell r="H1317">
            <v>0</v>
          </cell>
        </row>
        <row r="1318">
          <cell r="E1318" t="str">
            <v>Unsuccessful</v>
          </cell>
          <cell r="H1318">
            <v>0</v>
          </cell>
        </row>
        <row r="1319">
          <cell r="E1319" t="str">
            <v>Unsuccessful</v>
          </cell>
          <cell r="H1319">
            <v>0</v>
          </cell>
        </row>
        <row r="1320">
          <cell r="E1320" t="str">
            <v>Unsuccessful</v>
          </cell>
          <cell r="H1320">
            <v>0</v>
          </cell>
        </row>
        <row r="1321">
          <cell r="E1321" t="str">
            <v>Unsuccessful</v>
          </cell>
          <cell r="H1321">
            <v>0</v>
          </cell>
        </row>
        <row r="1322">
          <cell r="E1322" t="str">
            <v>Unsuccessful</v>
          </cell>
          <cell r="H1322">
            <v>0</v>
          </cell>
        </row>
        <row r="1323">
          <cell r="E1323" t="str">
            <v>Unsuccessful</v>
          </cell>
          <cell r="H1323">
            <v>0</v>
          </cell>
        </row>
        <row r="1324">
          <cell r="E1324" t="str">
            <v>Unsuccessful</v>
          </cell>
          <cell r="H1324">
            <v>0</v>
          </cell>
        </row>
        <row r="1325">
          <cell r="E1325" t="str">
            <v>Unsuccessful</v>
          </cell>
          <cell r="H1325">
            <v>0</v>
          </cell>
        </row>
        <row r="1326">
          <cell r="E1326" t="str">
            <v>Unsuccessful</v>
          </cell>
          <cell r="H1326">
            <v>0</v>
          </cell>
        </row>
        <row r="1327">
          <cell r="E1327" t="str">
            <v>Unsuccessful</v>
          </cell>
          <cell r="H1327">
            <v>0</v>
          </cell>
        </row>
        <row r="1328">
          <cell r="E1328" t="str">
            <v>Unsuccessful</v>
          </cell>
          <cell r="H1328">
            <v>0</v>
          </cell>
        </row>
        <row r="1329">
          <cell r="E1329" t="str">
            <v>Unsuccessful</v>
          </cell>
          <cell r="H1329">
            <v>0</v>
          </cell>
        </row>
        <row r="1330">
          <cell r="E1330" t="str">
            <v>Booked</v>
          </cell>
          <cell r="H1330">
            <v>80</v>
          </cell>
        </row>
        <row r="1331">
          <cell r="E1331" t="str">
            <v>Booked</v>
          </cell>
          <cell r="H1331">
            <v>80</v>
          </cell>
        </row>
        <row r="1332">
          <cell r="E1332" t="str">
            <v>Sold Not Booked</v>
          </cell>
          <cell r="H1332">
            <v>100</v>
          </cell>
        </row>
        <row r="1333">
          <cell r="E1333" t="str">
            <v>Sold Not Booked</v>
          </cell>
          <cell r="H1333">
            <v>100</v>
          </cell>
        </row>
        <row r="1334">
          <cell r="E1334" t="str">
            <v>Sold Not Booked</v>
          </cell>
          <cell r="H1334">
            <v>100</v>
          </cell>
        </row>
        <row r="1335">
          <cell r="E1335" t="str">
            <v>Booked</v>
          </cell>
          <cell r="H1335">
            <v>80</v>
          </cell>
        </row>
        <row r="1336">
          <cell r="E1336" t="str">
            <v>Booked</v>
          </cell>
          <cell r="H1336">
            <v>80</v>
          </cell>
        </row>
        <row r="1337">
          <cell r="E1337" t="str">
            <v>Booked</v>
          </cell>
          <cell r="H1337">
            <v>80</v>
          </cell>
        </row>
        <row r="1338">
          <cell r="E1338" t="str">
            <v>Sold Not Booked</v>
          </cell>
          <cell r="H1338">
            <v>100</v>
          </cell>
        </row>
        <row r="1339">
          <cell r="E1339" t="str">
            <v>Booked</v>
          </cell>
          <cell r="H1339">
            <v>80</v>
          </cell>
        </row>
        <row r="1340">
          <cell r="E1340" t="str">
            <v>Sold Not Booked</v>
          </cell>
          <cell r="H1340">
            <v>100</v>
          </cell>
        </row>
        <row r="1341">
          <cell r="E1341" t="str">
            <v>Sold Not Booked</v>
          </cell>
          <cell r="H1341">
            <v>100</v>
          </cell>
        </row>
        <row r="1342">
          <cell r="E1342" t="str">
            <v>Booked</v>
          </cell>
          <cell r="H1342">
            <v>80</v>
          </cell>
        </row>
        <row r="1343">
          <cell r="E1343" t="str">
            <v>Booked</v>
          </cell>
          <cell r="H1343">
            <v>80</v>
          </cell>
        </row>
        <row r="1344">
          <cell r="E1344" t="str">
            <v>Sold Not Booked</v>
          </cell>
          <cell r="H1344">
            <v>100</v>
          </cell>
        </row>
        <row r="1345">
          <cell r="E1345" t="str">
            <v>Sold Not Booked</v>
          </cell>
          <cell r="H1345">
            <v>100</v>
          </cell>
        </row>
        <row r="1346">
          <cell r="E1346" t="str">
            <v>Sold Not Booked</v>
          </cell>
          <cell r="H1346">
            <v>100</v>
          </cell>
        </row>
        <row r="1347">
          <cell r="E1347" t="str">
            <v>Booked</v>
          </cell>
          <cell r="H1347">
            <v>80</v>
          </cell>
        </row>
        <row r="1348">
          <cell r="E1348" t="str">
            <v>Sold Not Booked</v>
          </cell>
          <cell r="H1348">
            <v>100</v>
          </cell>
        </row>
        <row r="1349">
          <cell r="E1349" t="str">
            <v>Sold Not Booked</v>
          </cell>
          <cell r="H1349">
            <v>100</v>
          </cell>
        </row>
        <row r="1350">
          <cell r="E1350" t="str">
            <v>Booked</v>
          </cell>
          <cell r="H1350">
            <v>80</v>
          </cell>
        </row>
        <row r="1351">
          <cell r="E1351" t="str">
            <v>Booked</v>
          </cell>
          <cell r="H1351">
            <v>80</v>
          </cell>
        </row>
        <row r="1352">
          <cell r="E1352" t="str">
            <v>Booked</v>
          </cell>
          <cell r="H1352">
            <v>80</v>
          </cell>
        </row>
        <row r="1353">
          <cell r="E1353" t="str">
            <v>Booked</v>
          </cell>
          <cell r="H1353">
            <v>80</v>
          </cell>
        </row>
        <row r="1354">
          <cell r="E1354" t="str">
            <v>Sold Not Booked</v>
          </cell>
          <cell r="H1354">
            <v>100</v>
          </cell>
        </row>
        <row r="1355">
          <cell r="E1355" t="str">
            <v>Booked</v>
          </cell>
          <cell r="H1355">
            <v>80</v>
          </cell>
        </row>
        <row r="1356">
          <cell r="E1356" t="str">
            <v>Booked</v>
          </cell>
          <cell r="H1356">
            <v>80</v>
          </cell>
        </row>
        <row r="1357">
          <cell r="E1357" t="str">
            <v>Booked</v>
          </cell>
          <cell r="H1357">
            <v>80</v>
          </cell>
        </row>
        <row r="1358">
          <cell r="E1358" t="str">
            <v>Sold Not Booked</v>
          </cell>
          <cell r="H1358">
            <v>100</v>
          </cell>
        </row>
        <row r="1359">
          <cell r="E1359" t="str">
            <v>Sold Not Booked</v>
          </cell>
          <cell r="H1359">
            <v>100</v>
          </cell>
        </row>
        <row r="1360">
          <cell r="E1360" t="str">
            <v>Booked</v>
          </cell>
          <cell r="H1360">
            <v>80</v>
          </cell>
        </row>
        <row r="1361">
          <cell r="E1361" t="str">
            <v>Booked</v>
          </cell>
          <cell r="H1361">
            <v>80</v>
          </cell>
        </row>
        <row r="1362">
          <cell r="E1362" t="str">
            <v>Booked</v>
          </cell>
          <cell r="H1362">
            <v>80</v>
          </cell>
        </row>
        <row r="1363">
          <cell r="E1363" t="str">
            <v>Sold Not Booked</v>
          </cell>
          <cell r="H1363">
            <v>100</v>
          </cell>
        </row>
        <row r="1364">
          <cell r="E1364" t="str">
            <v>Booked</v>
          </cell>
          <cell r="H1364">
            <v>80</v>
          </cell>
        </row>
        <row r="1365">
          <cell r="E1365" t="str">
            <v>Booked</v>
          </cell>
          <cell r="H1365">
            <v>80</v>
          </cell>
        </row>
        <row r="1366">
          <cell r="E1366" t="str">
            <v>Booked</v>
          </cell>
          <cell r="H1366">
            <v>80</v>
          </cell>
        </row>
        <row r="1367">
          <cell r="E1367" t="str">
            <v>Sold Not Booked</v>
          </cell>
          <cell r="H1367">
            <v>100</v>
          </cell>
        </row>
        <row r="1368">
          <cell r="E1368" t="str">
            <v>Sold Not Booked</v>
          </cell>
          <cell r="H1368">
            <v>100</v>
          </cell>
        </row>
        <row r="1369">
          <cell r="E1369" t="str">
            <v>Sold Not Booked</v>
          </cell>
          <cell r="H1369">
            <v>100</v>
          </cell>
        </row>
        <row r="1370">
          <cell r="E1370" t="str">
            <v>Booked</v>
          </cell>
          <cell r="H1370">
            <v>80</v>
          </cell>
        </row>
        <row r="1371">
          <cell r="E1371" t="str">
            <v>Sold Not Booked</v>
          </cell>
          <cell r="H1371">
            <v>100</v>
          </cell>
        </row>
        <row r="1372">
          <cell r="E1372" t="str">
            <v>Booked</v>
          </cell>
          <cell r="H1372">
            <v>80</v>
          </cell>
        </row>
        <row r="1373">
          <cell r="E1373" t="str">
            <v>Sold Not Booked</v>
          </cell>
          <cell r="H1373">
            <v>100</v>
          </cell>
        </row>
        <row r="1374">
          <cell r="E1374" t="str">
            <v>Sold Not Booked</v>
          </cell>
          <cell r="H1374">
            <v>100</v>
          </cell>
        </row>
        <row r="1375">
          <cell r="E1375" t="str">
            <v>Booked</v>
          </cell>
          <cell r="H1375">
            <v>80</v>
          </cell>
        </row>
        <row r="1376">
          <cell r="E1376" t="str">
            <v>Booked</v>
          </cell>
          <cell r="H1376">
            <v>80</v>
          </cell>
        </row>
        <row r="1377">
          <cell r="E1377" t="str">
            <v>Booked</v>
          </cell>
          <cell r="H1377">
            <v>80</v>
          </cell>
        </row>
        <row r="1378">
          <cell r="E1378" t="str">
            <v>Booked</v>
          </cell>
          <cell r="H1378">
            <v>80</v>
          </cell>
        </row>
        <row r="1379">
          <cell r="E1379" t="str">
            <v>Booked</v>
          </cell>
          <cell r="H1379">
            <v>80</v>
          </cell>
        </row>
        <row r="1380">
          <cell r="E1380" t="str">
            <v>Sold Not Booked</v>
          </cell>
          <cell r="H1380">
            <v>100</v>
          </cell>
        </row>
        <row r="1381">
          <cell r="E1381" t="str">
            <v>Sold Not Booked</v>
          </cell>
          <cell r="H1381">
            <v>100</v>
          </cell>
        </row>
        <row r="1382">
          <cell r="E1382" t="str">
            <v>Sold Not Booked</v>
          </cell>
          <cell r="H1382">
            <v>100</v>
          </cell>
        </row>
        <row r="1383">
          <cell r="E1383" t="str">
            <v>Sold Not Booked</v>
          </cell>
          <cell r="H1383">
            <v>100</v>
          </cell>
        </row>
        <row r="1384">
          <cell r="E1384" t="str">
            <v>Sold Not Booked</v>
          </cell>
          <cell r="H1384">
            <v>100</v>
          </cell>
        </row>
        <row r="1385">
          <cell r="E1385" t="str">
            <v>Booked</v>
          </cell>
          <cell r="H1385">
            <v>80</v>
          </cell>
        </row>
        <row r="1386">
          <cell r="E1386" t="str">
            <v>Booked</v>
          </cell>
          <cell r="H1386">
            <v>80</v>
          </cell>
        </row>
        <row r="1387">
          <cell r="E1387" t="str">
            <v>Sold Not Booked</v>
          </cell>
          <cell r="H1387">
            <v>100</v>
          </cell>
        </row>
        <row r="1388">
          <cell r="E1388" t="str">
            <v>Sold Not Booked</v>
          </cell>
          <cell r="H1388">
            <v>100</v>
          </cell>
        </row>
        <row r="1389">
          <cell r="E1389" t="str">
            <v>Booked</v>
          </cell>
          <cell r="H1389">
            <v>80</v>
          </cell>
        </row>
        <row r="1390">
          <cell r="E1390" t="str">
            <v>Booked</v>
          </cell>
          <cell r="H1390">
            <v>80</v>
          </cell>
        </row>
        <row r="1391">
          <cell r="E1391" t="str">
            <v>Sold Not Booked</v>
          </cell>
          <cell r="H1391">
            <v>100</v>
          </cell>
        </row>
        <row r="1392">
          <cell r="E1392" t="str">
            <v>Booked</v>
          </cell>
          <cell r="H1392">
            <v>80</v>
          </cell>
        </row>
        <row r="1393">
          <cell r="E1393" t="str">
            <v>Booked</v>
          </cell>
          <cell r="H1393">
            <v>80</v>
          </cell>
        </row>
        <row r="1394">
          <cell r="E1394" t="str">
            <v>Booked</v>
          </cell>
          <cell r="H1394">
            <v>80</v>
          </cell>
        </row>
        <row r="1395">
          <cell r="E1395" t="str">
            <v>Sold Not Booked</v>
          </cell>
          <cell r="H1395">
            <v>100</v>
          </cell>
        </row>
        <row r="1396">
          <cell r="E1396" t="str">
            <v>Booked</v>
          </cell>
          <cell r="H1396">
            <v>80</v>
          </cell>
        </row>
        <row r="1397">
          <cell r="E1397" t="str">
            <v>Booked</v>
          </cell>
          <cell r="H1397">
            <v>80</v>
          </cell>
        </row>
        <row r="1398">
          <cell r="E1398" t="str">
            <v>Sold Not Booked</v>
          </cell>
          <cell r="H1398">
            <v>100</v>
          </cell>
        </row>
        <row r="1399">
          <cell r="E1399" t="str">
            <v>Sold Not Booked</v>
          </cell>
          <cell r="H1399">
            <v>100</v>
          </cell>
        </row>
        <row r="1400">
          <cell r="E1400" t="str">
            <v>Sold Not Booked</v>
          </cell>
          <cell r="H1400">
            <v>100</v>
          </cell>
        </row>
        <row r="1401">
          <cell r="E1401" t="str">
            <v>Sold Not Booked</v>
          </cell>
          <cell r="H1401">
            <v>100</v>
          </cell>
        </row>
        <row r="1402">
          <cell r="E1402" t="str">
            <v>Sold Not Booked</v>
          </cell>
          <cell r="H1402">
            <v>100</v>
          </cell>
        </row>
        <row r="1403">
          <cell r="E1403" t="str">
            <v>Sold Not Booked</v>
          </cell>
          <cell r="H1403">
            <v>100</v>
          </cell>
        </row>
        <row r="1404">
          <cell r="E1404" t="str">
            <v>Booked</v>
          </cell>
          <cell r="H1404">
            <v>80</v>
          </cell>
        </row>
        <row r="1405">
          <cell r="E1405" t="str">
            <v>Sold Not Booked</v>
          </cell>
          <cell r="H1405">
            <v>100</v>
          </cell>
        </row>
        <row r="1406">
          <cell r="E1406" t="str">
            <v>Sold Not Booked</v>
          </cell>
          <cell r="H1406">
            <v>100</v>
          </cell>
        </row>
        <row r="1407">
          <cell r="E1407" t="str">
            <v>Sold Not Booked</v>
          </cell>
          <cell r="H1407">
            <v>100</v>
          </cell>
        </row>
        <row r="1408">
          <cell r="E1408" t="str">
            <v>Sold Not Booked</v>
          </cell>
          <cell r="H1408">
            <v>100</v>
          </cell>
        </row>
        <row r="1409">
          <cell r="E1409" t="str">
            <v>Booked</v>
          </cell>
          <cell r="H1409">
            <v>80</v>
          </cell>
        </row>
        <row r="1410">
          <cell r="E1410" t="str">
            <v>Booked</v>
          </cell>
          <cell r="H1410">
            <v>80</v>
          </cell>
        </row>
        <row r="1411">
          <cell r="E1411" t="str">
            <v>Booked</v>
          </cell>
          <cell r="H1411">
            <v>80</v>
          </cell>
        </row>
        <row r="1412">
          <cell r="E1412" t="str">
            <v>Sold Not Booked</v>
          </cell>
          <cell r="H1412">
            <v>100</v>
          </cell>
        </row>
        <row r="1413">
          <cell r="E1413" t="str">
            <v>Booked</v>
          </cell>
          <cell r="H1413">
            <v>80</v>
          </cell>
        </row>
        <row r="1414">
          <cell r="E1414" t="str">
            <v>Sold Not Booked</v>
          </cell>
          <cell r="H1414">
            <v>100</v>
          </cell>
        </row>
        <row r="1415">
          <cell r="E1415" t="str">
            <v>Booked</v>
          </cell>
          <cell r="H1415">
            <v>80</v>
          </cell>
        </row>
        <row r="1416">
          <cell r="E1416" t="str">
            <v>Booked</v>
          </cell>
          <cell r="H1416">
            <v>80</v>
          </cell>
        </row>
        <row r="1417">
          <cell r="E1417" t="str">
            <v>Booked</v>
          </cell>
          <cell r="H1417">
            <v>80</v>
          </cell>
        </row>
        <row r="1418">
          <cell r="E1418" t="str">
            <v>Booked</v>
          </cell>
          <cell r="H1418">
            <v>80</v>
          </cell>
        </row>
        <row r="1419">
          <cell r="E1419" t="str">
            <v>Sold Not Booked</v>
          </cell>
          <cell r="H1419">
            <v>100</v>
          </cell>
        </row>
        <row r="1420">
          <cell r="E1420" t="str">
            <v>Booked</v>
          </cell>
          <cell r="H1420">
            <v>80</v>
          </cell>
        </row>
        <row r="1421">
          <cell r="E1421" t="str">
            <v>Sold Not Booked</v>
          </cell>
          <cell r="H1421">
            <v>100</v>
          </cell>
        </row>
        <row r="1422">
          <cell r="E1422" t="str">
            <v>Booked</v>
          </cell>
          <cell r="H1422">
            <v>80</v>
          </cell>
        </row>
        <row r="1423">
          <cell r="E1423" t="str">
            <v>Sold Not Booked</v>
          </cell>
          <cell r="H1423">
            <v>100</v>
          </cell>
        </row>
        <row r="1424">
          <cell r="E1424" t="str">
            <v>Sold Not Booked</v>
          </cell>
          <cell r="H1424">
            <v>100</v>
          </cell>
        </row>
        <row r="1425">
          <cell r="E1425" t="str">
            <v>Sold Not Booked</v>
          </cell>
          <cell r="H1425">
            <v>100</v>
          </cell>
        </row>
        <row r="1426">
          <cell r="E1426" t="str">
            <v>Sold Not Booked</v>
          </cell>
          <cell r="H1426">
            <v>100</v>
          </cell>
        </row>
        <row r="1427">
          <cell r="E1427" t="str">
            <v>Booked</v>
          </cell>
          <cell r="H1427">
            <v>80</v>
          </cell>
        </row>
        <row r="1428">
          <cell r="E1428" t="str">
            <v>Sold Not Booked</v>
          </cell>
          <cell r="H1428">
            <v>100</v>
          </cell>
        </row>
        <row r="1429">
          <cell r="E1429" t="str">
            <v>Sold Not Booked</v>
          </cell>
          <cell r="H1429">
            <v>100</v>
          </cell>
        </row>
        <row r="1430">
          <cell r="E1430" t="str">
            <v>Booked</v>
          </cell>
          <cell r="H1430">
            <v>80</v>
          </cell>
        </row>
        <row r="1431">
          <cell r="E1431" t="str">
            <v>Booked</v>
          </cell>
          <cell r="H1431">
            <v>80</v>
          </cell>
        </row>
        <row r="1432">
          <cell r="E1432" t="str">
            <v>Booked</v>
          </cell>
          <cell r="H1432">
            <v>80</v>
          </cell>
        </row>
        <row r="1433">
          <cell r="E1433" t="str">
            <v>Sold Not Booked</v>
          </cell>
          <cell r="H1433">
            <v>100</v>
          </cell>
        </row>
        <row r="1434">
          <cell r="E1434" t="str">
            <v>Booked</v>
          </cell>
          <cell r="H1434">
            <v>80</v>
          </cell>
        </row>
        <row r="1435">
          <cell r="E1435" t="str">
            <v>Booked</v>
          </cell>
          <cell r="H1435">
            <v>80</v>
          </cell>
        </row>
        <row r="1436">
          <cell r="E1436" t="str">
            <v>Booked</v>
          </cell>
          <cell r="H1436">
            <v>80</v>
          </cell>
        </row>
        <row r="1437">
          <cell r="E1437" t="str">
            <v>Sold Not Booked</v>
          </cell>
          <cell r="H1437">
            <v>100</v>
          </cell>
        </row>
        <row r="1438">
          <cell r="E1438" t="str">
            <v>Sold Not Booked</v>
          </cell>
          <cell r="H1438">
            <v>100</v>
          </cell>
        </row>
        <row r="1439">
          <cell r="E1439" t="str">
            <v>Booked</v>
          </cell>
          <cell r="H1439">
            <v>80</v>
          </cell>
        </row>
        <row r="1440">
          <cell r="E1440" t="str">
            <v>Booked</v>
          </cell>
          <cell r="H1440">
            <v>80</v>
          </cell>
        </row>
        <row r="1441">
          <cell r="E1441" t="str">
            <v>Booked</v>
          </cell>
          <cell r="H1441">
            <v>80</v>
          </cell>
        </row>
        <row r="1442">
          <cell r="E1442" t="str">
            <v>Unsuccessful</v>
          </cell>
          <cell r="H1442">
            <v>0</v>
          </cell>
        </row>
        <row r="1443">
          <cell r="E1443" t="str">
            <v>Booked</v>
          </cell>
          <cell r="H1443">
            <v>80</v>
          </cell>
        </row>
        <row r="1444">
          <cell r="E1444" t="str">
            <v>Sold Not Booked</v>
          </cell>
          <cell r="H1444">
            <v>100</v>
          </cell>
        </row>
        <row r="1445">
          <cell r="E1445" t="str">
            <v>Sold Not Booked</v>
          </cell>
          <cell r="H1445">
            <v>100</v>
          </cell>
        </row>
        <row r="1446">
          <cell r="E1446" t="str">
            <v>Booked</v>
          </cell>
          <cell r="H1446">
            <v>80</v>
          </cell>
        </row>
        <row r="1447">
          <cell r="E1447" t="str">
            <v>Sold Not Booked</v>
          </cell>
          <cell r="H1447">
            <v>100</v>
          </cell>
        </row>
        <row r="1448">
          <cell r="E1448" t="str">
            <v>Booked</v>
          </cell>
          <cell r="H1448">
            <v>80</v>
          </cell>
        </row>
        <row r="1449">
          <cell r="E1449" t="str">
            <v>Sold Not Booked</v>
          </cell>
          <cell r="H1449">
            <v>100</v>
          </cell>
        </row>
        <row r="1450">
          <cell r="E1450" t="str">
            <v>Sold Not Booked</v>
          </cell>
          <cell r="H1450">
            <v>100</v>
          </cell>
        </row>
        <row r="1451">
          <cell r="E1451" t="str">
            <v>Booked</v>
          </cell>
          <cell r="H1451">
            <v>80</v>
          </cell>
        </row>
        <row r="1452">
          <cell r="E1452" t="str">
            <v>Booked</v>
          </cell>
          <cell r="H1452">
            <v>80</v>
          </cell>
        </row>
        <row r="1453">
          <cell r="E1453" t="str">
            <v>Unsuccessful</v>
          </cell>
          <cell r="H1453">
            <v>0</v>
          </cell>
        </row>
        <row r="1454">
          <cell r="E1454" t="str">
            <v>Sold Not Booked</v>
          </cell>
          <cell r="H1454">
            <v>100</v>
          </cell>
        </row>
        <row r="1455">
          <cell r="E1455" t="str">
            <v>Unsuccessful</v>
          </cell>
          <cell r="H1455">
            <v>0</v>
          </cell>
        </row>
        <row r="1456">
          <cell r="E1456" t="str">
            <v>Booked</v>
          </cell>
          <cell r="H1456">
            <v>80</v>
          </cell>
        </row>
        <row r="1457">
          <cell r="E1457" t="str">
            <v>Sold Not Booked</v>
          </cell>
          <cell r="H1457">
            <v>100</v>
          </cell>
        </row>
        <row r="1458">
          <cell r="E1458" t="str">
            <v>Booked</v>
          </cell>
          <cell r="H1458">
            <v>80</v>
          </cell>
        </row>
        <row r="1459">
          <cell r="E1459" t="str">
            <v>Unsuccessful</v>
          </cell>
          <cell r="H1459">
            <v>0</v>
          </cell>
        </row>
        <row r="1460">
          <cell r="E1460" t="str">
            <v>Sold Not Booked</v>
          </cell>
          <cell r="H1460">
            <v>100</v>
          </cell>
        </row>
        <row r="1461">
          <cell r="E1461" t="str">
            <v>Sold Not Booked</v>
          </cell>
          <cell r="H1461">
            <v>100</v>
          </cell>
        </row>
        <row r="1462">
          <cell r="E1462" t="str">
            <v>Sold Not Booked</v>
          </cell>
          <cell r="H1462">
            <v>100</v>
          </cell>
        </row>
        <row r="1463">
          <cell r="E1463" t="str">
            <v>Unsuccessful</v>
          </cell>
          <cell r="H1463">
            <v>0</v>
          </cell>
        </row>
        <row r="1464">
          <cell r="E1464" t="str">
            <v>Sold Not Booked</v>
          </cell>
          <cell r="H1464">
            <v>100</v>
          </cell>
        </row>
        <row r="1465">
          <cell r="E1465" t="str">
            <v>Sold Not Booked</v>
          </cell>
          <cell r="H1465">
            <v>100</v>
          </cell>
        </row>
        <row r="1466">
          <cell r="E1466" t="str">
            <v>Booked</v>
          </cell>
          <cell r="H1466">
            <v>80</v>
          </cell>
        </row>
        <row r="1467">
          <cell r="E1467" t="str">
            <v>Sold Not Booked</v>
          </cell>
          <cell r="H1467">
            <v>100</v>
          </cell>
        </row>
        <row r="1468">
          <cell r="E1468" t="str">
            <v>Booked</v>
          </cell>
          <cell r="H1468">
            <v>80</v>
          </cell>
        </row>
        <row r="1469">
          <cell r="E1469" t="str">
            <v>Booked</v>
          </cell>
          <cell r="H1469">
            <v>80</v>
          </cell>
        </row>
        <row r="1470">
          <cell r="E1470" t="str">
            <v>Booked</v>
          </cell>
          <cell r="H1470">
            <v>80</v>
          </cell>
        </row>
        <row r="1471">
          <cell r="E1471" t="str">
            <v>Unsuccessful</v>
          </cell>
          <cell r="H1471">
            <v>0</v>
          </cell>
        </row>
        <row r="1472">
          <cell r="E1472" t="str">
            <v>Booked</v>
          </cell>
          <cell r="H1472">
            <v>80</v>
          </cell>
        </row>
        <row r="1473">
          <cell r="E1473" t="str">
            <v>Sold Not Booked</v>
          </cell>
          <cell r="H1473">
            <v>100</v>
          </cell>
        </row>
        <row r="1474">
          <cell r="E1474" t="str">
            <v>Sold Not Booked</v>
          </cell>
          <cell r="H1474">
            <v>100</v>
          </cell>
        </row>
        <row r="1475">
          <cell r="E1475" t="str">
            <v>Sold Not Booked</v>
          </cell>
          <cell r="H1475">
            <v>100</v>
          </cell>
        </row>
        <row r="1476">
          <cell r="E1476" t="str">
            <v>Booked</v>
          </cell>
          <cell r="H1476">
            <v>80</v>
          </cell>
        </row>
        <row r="1477">
          <cell r="E1477" t="str">
            <v>Booked</v>
          </cell>
          <cell r="H1477">
            <v>80</v>
          </cell>
        </row>
        <row r="1478">
          <cell r="E1478" t="str">
            <v>Sold Not Booked</v>
          </cell>
          <cell r="H1478">
            <v>100</v>
          </cell>
        </row>
        <row r="1479">
          <cell r="E1479" t="str">
            <v>Booked</v>
          </cell>
          <cell r="H1479">
            <v>80</v>
          </cell>
        </row>
        <row r="1480">
          <cell r="E1480" t="str">
            <v>Sold Not Booked</v>
          </cell>
          <cell r="H1480">
            <v>100</v>
          </cell>
        </row>
        <row r="1481">
          <cell r="E1481" t="str">
            <v>Sold Not Booked</v>
          </cell>
          <cell r="H1481">
            <v>100</v>
          </cell>
        </row>
        <row r="1482">
          <cell r="E1482" t="str">
            <v>Booked</v>
          </cell>
          <cell r="H1482">
            <v>80</v>
          </cell>
        </row>
        <row r="1483">
          <cell r="E1483" t="str">
            <v>Sold Not Booked</v>
          </cell>
          <cell r="H1483">
            <v>100</v>
          </cell>
        </row>
        <row r="1484">
          <cell r="E1484" t="str">
            <v>Booked</v>
          </cell>
          <cell r="H1484">
            <v>80</v>
          </cell>
        </row>
        <row r="1485">
          <cell r="E1485" t="str">
            <v>Sold Not Booked</v>
          </cell>
          <cell r="H1485">
            <v>100</v>
          </cell>
        </row>
        <row r="1486">
          <cell r="E1486" t="str">
            <v>Booked</v>
          </cell>
          <cell r="H1486">
            <v>80</v>
          </cell>
        </row>
        <row r="1487">
          <cell r="E1487" t="str">
            <v>Sold Not Booked</v>
          </cell>
          <cell r="H1487">
            <v>100</v>
          </cell>
        </row>
        <row r="1488">
          <cell r="E1488" t="str">
            <v>Booked</v>
          </cell>
          <cell r="H1488">
            <v>80</v>
          </cell>
        </row>
        <row r="1489">
          <cell r="E1489" t="str">
            <v>Booked</v>
          </cell>
          <cell r="H1489">
            <v>80</v>
          </cell>
        </row>
        <row r="1490">
          <cell r="E1490" t="str">
            <v>Sold Not Booked</v>
          </cell>
          <cell r="H1490">
            <v>100</v>
          </cell>
        </row>
        <row r="1491">
          <cell r="E1491" t="str">
            <v>Unsuccessful</v>
          </cell>
          <cell r="H1491">
            <v>0</v>
          </cell>
        </row>
        <row r="1492">
          <cell r="E1492" t="str">
            <v>Booked</v>
          </cell>
          <cell r="H1492">
            <v>80</v>
          </cell>
        </row>
        <row r="1493">
          <cell r="E1493" t="str">
            <v>Sold Not Booked</v>
          </cell>
          <cell r="H1493">
            <v>100</v>
          </cell>
        </row>
        <row r="1494">
          <cell r="E1494" t="str">
            <v>Sold Not Booked</v>
          </cell>
          <cell r="H1494">
            <v>100</v>
          </cell>
        </row>
        <row r="1495">
          <cell r="E1495" t="str">
            <v>Sold Not Booked</v>
          </cell>
          <cell r="H1495">
            <v>100</v>
          </cell>
        </row>
        <row r="1496">
          <cell r="E1496" t="str">
            <v>Unsuccessful</v>
          </cell>
          <cell r="H1496">
            <v>0</v>
          </cell>
        </row>
        <row r="1497">
          <cell r="E1497" t="str">
            <v>Sold Not Booked</v>
          </cell>
          <cell r="H1497">
            <v>100</v>
          </cell>
        </row>
        <row r="1498">
          <cell r="E1498" t="str">
            <v>Booked</v>
          </cell>
          <cell r="H1498">
            <v>80</v>
          </cell>
        </row>
        <row r="1499">
          <cell r="E1499" t="str">
            <v>Booked</v>
          </cell>
          <cell r="H1499">
            <v>80</v>
          </cell>
        </row>
        <row r="1500">
          <cell r="E1500" t="str">
            <v>Unsuccessful</v>
          </cell>
          <cell r="H1500">
            <v>0</v>
          </cell>
        </row>
        <row r="1501">
          <cell r="E1501" t="str">
            <v>Sold Not Booked</v>
          </cell>
          <cell r="H1501">
            <v>100</v>
          </cell>
        </row>
        <row r="1502">
          <cell r="E1502" t="str">
            <v>Sold Not Booked</v>
          </cell>
          <cell r="H1502">
            <v>100</v>
          </cell>
        </row>
        <row r="1503">
          <cell r="E1503" t="str">
            <v>Sold Not Booked</v>
          </cell>
          <cell r="H1503">
            <v>100</v>
          </cell>
        </row>
        <row r="1504">
          <cell r="E1504" t="str">
            <v>Sold Not Booked</v>
          </cell>
          <cell r="H1504">
            <v>100</v>
          </cell>
        </row>
        <row r="1505">
          <cell r="E1505" t="str">
            <v>Booked</v>
          </cell>
          <cell r="H1505">
            <v>80</v>
          </cell>
        </row>
        <row r="1506">
          <cell r="E1506" t="str">
            <v>Sold Not Booked</v>
          </cell>
          <cell r="H1506">
            <v>100</v>
          </cell>
        </row>
        <row r="1507">
          <cell r="E1507" t="str">
            <v>Unsuccessful</v>
          </cell>
          <cell r="H1507">
            <v>0</v>
          </cell>
        </row>
        <row r="1508">
          <cell r="E1508" t="str">
            <v>Sold Not Booked</v>
          </cell>
          <cell r="H1508">
            <v>100</v>
          </cell>
        </row>
        <row r="1509">
          <cell r="E1509" t="str">
            <v>Booked</v>
          </cell>
          <cell r="H1509">
            <v>80</v>
          </cell>
        </row>
        <row r="1510">
          <cell r="E1510" t="str">
            <v>Sold Not Booked</v>
          </cell>
          <cell r="H1510">
            <v>100</v>
          </cell>
        </row>
        <row r="1511">
          <cell r="E1511" t="str">
            <v>Booked</v>
          </cell>
          <cell r="H1511">
            <v>80</v>
          </cell>
        </row>
        <row r="1512">
          <cell r="E1512" t="str">
            <v>Sold Not Booked</v>
          </cell>
          <cell r="H1512">
            <v>100</v>
          </cell>
        </row>
        <row r="1513">
          <cell r="E1513" t="str">
            <v>Sold Not Booked</v>
          </cell>
          <cell r="H1513">
            <v>100</v>
          </cell>
        </row>
        <row r="1514">
          <cell r="E1514" t="str">
            <v>Sold Not Booked</v>
          </cell>
          <cell r="H1514">
            <v>100</v>
          </cell>
        </row>
        <row r="1515">
          <cell r="E1515" t="str">
            <v>Sold Not Booked</v>
          </cell>
          <cell r="H1515">
            <v>100</v>
          </cell>
        </row>
        <row r="1516">
          <cell r="E1516" t="str">
            <v>Booked</v>
          </cell>
          <cell r="H1516">
            <v>80</v>
          </cell>
        </row>
        <row r="1517">
          <cell r="E1517" t="str">
            <v>Sold Not Booked</v>
          </cell>
          <cell r="H1517">
            <v>100</v>
          </cell>
        </row>
        <row r="1518">
          <cell r="E1518" t="str">
            <v>Unsuccessful</v>
          </cell>
          <cell r="H1518">
            <v>0</v>
          </cell>
        </row>
        <row r="1519">
          <cell r="E1519" t="str">
            <v>Booked</v>
          </cell>
          <cell r="H1519">
            <v>80</v>
          </cell>
        </row>
        <row r="1520">
          <cell r="E1520" t="str">
            <v>Booked</v>
          </cell>
          <cell r="H1520">
            <v>80</v>
          </cell>
        </row>
        <row r="1521">
          <cell r="E1521" t="str">
            <v>Sold Not Booked</v>
          </cell>
          <cell r="H1521">
            <v>100</v>
          </cell>
        </row>
        <row r="1522">
          <cell r="E1522" t="str">
            <v>Sold Not Booked</v>
          </cell>
          <cell r="H1522">
            <v>100</v>
          </cell>
        </row>
        <row r="1523">
          <cell r="E1523" t="str">
            <v>Booked</v>
          </cell>
          <cell r="H1523">
            <v>80</v>
          </cell>
        </row>
        <row r="1524">
          <cell r="E1524" t="str">
            <v>Sold Not Booked</v>
          </cell>
          <cell r="H1524">
            <v>100</v>
          </cell>
        </row>
        <row r="1525">
          <cell r="E1525" t="str">
            <v>Sold Not Booked</v>
          </cell>
          <cell r="H1525">
            <v>100</v>
          </cell>
        </row>
        <row r="1526">
          <cell r="E1526" t="str">
            <v>Booked</v>
          </cell>
          <cell r="H1526">
            <v>80</v>
          </cell>
        </row>
        <row r="1527">
          <cell r="E1527" t="str">
            <v>Booked</v>
          </cell>
          <cell r="H1527">
            <v>80</v>
          </cell>
        </row>
        <row r="1528">
          <cell r="E1528" t="str">
            <v>Sold Not Booked</v>
          </cell>
          <cell r="H1528">
            <v>100</v>
          </cell>
        </row>
        <row r="1529">
          <cell r="E1529" t="str">
            <v>Sold Not Booked</v>
          </cell>
          <cell r="H1529">
            <v>100</v>
          </cell>
        </row>
        <row r="1530">
          <cell r="E1530" t="str">
            <v>Unsuccessful</v>
          </cell>
          <cell r="H1530">
            <v>0</v>
          </cell>
        </row>
        <row r="1531">
          <cell r="E1531" t="str">
            <v>Sold Not Booked</v>
          </cell>
          <cell r="H1531">
            <v>100</v>
          </cell>
        </row>
        <row r="1532">
          <cell r="E1532" t="str">
            <v>Booked</v>
          </cell>
          <cell r="H1532">
            <v>80</v>
          </cell>
        </row>
        <row r="1533">
          <cell r="E1533" t="str">
            <v>Sold Not Booked</v>
          </cell>
          <cell r="H1533">
            <v>100</v>
          </cell>
        </row>
        <row r="1534">
          <cell r="E1534" t="str">
            <v>Booked</v>
          </cell>
          <cell r="H1534">
            <v>80</v>
          </cell>
        </row>
        <row r="1535">
          <cell r="E1535" t="str">
            <v>Sold Not Booked</v>
          </cell>
          <cell r="H1535">
            <v>100</v>
          </cell>
        </row>
        <row r="1536">
          <cell r="E1536" t="str">
            <v>Booked</v>
          </cell>
          <cell r="H1536">
            <v>80</v>
          </cell>
        </row>
        <row r="1537">
          <cell r="E1537" t="str">
            <v>Sold Not Booked</v>
          </cell>
          <cell r="H1537">
            <v>100</v>
          </cell>
        </row>
        <row r="1538">
          <cell r="E1538" t="str">
            <v>Sold Not Booked</v>
          </cell>
          <cell r="H1538">
            <v>100</v>
          </cell>
        </row>
        <row r="1539">
          <cell r="E1539" t="str">
            <v>Sold Not Booked</v>
          </cell>
          <cell r="H1539">
            <v>100</v>
          </cell>
        </row>
        <row r="1540">
          <cell r="E1540" t="str">
            <v>Booked</v>
          </cell>
          <cell r="H1540">
            <v>80</v>
          </cell>
        </row>
        <row r="1541">
          <cell r="E1541" t="str">
            <v>Unsuccessful</v>
          </cell>
          <cell r="H1541">
            <v>0</v>
          </cell>
        </row>
        <row r="1542">
          <cell r="E1542" t="str">
            <v>Sold Not Booked</v>
          </cell>
          <cell r="H1542">
            <v>100</v>
          </cell>
        </row>
        <row r="1543">
          <cell r="E1543" t="str">
            <v>Booked</v>
          </cell>
          <cell r="H1543">
            <v>80</v>
          </cell>
        </row>
        <row r="1544">
          <cell r="E1544" t="str">
            <v>Booked</v>
          </cell>
          <cell r="H1544">
            <v>80</v>
          </cell>
        </row>
        <row r="1545">
          <cell r="E1545" t="str">
            <v>Booked</v>
          </cell>
          <cell r="H1545">
            <v>80</v>
          </cell>
        </row>
        <row r="1546">
          <cell r="E1546" t="str">
            <v>Booked</v>
          </cell>
          <cell r="H1546">
            <v>80</v>
          </cell>
        </row>
        <row r="1547">
          <cell r="E1547" t="str">
            <v>Booked</v>
          </cell>
          <cell r="H1547">
            <v>80</v>
          </cell>
        </row>
        <row r="1548">
          <cell r="E1548" t="str">
            <v>Sold Not Booked</v>
          </cell>
          <cell r="H1548">
            <v>100</v>
          </cell>
        </row>
        <row r="1549">
          <cell r="E1549" t="str">
            <v>Booked</v>
          </cell>
          <cell r="H1549">
            <v>80</v>
          </cell>
        </row>
        <row r="1550">
          <cell r="E1550" t="str">
            <v>Booked</v>
          </cell>
          <cell r="H1550">
            <v>80</v>
          </cell>
        </row>
        <row r="1551">
          <cell r="E1551" t="str">
            <v>Sold Not Booked</v>
          </cell>
          <cell r="H1551">
            <v>100</v>
          </cell>
        </row>
        <row r="1552">
          <cell r="E1552" t="str">
            <v>Sold Not Booked</v>
          </cell>
          <cell r="H1552">
            <v>100</v>
          </cell>
        </row>
        <row r="1553">
          <cell r="E1553" t="str">
            <v>Booked</v>
          </cell>
          <cell r="H1553">
            <v>80</v>
          </cell>
        </row>
        <row r="1554">
          <cell r="E1554" t="str">
            <v>Sold Not Booked</v>
          </cell>
          <cell r="H1554">
            <v>100</v>
          </cell>
        </row>
        <row r="1555">
          <cell r="E1555" t="str">
            <v>Booked</v>
          </cell>
          <cell r="H1555">
            <v>80</v>
          </cell>
        </row>
        <row r="1556">
          <cell r="E1556" t="str">
            <v>Sold Not Booked</v>
          </cell>
          <cell r="H1556">
            <v>100</v>
          </cell>
        </row>
        <row r="1557">
          <cell r="E1557" t="str">
            <v>Sold Not Booked</v>
          </cell>
          <cell r="H1557">
            <v>100</v>
          </cell>
        </row>
        <row r="1558">
          <cell r="E1558" t="str">
            <v>Sold Not Booked</v>
          </cell>
          <cell r="H1558">
            <v>100</v>
          </cell>
        </row>
        <row r="1559">
          <cell r="E1559" t="str">
            <v>Booked</v>
          </cell>
          <cell r="H1559">
            <v>80</v>
          </cell>
        </row>
        <row r="1560">
          <cell r="E1560" t="str">
            <v>Booked</v>
          </cell>
          <cell r="H1560">
            <v>80</v>
          </cell>
        </row>
        <row r="1561">
          <cell r="E1561" t="str">
            <v>Sold Not Booked</v>
          </cell>
          <cell r="H1561">
            <v>100</v>
          </cell>
        </row>
        <row r="1562">
          <cell r="E1562" t="str">
            <v>Sold Not Booked</v>
          </cell>
          <cell r="H1562">
            <v>100</v>
          </cell>
        </row>
        <row r="1563">
          <cell r="E1563" t="str">
            <v>Booked</v>
          </cell>
          <cell r="H1563">
            <v>80</v>
          </cell>
        </row>
        <row r="1564">
          <cell r="E1564" t="str">
            <v>Sold Not Booked</v>
          </cell>
          <cell r="H1564">
            <v>100</v>
          </cell>
        </row>
        <row r="1565">
          <cell r="E1565" t="str">
            <v>Sold Not Booked</v>
          </cell>
          <cell r="H1565">
            <v>100</v>
          </cell>
        </row>
        <row r="1566">
          <cell r="E1566" t="str">
            <v>Sold Not Booked</v>
          </cell>
          <cell r="H1566">
            <v>100</v>
          </cell>
        </row>
        <row r="1567">
          <cell r="E1567" t="str">
            <v>Sold Not Booked</v>
          </cell>
          <cell r="H1567">
            <v>100</v>
          </cell>
        </row>
        <row r="1568">
          <cell r="E1568" t="str">
            <v>Sold Not Booked</v>
          </cell>
          <cell r="H1568">
            <v>100</v>
          </cell>
        </row>
        <row r="1569">
          <cell r="E1569" t="str">
            <v>Booked</v>
          </cell>
          <cell r="H1569">
            <v>80</v>
          </cell>
        </row>
        <row r="1570">
          <cell r="E1570" t="str">
            <v>Sold Not Booked</v>
          </cell>
          <cell r="H1570">
            <v>100</v>
          </cell>
        </row>
        <row r="1571">
          <cell r="E1571" t="str">
            <v>Unsuccessful</v>
          </cell>
          <cell r="H1571">
            <v>0</v>
          </cell>
        </row>
        <row r="1572">
          <cell r="E1572" t="str">
            <v>Booked</v>
          </cell>
          <cell r="H1572">
            <v>80</v>
          </cell>
        </row>
        <row r="1573">
          <cell r="E1573" t="str">
            <v>Unsuccessful</v>
          </cell>
          <cell r="H1573">
            <v>0</v>
          </cell>
        </row>
        <row r="1574">
          <cell r="E1574" t="str">
            <v>Sold Not Booked</v>
          </cell>
          <cell r="H1574">
            <v>100</v>
          </cell>
        </row>
        <row r="1575">
          <cell r="E1575" t="str">
            <v>Sold Not Booked</v>
          </cell>
          <cell r="H1575">
            <v>100</v>
          </cell>
        </row>
        <row r="1576">
          <cell r="E1576" t="str">
            <v>Best Few</v>
          </cell>
          <cell r="H1576">
            <v>15</v>
          </cell>
        </row>
        <row r="1577">
          <cell r="E1577" t="str">
            <v>Unsuccessful</v>
          </cell>
          <cell r="H1577">
            <v>0</v>
          </cell>
        </row>
        <row r="1578">
          <cell r="E1578" t="str">
            <v>Above the Funnel</v>
          </cell>
          <cell r="H1578">
            <v>0</v>
          </cell>
        </row>
        <row r="1579">
          <cell r="E1579" t="str">
            <v>In the Funnel</v>
          </cell>
          <cell r="H1579">
            <v>40</v>
          </cell>
        </row>
        <row r="1580">
          <cell r="E1580" t="str">
            <v>Unsuccessful</v>
          </cell>
          <cell r="H1580">
            <v>0</v>
          </cell>
        </row>
        <row r="1581">
          <cell r="E1581" t="str">
            <v>Above the Funnel</v>
          </cell>
          <cell r="H1581">
            <v>0</v>
          </cell>
        </row>
        <row r="1582">
          <cell r="E1582" t="str">
            <v>Best Few</v>
          </cell>
          <cell r="H1582">
            <v>40</v>
          </cell>
        </row>
        <row r="1583">
          <cell r="E1583" t="str">
            <v>Above the Funnel</v>
          </cell>
          <cell r="H1583">
            <v>0</v>
          </cell>
        </row>
        <row r="1584">
          <cell r="E1584" t="str">
            <v>In the Funnel</v>
          </cell>
          <cell r="H1584">
            <v>40</v>
          </cell>
        </row>
        <row r="1585">
          <cell r="E1585" t="str">
            <v>Unsuccessful</v>
          </cell>
          <cell r="H1585">
            <v>0</v>
          </cell>
        </row>
        <row r="1586">
          <cell r="E1586" t="str">
            <v>Best Few</v>
          </cell>
          <cell r="H1586">
            <v>40</v>
          </cell>
        </row>
        <row r="1587">
          <cell r="E1587" t="str">
            <v>In the Funnel</v>
          </cell>
          <cell r="H1587">
            <v>40</v>
          </cell>
        </row>
        <row r="1588">
          <cell r="E1588" t="str">
            <v>Above the Funnel</v>
          </cell>
          <cell r="H1588">
            <v>0</v>
          </cell>
        </row>
        <row r="1589">
          <cell r="E1589" t="str">
            <v>Best Few</v>
          </cell>
          <cell r="H1589">
            <v>15</v>
          </cell>
        </row>
        <row r="1590">
          <cell r="E1590" t="str">
            <v>In the Funnel</v>
          </cell>
          <cell r="H1590">
            <v>40</v>
          </cell>
        </row>
        <row r="1591">
          <cell r="E1591" t="str">
            <v>Unsuccessful</v>
          </cell>
          <cell r="H1591">
            <v>0</v>
          </cell>
        </row>
        <row r="1592">
          <cell r="E1592" t="str">
            <v>In the Funnel</v>
          </cell>
          <cell r="H1592">
            <v>40</v>
          </cell>
        </row>
        <row r="1593">
          <cell r="E1593" t="str">
            <v>Best Few</v>
          </cell>
          <cell r="H1593">
            <v>40</v>
          </cell>
        </row>
        <row r="1594">
          <cell r="E1594" t="str">
            <v>Best Few</v>
          </cell>
          <cell r="H1594">
            <v>40</v>
          </cell>
        </row>
        <row r="1595">
          <cell r="E1595" t="str">
            <v>In the Funnel</v>
          </cell>
          <cell r="H1595">
            <v>40</v>
          </cell>
        </row>
        <row r="1596">
          <cell r="E1596" t="str">
            <v>In the Funnel</v>
          </cell>
          <cell r="H1596">
            <v>40</v>
          </cell>
        </row>
        <row r="1597">
          <cell r="E1597" t="str">
            <v>In the Funnel</v>
          </cell>
          <cell r="H1597">
            <v>40</v>
          </cell>
        </row>
        <row r="1598">
          <cell r="E1598" t="str">
            <v>Above the Funnel</v>
          </cell>
          <cell r="H1598">
            <v>0</v>
          </cell>
        </row>
        <row r="1599">
          <cell r="E1599" t="str">
            <v>In the Funnel</v>
          </cell>
          <cell r="H1599">
            <v>40</v>
          </cell>
        </row>
        <row r="1600">
          <cell r="E1600" t="str">
            <v>In the Funnel</v>
          </cell>
          <cell r="H1600">
            <v>40</v>
          </cell>
        </row>
        <row r="1601">
          <cell r="E1601" t="str">
            <v>In the Funnel</v>
          </cell>
          <cell r="H1601">
            <v>40</v>
          </cell>
        </row>
        <row r="1602">
          <cell r="E1602" t="str">
            <v>In the Funnel</v>
          </cell>
          <cell r="H1602">
            <v>40</v>
          </cell>
        </row>
        <row r="1603">
          <cell r="E1603" t="str">
            <v>Above the Funnel</v>
          </cell>
          <cell r="H1603">
            <v>0</v>
          </cell>
        </row>
        <row r="1604">
          <cell r="E1604" t="str">
            <v>Above the Funnel</v>
          </cell>
          <cell r="H1604">
            <v>0</v>
          </cell>
        </row>
        <row r="1605">
          <cell r="E1605" t="str">
            <v>In the Funnel</v>
          </cell>
          <cell r="H1605">
            <v>40</v>
          </cell>
        </row>
        <row r="1606">
          <cell r="E1606" t="str">
            <v>Above the Funnel</v>
          </cell>
          <cell r="H1606">
            <v>0</v>
          </cell>
        </row>
        <row r="1607">
          <cell r="E1607" t="str">
            <v>Best Few</v>
          </cell>
          <cell r="H1607">
            <v>15</v>
          </cell>
        </row>
        <row r="1608">
          <cell r="E1608" t="str">
            <v>Best Few</v>
          </cell>
          <cell r="H1608">
            <v>40</v>
          </cell>
        </row>
        <row r="1609">
          <cell r="E1609" t="str">
            <v>Best Few</v>
          </cell>
          <cell r="H1609">
            <v>40</v>
          </cell>
        </row>
        <row r="1610">
          <cell r="E1610" t="str">
            <v>In the Funnel</v>
          </cell>
          <cell r="H1610">
            <v>40</v>
          </cell>
        </row>
        <row r="1611">
          <cell r="E1611" t="str">
            <v>Best Few</v>
          </cell>
          <cell r="H1611">
            <v>15</v>
          </cell>
        </row>
        <row r="1612">
          <cell r="E1612" t="str">
            <v>Best Few</v>
          </cell>
          <cell r="H1612">
            <v>15</v>
          </cell>
        </row>
        <row r="1613">
          <cell r="E1613" t="str">
            <v>Unsuccessful</v>
          </cell>
          <cell r="H1613">
            <v>0</v>
          </cell>
        </row>
        <row r="1614">
          <cell r="E1614" t="str">
            <v>Above the Funnel</v>
          </cell>
          <cell r="H1614">
            <v>0</v>
          </cell>
        </row>
        <row r="1615">
          <cell r="E1615" t="str">
            <v>In the Funnel</v>
          </cell>
          <cell r="H1615">
            <v>40</v>
          </cell>
        </row>
        <row r="1616">
          <cell r="E1616" t="str">
            <v>In the Funnel</v>
          </cell>
          <cell r="H1616">
            <v>40</v>
          </cell>
        </row>
        <row r="1617">
          <cell r="E1617" t="str">
            <v>Above the Funnel</v>
          </cell>
          <cell r="H1617">
            <v>0</v>
          </cell>
        </row>
        <row r="1618">
          <cell r="E1618" t="str">
            <v>In the Funnel</v>
          </cell>
          <cell r="H1618">
            <v>40</v>
          </cell>
        </row>
        <row r="1619">
          <cell r="E1619" t="str">
            <v>Best Few</v>
          </cell>
          <cell r="H1619">
            <v>40</v>
          </cell>
        </row>
        <row r="1620">
          <cell r="E1620" t="str">
            <v>In the Funnel</v>
          </cell>
          <cell r="H1620">
            <v>40</v>
          </cell>
        </row>
        <row r="1621">
          <cell r="E1621" t="str">
            <v>Above the Funnel</v>
          </cell>
          <cell r="H1621">
            <v>0</v>
          </cell>
        </row>
        <row r="1622">
          <cell r="E1622" t="str">
            <v>Above the Funnel</v>
          </cell>
          <cell r="H1622">
            <v>0</v>
          </cell>
        </row>
        <row r="1623">
          <cell r="E1623" t="str">
            <v>Above the Funnel</v>
          </cell>
          <cell r="H1623">
            <v>0</v>
          </cell>
        </row>
        <row r="1624">
          <cell r="E1624" t="str">
            <v>In the Funnel</v>
          </cell>
          <cell r="H1624">
            <v>40</v>
          </cell>
        </row>
        <row r="1625">
          <cell r="E1625" t="str">
            <v>Above the Funnel</v>
          </cell>
          <cell r="H1625">
            <v>0</v>
          </cell>
        </row>
        <row r="1626">
          <cell r="E1626" t="str">
            <v>Above the Funnel</v>
          </cell>
          <cell r="H1626">
            <v>0</v>
          </cell>
        </row>
        <row r="1627">
          <cell r="E1627" t="str">
            <v>Best Few</v>
          </cell>
          <cell r="H1627">
            <v>15</v>
          </cell>
        </row>
        <row r="1628">
          <cell r="E1628" t="str">
            <v>Above the Funnel</v>
          </cell>
          <cell r="H1628">
            <v>0</v>
          </cell>
        </row>
        <row r="1629">
          <cell r="E1629" t="str">
            <v>Above the Funnel</v>
          </cell>
          <cell r="H1629">
            <v>0</v>
          </cell>
        </row>
        <row r="1630">
          <cell r="E1630" t="str">
            <v>Above the Funnel</v>
          </cell>
          <cell r="H1630">
            <v>0</v>
          </cell>
        </row>
        <row r="1631">
          <cell r="E1631" t="str">
            <v>Best Few</v>
          </cell>
          <cell r="H1631">
            <v>40</v>
          </cell>
        </row>
        <row r="1632">
          <cell r="E1632" t="str">
            <v>Best Few</v>
          </cell>
          <cell r="H1632">
            <v>40</v>
          </cell>
        </row>
        <row r="1633">
          <cell r="E1633" t="str">
            <v>In the Funnel</v>
          </cell>
          <cell r="H1633">
            <v>40</v>
          </cell>
        </row>
        <row r="1634">
          <cell r="E1634" t="str">
            <v>Above the Funnel</v>
          </cell>
          <cell r="H1634">
            <v>0</v>
          </cell>
        </row>
        <row r="1635">
          <cell r="E1635" t="str">
            <v>Above the Funnel</v>
          </cell>
          <cell r="H1635">
            <v>0</v>
          </cell>
        </row>
        <row r="1636">
          <cell r="E1636" t="str">
            <v>Above the Funnel</v>
          </cell>
          <cell r="H1636">
            <v>0</v>
          </cell>
        </row>
        <row r="1637">
          <cell r="E1637" t="str">
            <v>Above the Funnel</v>
          </cell>
          <cell r="H1637">
            <v>0</v>
          </cell>
        </row>
        <row r="1638">
          <cell r="E1638" t="str">
            <v>Best Few</v>
          </cell>
          <cell r="H1638">
            <v>15</v>
          </cell>
        </row>
        <row r="1639">
          <cell r="E1639" t="str">
            <v>Best Few</v>
          </cell>
          <cell r="H1639">
            <v>15</v>
          </cell>
        </row>
        <row r="1640">
          <cell r="E1640" t="str">
            <v>Above the Funnel</v>
          </cell>
          <cell r="H1640">
            <v>0</v>
          </cell>
        </row>
        <row r="1641">
          <cell r="E1641" t="str">
            <v>Above the Funnel</v>
          </cell>
          <cell r="H1641">
            <v>0</v>
          </cell>
        </row>
        <row r="1642">
          <cell r="E1642" t="str">
            <v>Unsuccessful</v>
          </cell>
          <cell r="H1642">
            <v>0</v>
          </cell>
        </row>
        <row r="1643">
          <cell r="E1643" t="str">
            <v>Above the Funnel</v>
          </cell>
          <cell r="H1643">
            <v>0</v>
          </cell>
        </row>
        <row r="1644">
          <cell r="E1644" t="str">
            <v>Above the Funnel</v>
          </cell>
          <cell r="H1644">
            <v>0</v>
          </cell>
        </row>
        <row r="1645">
          <cell r="E1645" t="str">
            <v>Best Few</v>
          </cell>
          <cell r="H1645">
            <v>15</v>
          </cell>
        </row>
        <row r="1646">
          <cell r="E1646" t="str">
            <v>Unsuccessful</v>
          </cell>
          <cell r="H1646">
            <v>0</v>
          </cell>
        </row>
        <row r="1647">
          <cell r="E1647" t="str">
            <v>Above the Funnel</v>
          </cell>
          <cell r="H1647">
            <v>0</v>
          </cell>
        </row>
        <row r="1648">
          <cell r="E1648" t="str">
            <v>Best Few</v>
          </cell>
          <cell r="H1648">
            <v>15</v>
          </cell>
        </row>
        <row r="1649">
          <cell r="E1649" t="str">
            <v>Best Few</v>
          </cell>
          <cell r="H1649">
            <v>40</v>
          </cell>
        </row>
        <row r="1650">
          <cell r="E1650" t="str">
            <v>Unsuccessful</v>
          </cell>
          <cell r="H1650">
            <v>0</v>
          </cell>
        </row>
        <row r="1651">
          <cell r="E1651" t="str">
            <v>Above the Funnel</v>
          </cell>
          <cell r="H1651">
            <v>0</v>
          </cell>
        </row>
        <row r="1652">
          <cell r="E1652" t="str">
            <v>Above the Funnel</v>
          </cell>
          <cell r="H1652">
            <v>0</v>
          </cell>
        </row>
        <row r="1653">
          <cell r="E1653" t="str">
            <v>Above the Funnel</v>
          </cell>
          <cell r="H1653">
            <v>0</v>
          </cell>
        </row>
        <row r="1654">
          <cell r="E1654" t="str">
            <v>Unsuccessful</v>
          </cell>
          <cell r="H1654">
            <v>0</v>
          </cell>
        </row>
        <row r="1655">
          <cell r="E1655" t="str">
            <v>Unsuccessful</v>
          </cell>
          <cell r="H1655">
            <v>0</v>
          </cell>
        </row>
        <row r="1656">
          <cell r="E1656" t="str">
            <v>Unsuccessful</v>
          </cell>
          <cell r="H1656">
            <v>0</v>
          </cell>
        </row>
        <row r="1657">
          <cell r="E1657" t="str">
            <v>Unsuccessful</v>
          </cell>
          <cell r="H1657">
            <v>0</v>
          </cell>
        </row>
        <row r="1658">
          <cell r="E1658" t="str">
            <v>Unsuccessful</v>
          </cell>
          <cell r="H1658">
            <v>0</v>
          </cell>
        </row>
        <row r="1659">
          <cell r="E1659" t="str">
            <v>Unsuccessful</v>
          </cell>
          <cell r="H1659">
            <v>0</v>
          </cell>
        </row>
        <row r="1660">
          <cell r="E1660" t="str">
            <v>Unsuccessful</v>
          </cell>
          <cell r="H1660">
            <v>0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7BF0-74C1-4E97-B26C-FE653C6C5635}">
  <dimension ref="A1:D36"/>
  <sheetViews>
    <sheetView workbookViewId="0">
      <selection activeCell="B31" sqref="B31:B36"/>
    </sheetView>
  </sheetViews>
  <sheetFormatPr defaultColWidth="8.90625" defaultRowHeight="12.5" x14ac:dyDescent="0.25"/>
  <cols>
    <col min="1" max="1" width="36.90625" style="2" bestFit="1" customWidth="1"/>
    <col min="2" max="2" width="18.08984375" style="2" bestFit="1" customWidth="1"/>
    <col min="3" max="3" width="76" style="2" customWidth="1"/>
    <col min="4" max="4" width="88.453125" style="2" bestFit="1" customWidth="1"/>
    <col min="5" max="16384" width="8.90625" style="2"/>
  </cols>
  <sheetData>
    <row r="1" spans="1:4" s="15" customFormat="1" ht="17.399999999999999" customHeight="1" x14ac:dyDescent="0.35">
      <c r="A1" s="13" t="s">
        <v>4733</v>
      </c>
      <c r="B1" s="13" t="s">
        <v>4734</v>
      </c>
      <c r="C1" s="13" t="s">
        <v>4735</v>
      </c>
      <c r="D1" s="14" t="s">
        <v>4736</v>
      </c>
    </row>
    <row r="2" spans="1:4" s="6" customFormat="1" ht="30.65" customHeight="1" x14ac:dyDescent="0.3">
      <c r="A2" s="3" t="s">
        <v>0</v>
      </c>
      <c r="B2" s="3" t="s">
        <v>4737</v>
      </c>
      <c r="C2" s="4" t="s">
        <v>4738</v>
      </c>
      <c r="D2" s="5" t="s">
        <v>4739</v>
      </c>
    </row>
    <row r="3" spans="1:4" s="6" customFormat="1" ht="30.65" customHeight="1" x14ac:dyDescent="0.3">
      <c r="A3" s="3" t="s">
        <v>1</v>
      </c>
      <c r="B3" s="3" t="s">
        <v>4737</v>
      </c>
      <c r="C3" s="4" t="s">
        <v>4740</v>
      </c>
      <c r="D3" s="5" t="s">
        <v>4741</v>
      </c>
    </row>
    <row r="4" spans="1:4" s="6" customFormat="1" ht="30.65" customHeight="1" x14ac:dyDescent="0.3">
      <c r="A4" s="3" t="s">
        <v>2</v>
      </c>
      <c r="B4" s="3" t="s">
        <v>4737</v>
      </c>
      <c r="C4" s="4" t="s">
        <v>4742</v>
      </c>
      <c r="D4" s="7"/>
    </row>
    <row r="5" spans="1:4" s="6" customFormat="1" ht="30.65" customHeight="1" x14ac:dyDescent="0.3">
      <c r="A5" s="3" t="s">
        <v>3</v>
      </c>
      <c r="B5" s="3" t="s">
        <v>4737</v>
      </c>
      <c r="C5" s="4" t="s">
        <v>4743</v>
      </c>
      <c r="D5" s="7"/>
    </row>
    <row r="6" spans="1:4" s="6" customFormat="1" ht="30.65" customHeight="1" x14ac:dyDescent="0.3">
      <c r="A6" s="3" t="s">
        <v>4</v>
      </c>
      <c r="B6" s="3" t="s">
        <v>4737</v>
      </c>
      <c r="C6" s="4" t="s">
        <v>4744</v>
      </c>
      <c r="D6" s="7" t="s">
        <v>4745</v>
      </c>
    </row>
    <row r="7" spans="1:4" s="6" customFormat="1" ht="30.65" customHeight="1" x14ac:dyDescent="0.3">
      <c r="A7" s="3" t="s">
        <v>4746</v>
      </c>
      <c r="B7" s="3" t="s">
        <v>4737</v>
      </c>
      <c r="C7" s="4" t="s">
        <v>4747</v>
      </c>
      <c r="D7" s="7"/>
    </row>
    <row r="8" spans="1:4" s="6" customFormat="1" ht="30.65" customHeight="1" x14ac:dyDescent="0.3">
      <c r="A8" s="3" t="s">
        <v>5</v>
      </c>
      <c r="B8" s="3" t="s">
        <v>4748</v>
      </c>
      <c r="C8" s="4" t="s">
        <v>4749</v>
      </c>
      <c r="D8" s="7" t="s">
        <v>4750</v>
      </c>
    </row>
    <row r="9" spans="1:4" s="6" customFormat="1" ht="30.65" customHeight="1" x14ac:dyDescent="0.3">
      <c r="A9" s="3" t="s">
        <v>6</v>
      </c>
      <c r="B9" s="3" t="s">
        <v>4737</v>
      </c>
      <c r="C9" s="4" t="s">
        <v>4751</v>
      </c>
      <c r="D9" s="7"/>
    </row>
    <row r="10" spans="1:4" s="6" customFormat="1" ht="30.65" customHeight="1" x14ac:dyDescent="0.3">
      <c r="A10" s="3" t="s">
        <v>7</v>
      </c>
      <c r="B10" s="3" t="s">
        <v>4752</v>
      </c>
      <c r="C10" s="4" t="s">
        <v>4753</v>
      </c>
      <c r="D10" s="7"/>
    </row>
    <row r="11" spans="1:4" s="6" customFormat="1" ht="30.65" customHeight="1" x14ac:dyDescent="0.3">
      <c r="A11" s="3" t="s">
        <v>4754</v>
      </c>
      <c r="B11" s="3" t="s">
        <v>4737</v>
      </c>
      <c r="C11" s="4" t="s">
        <v>4755</v>
      </c>
      <c r="D11" s="7"/>
    </row>
    <row r="12" spans="1:4" s="6" customFormat="1" ht="28" x14ac:dyDescent="0.3">
      <c r="A12" s="3" t="s">
        <v>8</v>
      </c>
      <c r="B12" s="3" t="s">
        <v>4748</v>
      </c>
      <c r="C12" s="4" t="s">
        <v>4756</v>
      </c>
      <c r="D12" s="7"/>
    </row>
    <row r="13" spans="1:4" s="6" customFormat="1" ht="30.65" customHeight="1" x14ac:dyDescent="0.3">
      <c r="A13" s="3" t="s">
        <v>9</v>
      </c>
      <c r="B13" s="3" t="s">
        <v>4737</v>
      </c>
      <c r="C13" s="4" t="s">
        <v>4757</v>
      </c>
      <c r="D13" s="7"/>
    </row>
    <row r="14" spans="1:4" s="6" customFormat="1" ht="30.65" customHeight="1" x14ac:dyDescent="0.3">
      <c r="A14" s="3" t="s">
        <v>10</v>
      </c>
      <c r="B14" s="3" t="s">
        <v>4758</v>
      </c>
      <c r="C14" s="4" t="s">
        <v>4759</v>
      </c>
      <c r="D14" s="7"/>
    </row>
    <row r="15" spans="1:4" s="6" customFormat="1" ht="30.65" customHeight="1" x14ac:dyDescent="0.3">
      <c r="A15" s="3" t="s">
        <v>11</v>
      </c>
      <c r="B15" s="3" t="s">
        <v>4758</v>
      </c>
      <c r="C15" s="4" t="s">
        <v>4760</v>
      </c>
      <c r="D15" s="7"/>
    </row>
    <row r="16" spans="1:4" s="6" customFormat="1" ht="30.65" customHeight="1" x14ac:dyDescent="0.3">
      <c r="A16" s="3" t="s">
        <v>12</v>
      </c>
      <c r="B16" s="3" t="s">
        <v>4758</v>
      </c>
      <c r="C16" s="4" t="s">
        <v>4761</v>
      </c>
      <c r="D16" s="7"/>
    </row>
    <row r="17" spans="1:4" s="6" customFormat="1" ht="30.65" customHeight="1" x14ac:dyDescent="0.3">
      <c r="A17" s="3" t="s">
        <v>13</v>
      </c>
      <c r="B17" s="3" t="s">
        <v>4737</v>
      </c>
      <c r="C17" s="4" t="s">
        <v>4762</v>
      </c>
      <c r="D17" s="7"/>
    </row>
    <row r="18" spans="1:4" s="6" customFormat="1" ht="30.65" customHeight="1" x14ac:dyDescent="0.3">
      <c r="A18" s="3" t="s">
        <v>14</v>
      </c>
      <c r="B18" s="3" t="s">
        <v>4737</v>
      </c>
      <c r="C18" s="4" t="s">
        <v>4763</v>
      </c>
      <c r="D18" s="7"/>
    </row>
    <row r="19" spans="1:4" s="6" customFormat="1" ht="30.65" customHeight="1" x14ac:dyDescent="0.3">
      <c r="A19" s="3" t="s">
        <v>15</v>
      </c>
      <c r="B19" s="3" t="s">
        <v>4737</v>
      </c>
      <c r="C19" s="4" t="s">
        <v>4764</v>
      </c>
      <c r="D19" s="7"/>
    </row>
    <row r="22" spans="1:4" ht="19.25" customHeight="1" x14ac:dyDescent="0.25">
      <c r="A22" s="8" t="s">
        <v>4765</v>
      </c>
    </row>
    <row r="23" spans="1:4" ht="19.75" customHeight="1" x14ac:dyDescent="0.35">
      <c r="A23" s="9" t="s">
        <v>4766</v>
      </c>
    </row>
    <row r="24" spans="1:4" ht="19.75" customHeight="1" x14ac:dyDescent="0.35">
      <c r="A24" s="9" t="s">
        <v>4767</v>
      </c>
    </row>
    <row r="25" spans="1:4" ht="19.75" customHeight="1" x14ac:dyDescent="0.35">
      <c r="A25" s="9" t="s">
        <v>4768</v>
      </c>
    </row>
    <row r="26" spans="1:4" ht="19.75" customHeight="1" x14ac:dyDescent="0.35">
      <c r="A26" s="9" t="s">
        <v>4769</v>
      </c>
    </row>
    <row r="30" spans="1:4" ht="14" x14ac:dyDescent="0.25">
      <c r="A30" s="10" t="s">
        <v>4770</v>
      </c>
      <c r="B30" s="10" t="s">
        <v>4771</v>
      </c>
      <c r="C30" s="10" t="s">
        <v>4772</v>
      </c>
      <c r="D30" s="11" t="s">
        <v>4773</v>
      </c>
    </row>
    <row r="31" spans="1:4" x14ac:dyDescent="0.25">
      <c r="A31" s="12">
        <v>1</v>
      </c>
      <c r="B31" s="12" t="s">
        <v>212</v>
      </c>
      <c r="C31" s="12">
        <f>_xlfn.XLOOKUP(B31,'[1]Raw Data Final'!E:E,'[1]Raw Data Final'!H:H)</f>
        <v>100</v>
      </c>
      <c r="D31" s="12" t="str">
        <f>_xlfn.XLOOKUP(B31,'[1]Raw File_with Unknown OID'!E:E,'[1]Raw File_with Unknown OID'!G:G)</f>
        <v>Won</v>
      </c>
    </row>
    <row r="32" spans="1:4" x14ac:dyDescent="0.25">
      <c r="A32" s="12">
        <v>2</v>
      </c>
      <c r="B32" s="12" t="s">
        <v>205</v>
      </c>
      <c r="C32" s="12">
        <f>_xlfn.XLOOKUP(B32,'[1]Raw Data Final'!E:E,'[1]Raw Data Final'!H:H)</f>
        <v>80</v>
      </c>
      <c r="D32" s="12" t="str">
        <f>_xlfn.XLOOKUP(B32,'[1]Raw File_with Unknown OID'!E:E,'[1]Raw File_with Unknown OID'!G:G)</f>
        <v>Won</v>
      </c>
    </row>
    <row r="33" spans="1:4" x14ac:dyDescent="0.25">
      <c r="A33" s="12">
        <v>3</v>
      </c>
      <c r="B33" s="12" t="s">
        <v>1002</v>
      </c>
      <c r="C33" s="12">
        <f>_xlfn.XLOOKUP(B33,'[1]Raw Data Final'!E:E,'[1]Raw Data Final'!H:H)</f>
        <v>40</v>
      </c>
      <c r="D33" s="12" t="str">
        <f>_xlfn.XLOOKUP(B33,'[1]Raw File_with Unknown OID'!E:E,'[1]Raw File_with Unknown OID'!G:G)</f>
        <v>Open</v>
      </c>
    </row>
    <row r="34" spans="1:4" x14ac:dyDescent="0.25">
      <c r="A34" s="12">
        <v>4</v>
      </c>
      <c r="B34" s="12" t="s">
        <v>994</v>
      </c>
      <c r="C34" s="12">
        <f>_xlfn.XLOOKUP(B34,'[1]Raw Data Final'!E:E,'[1]Raw Data Final'!H:H)</f>
        <v>15</v>
      </c>
      <c r="D34" s="12" t="str">
        <f>_xlfn.XLOOKUP(B34,'[1]Raw File_with Unknown OID'!E:E,'[1]Raw File_with Unknown OID'!G:G)</f>
        <v>Open</v>
      </c>
    </row>
    <row r="35" spans="1:4" x14ac:dyDescent="0.25">
      <c r="A35" s="12">
        <v>5</v>
      </c>
      <c r="B35" s="12" t="s">
        <v>1006</v>
      </c>
      <c r="C35" s="12">
        <f>_xlfn.XLOOKUP(B35,'[1]Raw Data Final'!E:E,'[1]Raw Data Final'!H:H)</f>
        <v>0</v>
      </c>
      <c r="D35" s="12" t="str">
        <f>_xlfn.XLOOKUP(B35,'[1]Raw File_with Unknown OID'!E:E,'[1]Raw File_with Unknown OID'!G:G)</f>
        <v>Open</v>
      </c>
    </row>
    <row r="36" spans="1:4" x14ac:dyDescent="0.25">
      <c r="A36" s="12">
        <v>6</v>
      </c>
      <c r="B36" s="12" t="s">
        <v>21</v>
      </c>
      <c r="C36" s="12">
        <f>_xlfn.XLOOKUP(B36,'[1]Raw Data Final'!E:E,'[1]Raw Data Final'!H:H)</f>
        <v>0</v>
      </c>
      <c r="D36" s="12" t="str">
        <f>_xlfn.XLOOKUP(B36,'[1]Raw File_with Unknown OID'!E:E,'[1]Raw File_with Unknown OID'!G:G)</f>
        <v>Lost</v>
      </c>
    </row>
  </sheetData>
  <autoFilter ref="A30:C30" xr:uid="{5D7F77C5-5FA7-4B61-94F3-1DDEC528C2FD}">
    <sortState xmlns:xlrd2="http://schemas.microsoft.com/office/spreadsheetml/2017/richdata2" ref="A31:C36">
      <sortCondition ref="A3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403F0-E043-4263-B1C7-18115E4A4E46}">
  <dimension ref="A1:Q1668"/>
  <sheetViews>
    <sheetView topLeftCell="B96" workbookViewId="0">
      <selection activeCell="A3" sqref="A3"/>
    </sheetView>
  </sheetViews>
  <sheetFormatPr defaultColWidth="8.90625" defaultRowHeight="12.5" x14ac:dyDescent="0.25"/>
  <cols>
    <col min="1" max="1" width="16.36328125" style="2" bestFit="1" customWidth="1"/>
    <col min="2" max="2" width="108.90625" style="2" bestFit="1" customWidth="1"/>
    <col min="3" max="3" width="15.08984375" style="2" bestFit="1" customWidth="1"/>
    <col min="4" max="4" width="13.36328125" style="2" bestFit="1" customWidth="1"/>
    <col min="5" max="5" width="16.6328125" style="2" bestFit="1" customWidth="1"/>
    <col min="6" max="6" width="30.81640625" style="2" bestFit="1" customWidth="1"/>
    <col min="7" max="7" width="7.1796875" style="2" bestFit="1" customWidth="1"/>
    <col min="8" max="8" width="15.54296875" style="2" bestFit="1" customWidth="1"/>
    <col min="9" max="9" width="30.54296875" style="2" bestFit="1" customWidth="1"/>
    <col min="10" max="10" width="9.6328125" style="2" bestFit="1" customWidth="1"/>
    <col min="11" max="11" width="14.36328125" style="2" bestFit="1" customWidth="1"/>
    <col min="12" max="12" width="33.90625" style="2" bestFit="1" customWidth="1"/>
    <col min="13" max="13" width="17.1796875" style="2" bestFit="1" customWidth="1"/>
    <col min="14" max="14" width="48.08984375" style="2" bestFit="1" customWidth="1"/>
    <col min="15" max="15" width="20" style="2" bestFit="1" customWidth="1"/>
    <col min="16" max="16" width="14.54296875" style="2" bestFit="1" customWidth="1"/>
    <col min="17" max="17" width="14.81640625" style="2" bestFit="1" customWidth="1"/>
    <col min="18" max="16384" width="8.90625" style="2"/>
  </cols>
  <sheetData>
    <row r="1" spans="1:17" ht="22.25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8" t="s">
        <v>5</v>
      </c>
      <c r="G1" s="17" t="s">
        <v>6</v>
      </c>
      <c r="H1" s="17" t="s">
        <v>7</v>
      </c>
      <c r="I1" s="18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</row>
    <row r="2" spans="1:17" x14ac:dyDescent="0.25">
      <c r="A2" s="12" t="s">
        <v>17</v>
      </c>
      <c r="B2" s="12" t="s">
        <v>18</v>
      </c>
      <c r="C2" s="12" t="s">
        <v>19</v>
      </c>
      <c r="D2" s="12" t="s">
        <v>20</v>
      </c>
      <c r="E2" s="12" t="s">
        <v>21</v>
      </c>
      <c r="F2" s="12">
        <v>149.94999999999999</v>
      </c>
      <c r="G2" s="12" t="s">
        <v>22</v>
      </c>
      <c r="H2" s="12">
        <v>0</v>
      </c>
      <c r="I2" s="12">
        <v>0</v>
      </c>
      <c r="J2" s="12" t="s">
        <v>23</v>
      </c>
      <c r="K2" s="19">
        <v>43846</v>
      </c>
      <c r="L2" s="19">
        <v>43848</v>
      </c>
      <c r="M2" s="19">
        <v>43848</v>
      </c>
      <c r="N2" s="12" t="s">
        <v>24</v>
      </c>
      <c r="O2" s="12" t="s">
        <v>25</v>
      </c>
      <c r="P2" s="12" t="s">
        <v>26</v>
      </c>
      <c r="Q2" s="2">
        <f t="shared" ref="Q2:Q65" si="0">COUNTIF($A$2:$A$1778,A2)</f>
        <v>1</v>
      </c>
    </row>
    <row r="3" spans="1:17" x14ac:dyDescent="0.25">
      <c r="A3" s="12" t="s">
        <v>28</v>
      </c>
      <c r="B3" s="12" t="s">
        <v>29</v>
      </c>
      <c r="C3" s="12" t="s">
        <v>30</v>
      </c>
      <c r="D3" s="12" t="s">
        <v>31</v>
      </c>
      <c r="E3" s="12" t="s">
        <v>21</v>
      </c>
      <c r="F3" s="12">
        <v>583.35799999999995</v>
      </c>
      <c r="G3" s="12" t="s">
        <v>22</v>
      </c>
      <c r="H3" s="12">
        <v>0</v>
      </c>
      <c r="I3" s="12">
        <v>0</v>
      </c>
      <c r="J3" s="12" t="s">
        <v>23</v>
      </c>
      <c r="K3" s="19">
        <v>43905</v>
      </c>
      <c r="L3" s="19">
        <v>43908</v>
      </c>
      <c r="M3" s="19">
        <v>43908</v>
      </c>
      <c r="N3" s="12" t="s">
        <v>32</v>
      </c>
      <c r="O3" s="12" t="s">
        <v>33</v>
      </c>
      <c r="P3" s="12" t="s">
        <v>34</v>
      </c>
      <c r="Q3" s="2">
        <f t="shared" si="0"/>
        <v>1</v>
      </c>
    </row>
    <row r="4" spans="1:17" x14ac:dyDescent="0.25">
      <c r="A4" s="12" t="s">
        <v>36</v>
      </c>
      <c r="B4" s="12" t="s">
        <v>37</v>
      </c>
      <c r="C4" s="12" t="s">
        <v>19</v>
      </c>
      <c r="D4" s="12" t="s">
        <v>38</v>
      </c>
      <c r="E4" s="12" t="s">
        <v>21</v>
      </c>
      <c r="F4" s="12">
        <v>2.5019999999999998</v>
      </c>
      <c r="G4" s="12" t="s">
        <v>22</v>
      </c>
      <c r="H4" s="12">
        <v>0</v>
      </c>
      <c r="I4" s="12">
        <v>0</v>
      </c>
      <c r="J4" s="12" t="s">
        <v>23</v>
      </c>
      <c r="K4" s="19">
        <v>43945</v>
      </c>
      <c r="L4" s="19">
        <v>43946</v>
      </c>
      <c r="M4" s="19">
        <v>43946</v>
      </c>
      <c r="N4" s="12" t="s">
        <v>39</v>
      </c>
      <c r="O4" s="12" t="s">
        <v>40</v>
      </c>
      <c r="P4" s="12" t="s">
        <v>34</v>
      </c>
      <c r="Q4" s="2">
        <f t="shared" si="0"/>
        <v>1</v>
      </c>
    </row>
    <row r="5" spans="1:17" x14ac:dyDescent="0.25">
      <c r="A5" s="12" t="s">
        <v>42</v>
      </c>
      <c r="B5" s="12" t="s">
        <v>43</v>
      </c>
      <c r="C5" s="12" t="s">
        <v>19</v>
      </c>
      <c r="D5" s="12" t="s">
        <v>44</v>
      </c>
      <c r="E5" s="12" t="s">
        <v>21</v>
      </c>
      <c r="F5" s="12">
        <v>1000.95</v>
      </c>
      <c r="G5" s="12" t="s">
        <v>22</v>
      </c>
      <c r="H5" s="12">
        <v>0</v>
      </c>
      <c r="I5" s="12">
        <v>0</v>
      </c>
      <c r="J5" s="12" t="s">
        <v>23</v>
      </c>
      <c r="K5" s="19">
        <v>43952</v>
      </c>
      <c r="L5" s="19">
        <v>43954</v>
      </c>
      <c r="M5" s="19">
        <v>43954</v>
      </c>
      <c r="N5" s="12" t="s">
        <v>45</v>
      </c>
      <c r="O5" s="12" t="s">
        <v>46</v>
      </c>
      <c r="P5" s="12" t="s">
        <v>47</v>
      </c>
      <c r="Q5" s="2">
        <f t="shared" si="0"/>
        <v>1</v>
      </c>
    </row>
    <row r="6" spans="1:17" x14ac:dyDescent="0.25">
      <c r="A6" s="12" t="s">
        <v>49</v>
      </c>
      <c r="B6" s="12" t="s">
        <v>50</v>
      </c>
      <c r="C6" s="12" t="s">
        <v>19</v>
      </c>
      <c r="D6" s="12" t="s">
        <v>51</v>
      </c>
      <c r="E6" s="12" t="s">
        <v>21</v>
      </c>
      <c r="F6" s="12">
        <v>1252.6020000000001</v>
      </c>
      <c r="G6" s="12" t="s">
        <v>22</v>
      </c>
      <c r="H6" s="12">
        <v>0</v>
      </c>
      <c r="I6" s="12">
        <v>0</v>
      </c>
      <c r="J6" s="12" t="s">
        <v>52</v>
      </c>
      <c r="K6" s="19">
        <v>44133</v>
      </c>
      <c r="L6" s="19">
        <v>44136</v>
      </c>
      <c r="M6" s="19">
        <v>44136</v>
      </c>
      <c r="N6" s="12" t="s">
        <v>53</v>
      </c>
      <c r="O6" s="12" t="s">
        <v>54</v>
      </c>
      <c r="P6" s="12" t="s">
        <v>26</v>
      </c>
      <c r="Q6" s="2">
        <f t="shared" si="0"/>
        <v>1</v>
      </c>
    </row>
    <row r="7" spans="1:17" x14ac:dyDescent="0.25">
      <c r="A7" s="12" t="s">
        <v>56</v>
      </c>
      <c r="B7" s="12" t="s">
        <v>57</v>
      </c>
      <c r="C7" s="12" t="s">
        <v>19</v>
      </c>
      <c r="D7" s="12" t="s">
        <v>58</v>
      </c>
      <c r="E7" s="12" t="s">
        <v>21</v>
      </c>
      <c r="F7" s="12">
        <v>242.54599999999999</v>
      </c>
      <c r="G7" s="12" t="s">
        <v>22</v>
      </c>
      <c r="H7" s="12">
        <v>0</v>
      </c>
      <c r="I7" s="12">
        <v>0</v>
      </c>
      <c r="J7" s="12" t="s">
        <v>23</v>
      </c>
      <c r="K7" s="19">
        <v>44018</v>
      </c>
      <c r="L7" s="19">
        <v>44021</v>
      </c>
      <c r="M7" s="19">
        <v>44021</v>
      </c>
      <c r="N7" s="12" t="s">
        <v>45</v>
      </c>
      <c r="O7" s="12" t="s">
        <v>46</v>
      </c>
      <c r="P7" s="12" t="s">
        <v>47</v>
      </c>
      <c r="Q7" s="2">
        <f t="shared" si="0"/>
        <v>1</v>
      </c>
    </row>
    <row r="8" spans="1:17" x14ac:dyDescent="0.25">
      <c r="A8" s="12" t="s">
        <v>60</v>
      </c>
      <c r="B8" s="12" t="s">
        <v>61</v>
      </c>
      <c r="C8" s="12" t="s">
        <v>19</v>
      </c>
      <c r="D8" s="12" t="s">
        <v>62</v>
      </c>
      <c r="E8" s="12" t="s">
        <v>21</v>
      </c>
      <c r="F8" s="12">
        <v>176.494</v>
      </c>
      <c r="G8" s="12" t="s">
        <v>22</v>
      </c>
      <c r="H8" s="12">
        <v>0</v>
      </c>
      <c r="I8" s="12">
        <v>0</v>
      </c>
      <c r="J8" s="12" t="s">
        <v>23</v>
      </c>
      <c r="K8" s="19">
        <v>44033</v>
      </c>
      <c r="L8" s="19">
        <v>44035</v>
      </c>
      <c r="M8" s="19">
        <v>44035</v>
      </c>
      <c r="N8" s="12" t="s">
        <v>63</v>
      </c>
      <c r="O8" s="12" t="s">
        <v>46</v>
      </c>
      <c r="P8" s="12" t="s">
        <v>47</v>
      </c>
      <c r="Q8" s="2">
        <f t="shared" si="0"/>
        <v>1</v>
      </c>
    </row>
    <row r="9" spans="1:17" x14ac:dyDescent="0.25">
      <c r="A9" s="12" t="s">
        <v>65</v>
      </c>
      <c r="B9" s="12" t="s">
        <v>66</v>
      </c>
      <c r="C9" s="12" t="s">
        <v>30</v>
      </c>
      <c r="D9" s="12" t="s">
        <v>58</v>
      </c>
      <c r="E9" s="12" t="s">
        <v>21</v>
      </c>
      <c r="F9" s="12">
        <v>34.751999999999988</v>
      </c>
      <c r="G9" s="12" t="s">
        <v>22</v>
      </c>
      <c r="H9" s="12">
        <v>0</v>
      </c>
      <c r="I9" s="12">
        <v>0</v>
      </c>
      <c r="J9" s="12" t="s">
        <v>23</v>
      </c>
      <c r="K9" s="19">
        <v>44076</v>
      </c>
      <c r="L9" s="19">
        <v>44079</v>
      </c>
      <c r="M9" s="19">
        <v>44079</v>
      </c>
      <c r="N9" s="12" t="s">
        <v>39</v>
      </c>
      <c r="O9" s="12" t="s">
        <v>67</v>
      </c>
      <c r="P9" s="12" t="s">
        <v>68</v>
      </c>
      <c r="Q9" s="2">
        <f t="shared" si="0"/>
        <v>1</v>
      </c>
    </row>
    <row r="10" spans="1:17" x14ac:dyDescent="0.25">
      <c r="A10" s="12" t="s">
        <v>70</v>
      </c>
      <c r="B10" s="12" t="s">
        <v>71</v>
      </c>
      <c r="C10" s="12" t="s">
        <v>30</v>
      </c>
      <c r="D10" s="12" t="s">
        <v>20</v>
      </c>
      <c r="E10" s="12" t="s">
        <v>21</v>
      </c>
      <c r="F10" s="12">
        <v>72.69</v>
      </c>
      <c r="G10" s="12" t="s">
        <v>22</v>
      </c>
      <c r="H10" s="12">
        <v>0</v>
      </c>
      <c r="I10" s="12">
        <v>0</v>
      </c>
      <c r="J10" s="12" t="s">
        <v>23</v>
      </c>
      <c r="K10" s="19">
        <v>44077</v>
      </c>
      <c r="L10" s="19">
        <v>44078</v>
      </c>
      <c r="M10" s="19">
        <v>44078</v>
      </c>
      <c r="N10" s="12" t="s">
        <v>45</v>
      </c>
      <c r="O10" s="12" t="s">
        <v>72</v>
      </c>
      <c r="P10" s="12" t="s">
        <v>73</v>
      </c>
      <c r="Q10" s="2">
        <f t="shared" si="0"/>
        <v>1</v>
      </c>
    </row>
    <row r="11" spans="1:17" x14ac:dyDescent="0.25">
      <c r="A11" s="12" t="s">
        <v>75</v>
      </c>
      <c r="B11" s="12" t="s">
        <v>76</v>
      </c>
      <c r="C11" s="12" t="s">
        <v>30</v>
      </c>
      <c r="D11" s="12" t="s">
        <v>77</v>
      </c>
      <c r="E11" s="12" t="s">
        <v>21</v>
      </c>
      <c r="F11" s="12">
        <v>21.24</v>
      </c>
      <c r="G11" s="12" t="s">
        <v>22</v>
      </c>
      <c r="H11" s="12">
        <v>0</v>
      </c>
      <c r="I11" s="12">
        <v>0</v>
      </c>
      <c r="J11" s="12" t="s">
        <v>23</v>
      </c>
      <c r="K11" s="19">
        <v>44077</v>
      </c>
      <c r="L11" s="19">
        <v>44079</v>
      </c>
      <c r="M11" s="19">
        <v>44079</v>
      </c>
      <c r="N11" s="12" t="s">
        <v>32</v>
      </c>
      <c r="O11" s="12" t="s">
        <v>67</v>
      </c>
      <c r="P11" s="12" t="s">
        <v>68</v>
      </c>
      <c r="Q11" s="2">
        <f t="shared" si="0"/>
        <v>1</v>
      </c>
    </row>
    <row r="12" spans="1:17" x14ac:dyDescent="0.25">
      <c r="A12" s="12" t="s">
        <v>79</v>
      </c>
      <c r="B12" s="12" t="s">
        <v>80</v>
      </c>
      <c r="C12" s="12" t="s">
        <v>19</v>
      </c>
      <c r="D12" s="12" t="s">
        <v>81</v>
      </c>
      <c r="E12" s="12" t="s">
        <v>21</v>
      </c>
      <c r="F12" s="12">
        <v>31.984000000000002</v>
      </c>
      <c r="G12" s="12" t="s">
        <v>22</v>
      </c>
      <c r="H12" s="12">
        <v>0</v>
      </c>
      <c r="I12" s="12">
        <v>0</v>
      </c>
      <c r="J12" s="12" t="s">
        <v>23</v>
      </c>
      <c r="K12" s="19">
        <v>44080</v>
      </c>
      <c r="L12" s="19">
        <v>44082</v>
      </c>
      <c r="M12" s="19">
        <v>44082</v>
      </c>
      <c r="N12" s="12" t="s">
        <v>45</v>
      </c>
      <c r="O12" s="12" t="s">
        <v>82</v>
      </c>
      <c r="P12" s="12" t="s">
        <v>47</v>
      </c>
      <c r="Q12" s="2">
        <f t="shared" si="0"/>
        <v>1</v>
      </c>
    </row>
    <row r="13" spans="1:17" x14ac:dyDescent="0.25">
      <c r="A13" s="12" t="s">
        <v>84</v>
      </c>
      <c r="B13" s="12" t="s">
        <v>85</v>
      </c>
      <c r="C13" s="12" t="s">
        <v>30</v>
      </c>
      <c r="D13" s="12" t="s">
        <v>86</v>
      </c>
      <c r="E13" s="12" t="s">
        <v>21</v>
      </c>
      <c r="F13" s="12">
        <v>69.989999999999995</v>
      </c>
      <c r="G13" s="12" t="s">
        <v>22</v>
      </c>
      <c r="H13" s="12">
        <v>0</v>
      </c>
      <c r="I13" s="12">
        <v>0</v>
      </c>
      <c r="J13" s="12" t="s">
        <v>23</v>
      </c>
      <c r="K13" s="19">
        <v>44087</v>
      </c>
      <c r="L13" s="19">
        <v>44088</v>
      </c>
      <c r="M13" s="19">
        <v>44088</v>
      </c>
      <c r="N13" s="12" t="s">
        <v>63</v>
      </c>
      <c r="O13" s="12" t="s">
        <v>40</v>
      </c>
      <c r="P13" s="12" t="s">
        <v>34</v>
      </c>
      <c r="Q13" s="2">
        <f t="shared" si="0"/>
        <v>1</v>
      </c>
    </row>
    <row r="14" spans="1:17" x14ac:dyDescent="0.25">
      <c r="A14" s="12" t="s">
        <v>88</v>
      </c>
      <c r="B14" s="12" t="s">
        <v>89</v>
      </c>
      <c r="C14" s="12" t="s">
        <v>30</v>
      </c>
      <c r="D14" s="12" t="s">
        <v>51</v>
      </c>
      <c r="E14" s="12" t="s">
        <v>21</v>
      </c>
      <c r="F14" s="12">
        <v>3519.369999999999</v>
      </c>
      <c r="G14" s="12" t="s">
        <v>22</v>
      </c>
      <c r="H14" s="12">
        <v>0</v>
      </c>
      <c r="I14" s="12">
        <v>0</v>
      </c>
      <c r="J14" s="12" t="s">
        <v>23</v>
      </c>
      <c r="K14" s="19">
        <v>44095</v>
      </c>
      <c r="L14" s="19">
        <v>44098</v>
      </c>
      <c r="M14" s="19">
        <v>44098</v>
      </c>
      <c r="N14" s="12" t="s">
        <v>32</v>
      </c>
      <c r="O14" s="12" t="s">
        <v>46</v>
      </c>
      <c r="P14" s="12" t="s">
        <v>47</v>
      </c>
      <c r="Q14" s="2">
        <f t="shared" si="0"/>
        <v>1</v>
      </c>
    </row>
    <row r="15" spans="1:17" x14ac:dyDescent="0.25">
      <c r="A15" s="12" t="s">
        <v>91</v>
      </c>
      <c r="B15" s="12" t="s">
        <v>92</v>
      </c>
      <c r="C15" s="12" t="s">
        <v>30</v>
      </c>
      <c r="D15" s="12" t="s">
        <v>31</v>
      </c>
      <c r="E15" s="12" t="s">
        <v>21</v>
      </c>
      <c r="F15" s="12">
        <v>32.159999999999997</v>
      </c>
      <c r="G15" s="12" t="s">
        <v>22</v>
      </c>
      <c r="H15" s="12">
        <v>0</v>
      </c>
      <c r="I15" s="12">
        <v>0</v>
      </c>
      <c r="J15" s="12" t="s">
        <v>23</v>
      </c>
      <c r="K15" s="19">
        <v>44096</v>
      </c>
      <c r="L15" s="19">
        <v>44099</v>
      </c>
      <c r="M15" s="19">
        <v>44099</v>
      </c>
      <c r="N15" s="12" t="s">
        <v>63</v>
      </c>
      <c r="O15" s="12" t="s">
        <v>82</v>
      </c>
      <c r="P15" s="12" t="s">
        <v>47</v>
      </c>
      <c r="Q15" s="2">
        <f t="shared" si="0"/>
        <v>1</v>
      </c>
    </row>
    <row r="16" spans="1:17" x14ac:dyDescent="0.25">
      <c r="A16" s="12" t="s">
        <v>94</v>
      </c>
      <c r="B16" s="12" t="s">
        <v>95</v>
      </c>
      <c r="C16" s="12" t="s">
        <v>19</v>
      </c>
      <c r="D16" s="12" t="s">
        <v>96</v>
      </c>
      <c r="E16" s="12" t="s">
        <v>21</v>
      </c>
      <c r="F16" s="12">
        <v>44.34</v>
      </c>
      <c r="G16" s="12" t="s">
        <v>22</v>
      </c>
      <c r="H16" s="12">
        <v>0</v>
      </c>
      <c r="I16" s="12">
        <v>0</v>
      </c>
      <c r="J16" s="12" t="s">
        <v>23</v>
      </c>
      <c r="K16" s="19">
        <v>44098</v>
      </c>
      <c r="L16" s="19">
        <v>44100</v>
      </c>
      <c r="M16" s="19">
        <v>44100</v>
      </c>
      <c r="N16" s="12" t="s">
        <v>53</v>
      </c>
      <c r="O16" s="12" t="s">
        <v>97</v>
      </c>
      <c r="P16" s="12" t="s">
        <v>68</v>
      </c>
      <c r="Q16" s="2">
        <f t="shared" si="0"/>
        <v>1</v>
      </c>
    </row>
    <row r="17" spans="1:17" x14ac:dyDescent="0.25">
      <c r="A17" s="12" t="s">
        <v>99</v>
      </c>
      <c r="B17" s="12" t="s">
        <v>100</v>
      </c>
      <c r="C17" s="12" t="s">
        <v>19</v>
      </c>
      <c r="D17" s="12" t="s">
        <v>96</v>
      </c>
      <c r="E17" s="12" t="s">
        <v>21</v>
      </c>
      <c r="F17" s="12">
        <v>25.951999999999998</v>
      </c>
      <c r="G17" s="12" t="s">
        <v>22</v>
      </c>
      <c r="H17" s="12">
        <v>0</v>
      </c>
      <c r="I17" s="12">
        <v>0</v>
      </c>
      <c r="J17" s="12" t="s">
        <v>101</v>
      </c>
      <c r="K17" s="19">
        <v>44068</v>
      </c>
      <c r="L17" s="19">
        <v>44070</v>
      </c>
      <c r="M17" s="19">
        <v>44070</v>
      </c>
      <c r="N17" s="12" t="s">
        <v>63</v>
      </c>
      <c r="O17" s="12" t="s">
        <v>46</v>
      </c>
      <c r="P17" s="12" t="s">
        <v>47</v>
      </c>
      <c r="Q17" s="2">
        <f t="shared" si="0"/>
        <v>1</v>
      </c>
    </row>
    <row r="18" spans="1:17" x14ac:dyDescent="0.25">
      <c r="A18" s="12" t="s">
        <v>103</v>
      </c>
      <c r="B18" s="12" t="s">
        <v>104</v>
      </c>
      <c r="C18" s="12" t="s">
        <v>19</v>
      </c>
      <c r="D18" s="12" t="s">
        <v>105</v>
      </c>
      <c r="E18" s="12" t="s">
        <v>21</v>
      </c>
      <c r="F18" s="12">
        <v>20.736000000000001</v>
      </c>
      <c r="G18" s="12" t="s">
        <v>22</v>
      </c>
      <c r="H18" s="12">
        <v>0</v>
      </c>
      <c r="I18" s="12">
        <v>0</v>
      </c>
      <c r="J18" s="12" t="s">
        <v>23</v>
      </c>
      <c r="K18" s="19">
        <v>44150</v>
      </c>
      <c r="L18" s="19">
        <v>44151</v>
      </c>
      <c r="M18" s="19">
        <v>44151</v>
      </c>
      <c r="N18" s="12" t="s">
        <v>24</v>
      </c>
      <c r="O18" s="12" t="s">
        <v>33</v>
      </c>
      <c r="P18" s="12" t="s">
        <v>34</v>
      </c>
      <c r="Q18" s="2">
        <f t="shared" si="0"/>
        <v>1</v>
      </c>
    </row>
    <row r="19" spans="1:17" x14ac:dyDescent="0.25">
      <c r="A19" s="12" t="s">
        <v>107</v>
      </c>
      <c r="B19" s="12" t="s">
        <v>108</v>
      </c>
      <c r="C19" s="12" t="s">
        <v>30</v>
      </c>
      <c r="D19" s="12" t="s">
        <v>51</v>
      </c>
      <c r="E19" s="12" t="s">
        <v>21</v>
      </c>
      <c r="F19" s="12">
        <v>9.9600000000000009</v>
      </c>
      <c r="G19" s="12" t="s">
        <v>22</v>
      </c>
      <c r="H19" s="12">
        <v>0</v>
      </c>
      <c r="I19" s="12">
        <v>0</v>
      </c>
      <c r="J19" s="12" t="s">
        <v>23</v>
      </c>
      <c r="K19" s="19">
        <v>44158</v>
      </c>
      <c r="L19" s="19">
        <v>44161</v>
      </c>
      <c r="M19" s="19">
        <v>44161</v>
      </c>
      <c r="N19" s="12" t="s">
        <v>63</v>
      </c>
      <c r="O19" s="12" t="s">
        <v>40</v>
      </c>
      <c r="P19" s="12" t="s">
        <v>34</v>
      </c>
      <c r="Q19" s="2">
        <f t="shared" si="0"/>
        <v>1</v>
      </c>
    </row>
    <row r="20" spans="1:17" x14ac:dyDescent="0.25">
      <c r="A20" s="12" t="s">
        <v>110</v>
      </c>
      <c r="B20" s="12" t="s">
        <v>111</v>
      </c>
      <c r="C20" s="12" t="s">
        <v>30</v>
      </c>
      <c r="D20" s="12" t="s">
        <v>38</v>
      </c>
      <c r="E20" s="12" t="s">
        <v>21</v>
      </c>
      <c r="F20" s="12">
        <v>1037.19</v>
      </c>
      <c r="G20" s="12" t="s">
        <v>22</v>
      </c>
      <c r="H20" s="12">
        <v>0</v>
      </c>
      <c r="I20" s="12">
        <v>0</v>
      </c>
      <c r="J20" s="12" t="s">
        <v>23</v>
      </c>
      <c r="K20" s="19">
        <v>44159</v>
      </c>
      <c r="L20" s="19">
        <v>44161</v>
      </c>
      <c r="M20" s="19">
        <v>44161</v>
      </c>
      <c r="N20" s="12" t="s">
        <v>32</v>
      </c>
      <c r="O20" s="12" t="s">
        <v>40</v>
      </c>
      <c r="P20" s="12" t="s">
        <v>34</v>
      </c>
      <c r="Q20" s="2">
        <f t="shared" si="0"/>
        <v>1</v>
      </c>
    </row>
    <row r="21" spans="1:17" x14ac:dyDescent="0.25">
      <c r="A21" s="12" t="s">
        <v>113</v>
      </c>
      <c r="B21" s="12" t="s">
        <v>114</v>
      </c>
      <c r="C21" s="12" t="s">
        <v>30</v>
      </c>
      <c r="D21" s="12" t="s">
        <v>115</v>
      </c>
      <c r="E21" s="12" t="s">
        <v>21</v>
      </c>
      <c r="F21" s="12">
        <v>183.60999999999902</v>
      </c>
      <c r="G21" s="12" t="s">
        <v>22</v>
      </c>
      <c r="H21" s="12">
        <v>0</v>
      </c>
      <c r="I21" s="12">
        <v>0</v>
      </c>
      <c r="J21" s="12" t="s">
        <v>23</v>
      </c>
      <c r="K21" s="19">
        <v>44164</v>
      </c>
      <c r="L21" s="19">
        <v>44167</v>
      </c>
      <c r="M21" s="19">
        <v>44167</v>
      </c>
      <c r="N21" s="12" t="s">
        <v>53</v>
      </c>
      <c r="O21" s="12" t="s">
        <v>54</v>
      </c>
      <c r="P21" s="12" t="s">
        <v>26</v>
      </c>
      <c r="Q21" s="2">
        <f t="shared" si="0"/>
        <v>1</v>
      </c>
    </row>
    <row r="22" spans="1:17" x14ac:dyDescent="0.25">
      <c r="A22" s="12" t="s">
        <v>117</v>
      </c>
      <c r="B22" s="12" t="s">
        <v>118</v>
      </c>
      <c r="C22" s="12" t="s">
        <v>19</v>
      </c>
      <c r="D22" s="12" t="s">
        <v>119</v>
      </c>
      <c r="E22" s="12" t="s">
        <v>21</v>
      </c>
      <c r="F22" s="12">
        <v>8.64</v>
      </c>
      <c r="G22" s="12" t="s">
        <v>22</v>
      </c>
      <c r="H22" s="12">
        <v>0</v>
      </c>
      <c r="I22" s="12">
        <v>0</v>
      </c>
      <c r="J22" s="12" t="s">
        <v>23</v>
      </c>
      <c r="K22" s="19">
        <v>44173</v>
      </c>
      <c r="L22" s="19">
        <v>44176</v>
      </c>
      <c r="M22" s="19">
        <v>44176</v>
      </c>
      <c r="N22" s="12" t="s">
        <v>32</v>
      </c>
      <c r="O22" s="12" t="s">
        <v>54</v>
      </c>
      <c r="P22" s="12" t="s">
        <v>26</v>
      </c>
      <c r="Q22" s="2">
        <f t="shared" si="0"/>
        <v>1</v>
      </c>
    </row>
    <row r="23" spans="1:17" x14ac:dyDescent="0.25">
      <c r="A23" s="12" t="s">
        <v>121</v>
      </c>
      <c r="B23" s="12" t="s">
        <v>122</v>
      </c>
      <c r="C23" s="12" t="s">
        <v>19</v>
      </c>
      <c r="D23" s="12" t="s">
        <v>38</v>
      </c>
      <c r="E23" s="12" t="s">
        <v>21</v>
      </c>
      <c r="F23" s="12">
        <v>247.78399999999999</v>
      </c>
      <c r="G23" s="12" t="s">
        <v>22</v>
      </c>
      <c r="H23" s="12">
        <v>0</v>
      </c>
      <c r="I23" s="12">
        <v>0</v>
      </c>
      <c r="J23" s="12" t="s">
        <v>23</v>
      </c>
      <c r="K23" s="19">
        <v>44175</v>
      </c>
      <c r="L23" s="19">
        <v>44177</v>
      </c>
      <c r="M23" s="19">
        <v>44177</v>
      </c>
      <c r="N23" s="12" t="s">
        <v>39</v>
      </c>
      <c r="O23" s="12" t="s">
        <v>97</v>
      </c>
      <c r="P23" s="12" t="s">
        <v>68</v>
      </c>
      <c r="Q23" s="2">
        <f t="shared" si="0"/>
        <v>1</v>
      </c>
    </row>
    <row r="24" spans="1:17" x14ac:dyDescent="0.25">
      <c r="A24" s="12" t="s">
        <v>124</v>
      </c>
      <c r="B24" s="12" t="s">
        <v>125</v>
      </c>
      <c r="C24" s="12" t="s">
        <v>19</v>
      </c>
      <c r="D24" s="12" t="s">
        <v>126</v>
      </c>
      <c r="E24" s="12" t="s">
        <v>21</v>
      </c>
      <c r="F24" s="12">
        <v>832.13799999999992</v>
      </c>
      <c r="G24" s="12" t="s">
        <v>22</v>
      </c>
      <c r="H24" s="12">
        <v>0</v>
      </c>
      <c r="I24" s="12">
        <v>0</v>
      </c>
      <c r="J24" s="12" t="s">
        <v>23</v>
      </c>
      <c r="K24" s="19">
        <v>44185</v>
      </c>
      <c r="L24" s="19">
        <v>44187</v>
      </c>
      <c r="M24" s="19">
        <v>44187</v>
      </c>
      <c r="N24" s="12" t="s">
        <v>24</v>
      </c>
      <c r="O24" s="12" t="s">
        <v>40</v>
      </c>
      <c r="P24" s="12" t="s">
        <v>34</v>
      </c>
      <c r="Q24" s="2">
        <f t="shared" si="0"/>
        <v>1</v>
      </c>
    </row>
    <row r="25" spans="1:17" x14ac:dyDescent="0.25">
      <c r="A25" s="12" t="s">
        <v>128</v>
      </c>
      <c r="B25" s="12" t="s">
        <v>129</v>
      </c>
      <c r="C25" s="12" t="s">
        <v>30</v>
      </c>
      <c r="D25" s="12" t="s">
        <v>96</v>
      </c>
      <c r="E25" s="12" t="s">
        <v>21</v>
      </c>
      <c r="F25" s="12">
        <v>596.66399999999999</v>
      </c>
      <c r="G25" s="12" t="s">
        <v>22</v>
      </c>
      <c r="H25" s="12">
        <v>0</v>
      </c>
      <c r="I25" s="12">
        <v>0</v>
      </c>
      <c r="J25" s="12" t="s">
        <v>23</v>
      </c>
      <c r="K25" s="19">
        <v>44186</v>
      </c>
      <c r="L25" s="19">
        <v>44188</v>
      </c>
      <c r="M25" s="19">
        <v>44188</v>
      </c>
      <c r="N25" s="12" t="s">
        <v>45</v>
      </c>
      <c r="O25" s="12" t="s">
        <v>82</v>
      </c>
      <c r="P25" s="12" t="s">
        <v>47</v>
      </c>
      <c r="Q25" s="2">
        <f t="shared" si="0"/>
        <v>1</v>
      </c>
    </row>
    <row r="26" spans="1:17" x14ac:dyDescent="0.25">
      <c r="A26" s="12" t="s">
        <v>131</v>
      </c>
      <c r="B26" s="12" t="s">
        <v>132</v>
      </c>
      <c r="C26" s="12" t="s">
        <v>30</v>
      </c>
      <c r="D26" s="12" t="s">
        <v>96</v>
      </c>
      <c r="E26" s="12" t="s">
        <v>21</v>
      </c>
      <c r="F26" s="12">
        <v>30.36</v>
      </c>
      <c r="G26" s="12" t="s">
        <v>22</v>
      </c>
      <c r="H26" s="12">
        <v>0</v>
      </c>
      <c r="I26" s="12">
        <v>0</v>
      </c>
      <c r="J26" s="12" t="s">
        <v>23</v>
      </c>
      <c r="K26" s="19">
        <v>44190</v>
      </c>
      <c r="L26" s="19">
        <v>44192</v>
      </c>
      <c r="M26" s="19">
        <v>44192</v>
      </c>
      <c r="N26" s="12" t="s">
        <v>63</v>
      </c>
      <c r="O26" s="12" t="s">
        <v>25</v>
      </c>
      <c r="P26" s="12" t="s">
        <v>26</v>
      </c>
      <c r="Q26" s="2">
        <f t="shared" si="0"/>
        <v>1</v>
      </c>
    </row>
    <row r="27" spans="1:17" x14ac:dyDescent="0.25">
      <c r="A27" s="12" t="s">
        <v>134</v>
      </c>
      <c r="B27" s="12" t="s">
        <v>135</v>
      </c>
      <c r="C27" s="12" t="s">
        <v>30</v>
      </c>
      <c r="D27" s="12" t="s">
        <v>105</v>
      </c>
      <c r="E27" s="12" t="s">
        <v>21</v>
      </c>
      <c r="F27" s="12">
        <v>4.9839999999999902</v>
      </c>
      <c r="G27" s="12" t="s">
        <v>22</v>
      </c>
      <c r="H27" s="12">
        <v>0</v>
      </c>
      <c r="I27" s="12">
        <v>0</v>
      </c>
      <c r="J27" s="12" t="s">
        <v>23</v>
      </c>
      <c r="K27" s="19">
        <v>44193</v>
      </c>
      <c r="L27" s="19">
        <v>44196</v>
      </c>
      <c r="M27" s="19">
        <v>44196</v>
      </c>
      <c r="N27" s="12" t="s">
        <v>63</v>
      </c>
      <c r="O27" s="12" t="s">
        <v>25</v>
      </c>
      <c r="P27" s="12" t="s">
        <v>26</v>
      </c>
      <c r="Q27" s="2">
        <f t="shared" si="0"/>
        <v>1</v>
      </c>
    </row>
    <row r="28" spans="1:17" x14ac:dyDescent="0.25">
      <c r="A28" s="12" t="s">
        <v>137</v>
      </c>
      <c r="B28" s="12" t="s">
        <v>138</v>
      </c>
      <c r="C28" s="12" t="s">
        <v>19</v>
      </c>
      <c r="D28" s="12" t="s">
        <v>139</v>
      </c>
      <c r="E28" s="12" t="s">
        <v>21</v>
      </c>
      <c r="F28" s="12">
        <v>177.17000000000002</v>
      </c>
      <c r="G28" s="12" t="s">
        <v>22</v>
      </c>
      <c r="H28" s="12">
        <v>0</v>
      </c>
      <c r="I28" s="12">
        <v>0</v>
      </c>
      <c r="J28" s="12" t="s">
        <v>23</v>
      </c>
      <c r="K28" s="19">
        <v>44197</v>
      </c>
      <c r="L28" s="19">
        <v>44200</v>
      </c>
      <c r="M28" s="19">
        <v>44200</v>
      </c>
      <c r="N28" s="12" t="s">
        <v>53</v>
      </c>
      <c r="O28" s="12" t="s">
        <v>54</v>
      </c>
      <c r="P28" s="12" t="s">
        <v>26</v>
      </c>
      <c r="Q28" s="2">
        <f t="shared" si="0"/>
        <v>1</v>
      </c>
    </row>
    <row r="29" spans="1:17" x14ac:dyDescent="0.25">
      <c r="A29" s="12" t="s">
        <v>141</v>
      </c>
      <c r="B29" s="12" t="s">
        <v>142</v>
      </c>
      <c r="C29" s="12" t="s">
        <v>19</v>
      </c>
      <c r="D29" s="12" t="s">
        <v>105</v>
      </c>
      <c r="E29" s="12" t="s">
        <v>21</v>
      </c>
      <c r="F29" s="12">
        <v>20.451000000000001</v>
      </c>
      <c r="G29" s="12" t="s">
        <v>22</v>
      </c>
      <c r="H29" s="12">
        <v>0</v>
      </c>
      <c r="I29" s="12">
        <v>0</v>
      </c>
      <c r="J29" s="12" t="s">
        <v>23</v>
      </c>
      <c r="K29" s="19">
        <v>44255</v>
      </c>
      <c r="L29" s="19">
        <v>44256</v>
      </c>
      <c r="M29" s="19">
        <v>44256</v>
      </c>
      <c r="N29" s="12" t="s">
        <v>53</v>
      </c>
      <c r="O29" s="12" t="s">
        <v>54</v>
      </c>
      <c r="P29" s="12" t="s">
        <v>26</v>
      </c>
      <c r="Q29" s="2">
        <f t="shared" si="0"/>
        <v>1</v>
      </c>
    </row>
    <row r="30" spans="1:17" x14ac:dyDescent="0.25">
      <c r="A30" s="12" t="s">
        <v>144</v>
      </c>
      <c r="B30" s="12" t="s">
        <v>145</v>
      </c>
      <c r="C30" s="12" t="s">
        <v>30</v>
      </c>
      <c r="D30" s="12" t="s">
        <v>139</v>
      </c>
      <c r="E30" s="12" t="s">
        <v>21</v>
      </c>
      <c r="F30" s="12">
        <v>1283.3263999999999</v>
      </c>
      <c r="G30" s="12" t="s">
        <v>22</v>
      </c>
      <c r="H30" s="12">
        <v>0</v>
      </c>
      <c r="I30" s="12">
        <v>0</v>
      </c>
      <c r="J30" s="12" t="s">
        <v>23</v>
      </c>
      <c r="K30" s="19">
        <v>44257</v>
      </c>
      <c r="L30" s="19">
        <v>44260</v>
      </c>
      <c r="M30" s="19">
        <v>44260</v>
      </c>
      <c r="N30" s="12" t="s">
        <v>39</v>
      </c>
      <c r="O30" s="12" t="s">
        <v>146</v>
      </c>
      <c r="P30" s="12" t="s">
        <v>73</v>
      </c>
      <c r="Q30" s="2">
        <f t="shared" si="0"/>
        <v>1</v>
      </c>
    </row>
    <row r="31" spans="1:17" x14ac:dyDescent="0.25">
      <c r="A31" s="12" t="s">
        <v>148</v>
      </c>
      <c r="B31" s="12" t="s">
        <v>149</v>
      </c>
      <c r="C31" s="12" t="s">
        <v>30</v>
      </c>
      <c r="D31" s="12" t="s">
        <v>150</v>
      </c>
      <c r="E31" s="12" t="s">
        <v>21</v>
      </c>
      <c r="F31" s="12">
        <v>449.0496</v>
      </c>
      <c r="G31" s="12" t="s">
        <v>22</v>
      </c>
      <c r="H31" s="12">
        <v>0</v>
      </c>
      <c r="I31" s="12">
        <v>0</v>
      </c>
      <c r="J31" s="12" t="s">
        <v>23</v>
      </c>
      <c r="K31" s="19">
        <v>44275</v>
      </c>
      <c r="L31" s="19">
        <v>44278</v>
      </c>
      <c r="M31" s="19">
        <v>44278</v>
      </c>
      <c r="N31" s="12" t="s">
        <v>24</v>
      </c>
      <c r="O31" s="12" t="s">
        <v>97</v>
      </c>
      <c r="P31" s="12" t="s">
        <v>68</v>
      </c>
      <c r="Q31" s="2">
        <f t="shared" si="0"/>
        <v>1</v>
      </c>
    </row>
    <row r="32" spans="1:17" x14ac:dyDescent="0.25">
      <c r="A32" s="12" t="s">
        <v>152</v>
      </c>
      <c r="B32" s="12" t="s">
        <v>153</v>
      </c>
      <c r="C32" s="12" t="s">
        <v>19</v>
      </c>
      <c r="D32" s="12" t="s">
        <v>154</v>
      </c>
      <c r="E32" s="12" t="s">
        <v>21</v>
      </c>
      <c r="F32" s="12">
        <v>1445.674</v>
      </c>
      <c r="G32" s="12" t="s">
        <v>22</v>
      </c>
      <c r="H32" s="12">
        <v>0</v>
      </c>
      <c r="I32" s="12">
        <v>0</v>
      </c>
      <c r="J32" s="12" t="s">
        <v>23</v>
      </c>
      <c r="K32" s="19">
        <v>44276</v>
      </c>
      <c r="L32" s="19">
        <v>44279</v>
      </c>
      <c r="M32" s="19">
        <v>44279</v>
      </c>
      <c r="N32" s="12" t="s">
        <v>63</v>
      </c>
      <c r="O32" s="12" t="s">
        <v>146</v>
      </c>
      <c r="P32" s="12" t="s">
        <v>73</v>
      </c>
      <c r="Q32" s="2">
        <f t="shared" si="0"/>
        <v>1</v>
      </c>
    </row>
    <row r="33" spans="1:17" x14ac:dyDescent="0.25">
      <c r="A33" s="12" t="s">
        <v>156</v>
      </c>
      <c r="B33" s="12" t="s">
        <v>157</v>
      </c>
      <c r="C33" s="12" t="s">
        <v>30</v>
      </c>
      <c r="D33" s="12" t="s">
        <v>62</v>
      </c>
      <c r="E33" s="12" t="s">
        <v>21</v>
      </c>
      <c r="F33" s="12">
        <v>460.84399999999994</v>
      </c>
      <c r="G33" s="12" t="s">
        <v>22</v>
      </c>
      <c r="H33" s="12">
        <v>0</v>
      </c>
      <c r="I33" s="12">
        <v>0</v>
      </c>
      <c r="J33" s="12" t="s">
        <v>23</v>
      </c>
      <c r="K33" s="19">
        <v>44320</v>
      </c>
      <c r="L33" s="19">
        <v>44323</v>
      </c>
      <c r="M33" s="19">
        <v>44323</v>
      </c>
      <c r="N33" s="12" t="s">
        <v>45</v>
      </c>
      <c r="O33" s="12" t="s">
        <v>97</v>
      </c>
      <c r="P33" s="12" t="s">
        <v>68</v>
      </c>
      <c r="Q33" s="2">
        <f t="shared" si="0"/>
        <v>1</v>
      </c>
    </row>
    <row r="34" spans="1:17" x14ac:dyDescent="0.25">
      <c r="A34" s="12" t="s">
        <v>159</v>
      </c>
      <c r="B34" s="12" t="s">
        <v>160</v>
      </c>
      <c r="C34" s="12" t="s">
        <v>19</v>
      </c>
      <c r="D34" s="12" t="s">
        <v>105</v>
      </c>
      <c r="E34" s="12" t="s">
        <v>21</v>
      </c>
      <c r="F34" s="12">
        <v>570.49199999999996</v>
      </c>
      <c r="G34" s="12" t="s">
        <v>22</v>
      </c>
      <c r="H34" s="12">
        <v>0</v>
      </c>
      <c r="I34" s="12">
        <v>0</v>
      </c>
      <c r="J34" s="12" t="s">
        <v>23</v>
      </c>
      <c r="K34" s="19">
        <v>44331</v>
      </c>
      <c r="L34" s="19">
        <v>44334</v>
      </c>
      <c r="M34" s="19">
        <v>44334</v>
      </c>
      <c r="N34" s="12" t="s">
        <v>24</v>
      </c>
      <c r="O34" s="12" t="s">
        <v>72</v>
      </c>
      <c r="P34" s="12" t="s">
        <v>73</v>
      </c>
      <c r="Q34" s="2">
        <f t="shared" si="0"/>
        <v>1</v>
      </c>
    </row>
    <row r="35" spans="1:17" x14ac:dyDescent="0.25">
      <c r="A35" s="12" t="s">
        <v>162</v>
      </c>
      <c r="B35" s="12" t="s">
        <v>163</v>
      </c>
      <c r="C35" s="12" t="s">
        <v>30</v>
      </c>
      <c r="D35" s="12" t="s">
        <v>164</v>
      </c>
      <c r="E35" s="12" t="s">
        <v>21</v>
      </c>
      <c r="F35" s="12">
        <v>262.72000000000003</v>
      </c>
      <c r="G35" s="12" t="s">
        <v>22</v>
      </c>
      <c r="H35" s="12">
        <v>0</v>
      </c>
      <c r="I35" s="12">
        <v>0</v>
      </c>
      <c r="J35" s="12" t="s">
        <v>23</v>
      </c>
      <c r="K35" s="19">
        <v>44342</v>
      </c>
      <c r="L35" s="19">
        <v>44345</v>
      </c>
      <c r="M35" s="19">
        <v>44345</v>
      </c>
      <c r="N35" s="12" t="s">
        <v>45</v>
      </c>
      <c r="O35" s="12" t="s">
        <v>33</v>
      </c>
      <c r="P35" s="12" t="s">
        <v>34</v>
      </c>
      <c r="Q35" s="2">
        <f t="shared" si="0"/>
        <v>1</v>
      </c>
    </row>
    <row r="36" spans="1:17" x14ac:dyDescent="0.25">
      <c r="A36" s="12" t="s">
        <v>166</v>
      </c>
      <c r="B36" s="12" t="s">
        <v>167</v>
      </c>
      <c r="C36" s="12" t="s">
        <v>19</v>
      </c>
      <c r="D36" s="12" t="s">
        <v>58</v>
      </c>
      <c r="E36" s="12" t="s">
        <v>21</v>
      </c>
      <c r="F36" s="12">
        <v>128.928</v>
      </c>
      <c r="G36" s="12" t="s">
        <v>22</v>
      </c>
      <c r="H36" s="12">
        <v>0</v>
      </c>
      <c r="I36" s="12">
        <v>0</v>
      </c>
      <c r="J36" s="12" t="s">
        <v>23</v>
      </c>
      <c r="K36" s="19">
        <v>44373</v>
      </c>
      <c r="L36" s="19">
        <v>44376</v>
      </c>
      <c r="M36" s="19">
        <v>44376</v>
      </c>
      <c r="N36" s="12" t="s">
        <v>63</v>
      </c>
      <c r="O36" s="12" t="s">
        <v>40</v>
      </c>
      <c r="P36" s="12" t="s">
        <v>34</v>
      </c>
      <c r="Q36" s="2">
        <f t="shared" si="0"/>
        <v>1</v>
      </c>
    </row>
    <row r="37" spans="1:17" x14ac:dyDescent="0.25">
      <c r="A37" s="12" t="s">
        <v>169</v>
      </c>
      <c r="B37" s="12" t="s">
        <v>170</v>
      </c>
      <c r="C37" s="12" t="s">
        <v>19</v>
      </c>
      <c r="D37" s="12" t="s">
        <v>58</v>
      </c>
      <c r="E37" s="12" t="s">
        <v>21</v>
      </c>
      <c r="F37" s="12">
        <v>458.072</v>
      </c>
      <c r="G37" s="12" t="s">
        <v>22</v>
      </c>
      <c r="H37" s="12">
        <v>0</v>
      </c>
      <c r="I37" s="12">
        <v>0</v>
      </c>
      <c r="J37" s="12" t="s">
        <v>23</v>
      </c>
      <c r="K37" s="19">
        <v>44381</v>
      </c>
      <c r="L37" s="19">
        <v>44383</v>
      </c>
      <c r="M37" s="19">
        <v>44383</v>
      </c>
      <c r="N37" s="12" t="s">
        <v>39</v>
      </c>
      <c r="O37" s="12" t="s">
        <v>97</v>
      </c>
      <c r="P37" s="12" t="s">
        <v>68</v>
      </c>
      <c r="Q37" s="2">
        <f t="shared" si="0"/>
        <v>1</v>
      </c>
    </row>
    <row r="38" spans="1:17" x14ac:dyDescent="0.25">
      <c r="A38" s="12" t="s">
        <v>172</v>
      </c>
      <c r="B38" s="12" t="s">
        <v>173</v>
      </c>
      <c r="C38" s="12" t="s">
        <v>19</v>
      </c>
      <c r="D38" s="12" t="s">
        <v>51</v>
      </c>
      <c r="E38" s="12" t="s">
        <v>21</v>
      </c>
      <c r="F38" s="12">
        <v>1136.896</v>
      </c>
      <c r="G38" s="12" t="s">
        <v>22</v>
      </c>
      <c r="H38" s="12">
        <v>0</v>
      </c>
      <c r="I38" s="12">
        <v>0</v>
      </c>
      <c r="J38" s="12" t="s">
        <v>23</v>
      </c>
      <c r="K38" s="19">
        <v>44389</v>
      </c>
      <c r="L38" s="19">
        <v>44390</v>
      </c>
      <c r="M38" s="19">
        <v>44390</v>
      </c>
      <c r="N38" s="12" t="s">
        <v>53</v>
      </c>
      <c r="O38" s="12" t="s">
        <v>25</v>
      </c>
      <c r="P38" s="12" t="s">
        <v>26</v>
      </c>
      <c r="Q38" s="2">
        <f t="shared" si="0"/>
        <v>1</v>
      </c>
    </row>
    <row r="39" spans="1:17" x14ac:dyDescent="0.25">
      <c r="A39" s="12" t="s">
        <v>175</v>
      </c>
      <c r="B39" s="12" t="s">
        <v>176</v>
      </c>
      <c r="C39" s="12" t="s">
        <v>19</v>
      </c>
      <c r="D39" s="12" t="s">
        <v>115</v>
      </c>
      <c r="E39" s="12" t="s">
        <v>21</v>
      </c>
      <c r="F39" s="12">
        <v>680.77999999999986</v>
      </c>
      <c r="G39" s="12" t="s">
        <v>22</v>
      </c>
      <c r="H39" s="12">
        <v>0</v>
      </c>
      <c r="I39" s="12">
        <v>0</v>
      </c>
      <c r="J39" s="12" t="s">
        <v>23</v>
      </c>
      <c r="K39" s="19">
        <v>44394</v>
      </c>
      <c r="L39" s="19">
        <v>44397</v>
      </c>
      <c r="M39" s="19">
        <v>44397</v>
      </c>
      <c r="N39" s="12" t="s">
        <v>39</v>
      </c>
      <c r="O39" s="12" t="s">
        <v>146</v>
      </c>
      <c r="P39" s="12" t="s">
        <v>73</v>
      </c>
      <c r="Q39" s="2">
        <f t="shared" si="0"/>
        <v>1</v>
      </c>
    </row>
    <row r="40" spans="1:17" x14ac:dyDescent="0.25">
      <c r="A40" s="12" t="s">
        <v>178</v>
      </c>
      <c r="B40" s="12" t="s">
        <v>179</v>
      </c>
      <c r="C40" s="12" t="s">
        <v>19</v>
      </c>
      <c r="D40" s="12" t="s">
        <v>105</v>
      </c>
      <c r="E40" s="12" t="s">
        <v>21</v>
      </c>
      <c r="F40" s="12">
        <v>238.11</v>
      </c>
      <c r="G40" s="12" t="s">
        <v>22</v>
      </c>
      <c r="H40" s="12">
        <v>0</v>
      </c>
      <c r="I40" s="12">
        <v>0</v>
      </c>
      <c r="J40" s="12" t="s">
        <v>23</v>
      </c>
      <c r="K40" s="19">
        <v>44443</v>
      </c>
      <c r="L40" s="19">
        <v>44445</v>
      </c>
      <c r="M40" s="19">
        <v>44445</v>
      </c>
      <c r="N40" s="12" t="s">
        <v>63</v>
      </c>
      <c r="O40" s="12" t="s">
        <v>25</v>
      </c>
      <c r="P40" s="12" t="s">
        <v>26</v>
      </c>
      <c r="Q40" s="2">
        <f t="shared" si="0"/>
        <v>1</v>
      </c>
    </row>
    <row r="41" spans="1:17" x14ac:dyDescent="0.25">
      <c r="A41" s="12" t="s">
        <v>181</v>
      </c>
      <c r="B41" s="12" t="s">
        <v>182</v>
      </c>
      <c r="C41" s="12" t="s">
        <v>19</v>
      </c>
      <c r="D41" s="12" t="s">
        <v>119</v>
      </c>
      <c r="E41" s="12" t="s">
        <v>21</v>
      </c>
      <c r="F41" s="12">
        <v>68.28</v>
      </c>
      <c r="G41" s="12" t="s">
        <v>22</v>
      </c>
      <c r="H41" s="12">
        <v>0</v>
      </c>
      <c r="I41" s="12">
        <v>0</v>
      </c>
      <c r="J41" s="12" t="s">
        <v>23</v>
      </c>
      <c r="K41" s="19">
        <v>44448</v>
      </c>
      <c r="L41" s="19">
        <v>44451</v>
      </c>
      <c r="M41" s="19">
        <v>44451</v>
      </c>
      <c r="N41" s="12" t="s">
        <v>45</v>
      </c>
      <c r="O41" s="12" t="s">
        <v>25</v>
      </c>
      <c r="P41" s="12" t="s">
        <v>26</v>
      </c>
      <c r="Q41" s="2">
        <f t="shared" si="0"/>
        <v>1</v>
      </c>
    </row>
    <row r="42" spans="1:17" x14ac:dyDescent="0.25">
      <c r="A42" s="12" t="s">
        <v>184</v>
      </c>
      <c r="B42" s="12" t="s">
        <v>185</v>
      </c>
      <c r="C42" s="12" t="s">
        <v>19</v>
      </c>
      <c r="D42" s="12" t="s">
        <v>186</v>
      </c>
      <c r="E42" s="12" t="s">
        <v>21</v>
      </c>
      <c r="F42" s="12">
        <v>860.07</v>
      </c>
      <c r="G42" s="12" t="s">
        <v>22</v>
      </c>
      <c r="H42" s="12">
        <v>0</v>
      </c>
      <c r="I42" s="12">
        <v>0</v>
      </c>
      <c r="J42" s="12" t="s">
        <v>23</v>
      </c>
      <c r="K42" s="19">
        <v>44515</v>
      </c>
      <c r="L42" s="19">
        <v>44518</v>
      </c>
      <c r="M42" s="19">
        <v>44518</v>
      </c>
      <c r="N42" s="12" t="s">
        <v>39</v>
      </c>
      <c r="O42" s="12" t="s">
        <v>46</v>
      </c>
      <c r="P42" s="12" t="s">
        <v>47</v>
      </c>
      <c r="Q42" s="2">
        <f t="shared" si="0"/>
        <v>1</v>
      </c>
    </row>
    <row r="43" spans="1:17" x14ac:dyDescent="0.25">
      <c r="A43" s="12" t="s">
        <v>188</v>
      </c>
      <c r="B43" s="12" t="s">
        <v>189</v>
      </c>
      <c r="C43" s="12" t="s">
        <v>19</v>
      </c>
      <c r="D43" s="12" t="s">
        <v>119</v>
      </c>
      <c r="E43" s="12" t="s">
        <v>21</v>
      </c>
      <c r="F43" s="12">
        <v>224.93399999999991</v>
      </c>
      <c r="G43" s="12" t="s">
        <v>22</v>
      </c>
      <c r="H43" s="12">
        <v>0</v>
      </c>
      <c r="I43" s="12">
        <v>0</v>
      </c>
      <c r="J43" s="12" t="s">
        <v>23</v>
      </c>
      <c r="K43" s="19">
        <v>44516</v>
      </c>
      <c r="L43" s="19">
        <v>44518</v>
      </c>
      <c r="M43" s="19">
        <v>44518</v>
      </c>
      <c r="N43" s="12" t="s">
        <v>24</v>
      </c>
      <c r="O43" s="12" t="s">
        <v>97</v>
      </c>
      <c r="P43" s="12" t="s">
        <v>68</v>
      </c>
      <c r="Q43" s="2">
        <f t="shared" si="0"/>
        <v>1</v>
      </c>
    </row>
    <row r="44" spans="1:17" x14ac:dyDescent="0.25">
      <c r="A44" s="12" t="s">
        <v>191</v>
      </c>
      <c r="B44" s="12" t="s">
        <v>192</v>
      </c>
      <c r="C44" s="12" t="s">
        <v>30</v>
      </c>
      <c r="D44" s="12" t="s">
        <v>150</v>
      </c>
      <c r="E44" s="12" t="s">
        <v>21</v>
      </c>
      <c r="F44" s="12">
        <v>801.98800000000006</v>
      </c>
      <c r="G44" s="12" t="s">
        <v>22</v>
      </c>
      <c r="H44" s="12">
        <v>0</v>
      </c>
      <c r="I44" s="12">
        <v>0</v>
      </c>
      <c r="J44" s="12" t="s">
        <v>23</v>
      </c>
      <c r="K44" s="19">
        <v>44538</v>
      </c>
      <c r="L44" s="19">
        <v>44540</v>
      </c>
      <c r="M44" s="19">
        <v>44540</v>
      </c>
      <c r="N44" s="12" t="s">
        <v>63</v>
      </c>
      <c r="O44" s="12" t="s">
        <v>40</v>
      </c>
      <c r="P44" s="12" t="s">
        <v>34</v>
      </c>
      <c r="Q44" s="2">
        <f t="shared" si="0"/>
        <v>1</v>
      </c>
    </row>
    <row r="45" spans="1:17" x14ac:dyDescent="0.25">
      <c r="A45" s="12" t="s">
        <v>194</v>
      </c>
      <c r="B45" s="12" t="s">
        <v>195</v>
      </c>
      <c r="C45" s="12" t="s">
        <v>19</v>
      </c>
      <c r="D45" s="12" t="s">
        <v>62</v>
      </c>
      <c r="E45" s="12" t="s">
        <v>21</v>
      </c>
      <c r="F45" s="12">
        <v>32.308</v>
      </c>
      <c r="G45" s="12" t="s">
        <v>22</v>
      </c>
      <c r="H45" s="12">
        <v>0</v>
      </c>
      <c r="I45" s="12">
        <v>0</v>
      </c>
      <c r="J45" s="12" t="s">
        <v>23</v>
      </c>
      <c r="K45" s="19">
        <v>44543</v>
      </c>
      <c r="L45" s="19">
        <v>44546</v>
      </c>
      <c r="M45" s="19">
        <v>44546</v>
      </c>
      <c r="N45" s="12" t="s">
        <v>63</v>
      </c>
      <c r="O45" s="12" t="s">
        <v>146</v>
      </c>
      <c r="P45" s="12" t="s">
        <v>73</v>
      </c>
      <c r="Q45" s="2">
        <f t="shared" si="0"/>
        <v>1</v>
      </c>
    </row>
    <row r="46" spans="1:17" x14ac:dyDescent="0.25">
      <c r="A46" s="12" t="s">
        <v>197</v>
      </c>
      <c r="B46" s="12" t="s">
        <v>198</v>
      </c>
      <c r="C46" s="12" t="s">
        <v>19</v>
      </c>
      <c r="D46" s="12" t="s">
        <v>115</v>
      </c>
      <c r="E46" s="12" t="s">
        <v>21</v>
      </c>
      <c r="F46" s="12">
        <v>526.73599999999999</v>
      </c>
      <c r="G46" s="12" t="s">
        <v>22</v>
      </c>
      <c r="H46" s="12">
        <v>0</v>
      </c>
      <c r="I46" s="12">
        <v>0</v>
      </c>
      <c r="J46" s="12" t="s">
        <v>23</v>
      </c>
      <c r="K46" s="19">
        <v>44550</v>
      </c>
      <c r="L46" s="19">
        <v>44551</v>
      </c>
      <c r="M46" s="19">
        <v>44551</v>
      </c>
      <c r="N46" s="12" t="s">
        <v>45</v>
      </c>
      <c r="O46" s="12" t="s">
        <v>82</v>
      </c>
      <c r="P46" s="12" t="s">
        <v>47</v>
      </c>
      <c r="Q46" s="2">
        <f t="shared" si="0"/>
        <v>1</v>
      </c>
    </row>
    <row r="47" spans="1:17" x14ac:dyDescent="0.25">
      <c r="A47" s="12" t="s">
        <v>200</v>
      </c>
      <c r="B47" s="12" t="s">
        <v>201</v>
      </c>
      <c r="C47" s="12" t="s">
        <v>30</v>
      </c>
      <c r="D47" s="12" t="s">
        <v>119</v>
      </c>
      <c r="E47" s="12" t="s">
        <v>21</v>
      </c>
      <c r="F47" s="12">
        <v>456.19299999999998</v>
      </c>
      <c r="G47" s="12" t="s">
        <v>22</v>
      </c>
      <c r="H47" s="12">
        <v>0</v>
      </c>
      <c r="I47" s="12">
        <v>0</v>
      </c>
      <c r="J47" s="12" t="s">
        <v>23</v>
      </c>
      <c r="K47" s="19">
        <v>44553</v>
      </c>
      <c r="L47" s="19">
        <v>44554</v>
      </c>
      <c r="M47" s="19">
        <v>44554</v>
      </c>
      <c r="N47" s="12" t="s">
        <v>39</v>
      </c>
      <c r="O47" s="12" t="s">
        <v>72</v>
      </c>
      <c r="P47" s="12" t="s">
        <v>73</v>
      </c>
      <c r="Q47" s="2">
        <f t="shared" si="0"/>
        <v>1</v>
      </c>
    </row>
    <row r="48" spans="1:17" x14ac:dyDescent="0.25">
      <c r="A48" s="12" t="s">
        <v>203</v>
      </c>
      <c r="B48" s="12" t="s">
        <v>204</v>
      </c>
      <c r="C48" s="12" t="s">
        <v>19</v>
      </c>
      <c r="D48" s="12" t="s">
        <v>139</v>
      </c>
      <c r="E48" s="12" t="s">
        <v>205</v>
      </c>
      <c r="F48" s="12">
        <v>3.38</v>
      </c>
      <c r="G48" s="12" t="s">
        <v>206</v>
      </c>
      <c r="H48" s="12">
        <v>80</v>
      </c>
      <c r="I48" s="12">
        <v>2.7040000000000002</v>
      </c>
      <c r="J48" s="12" t="s">
        <v>23</v>
      </c>
      <c r="K48" s="19">
        <v>44562</v>
      </c>
      <c r="L48" s="19">
        <v>44201</v>
      </c>
      <c r="M48" s="19">
        <v>44201</v>
      </c>
      <c r="N48" s="12" t="s">
        <v>207</v>
      </c>
      <c r="O48" s="12" t="s">
        <v>54</v>
      </c>
      <c r="P48" s="12" t="s">
        <v>26</v>
      </c>
      <c r="Q48" s="2">
        <f t="shared" si="0"/>
        <v>1</v>
      </c>
    </row>
    <row r="49" spans="1:17" x14ac:dyDescent="0.25">
      <c r="A49" s="12" t="s">
        <v>209</v>
      </c>
      <c r="B49" s="12" t="s">
        <v>210</v>
      </c>
      <c r="C49" s="12" t="s">
        <v>30</v>
      </c>
      <c r="D49" s="12" t="s">
        <v>211</v>
      </c>
      <c r="E49" s="12" t="s">
        <v>212</v>
      </c>
      <c r="F49" s="12">
        <v>95.1</v>
      </c>
      <c r="G49" s="12" t="s">
        <v>206</v>
      </c>
      <c r="H49" s="12">
        <v>100</v>
      </c>
      <c r="I49" s="12">
        <v>95.1</v>
      </c>
      <c r="J49" s="12" t="s">
        <v>23</v>
      </c>
      <c r="K49" s="19">
        <v>44574</v>
      </c>
      <c r="L49" s="19">
        <v>44215</v>
      </c>
      <c r="M49" s="19">
        <v>44215</v>
      </c>
      <c r="N49" s="12" t="s">
        <v>213</v>
      </c>
      <c r="O49" s="12" t="s">
        <v>82</v>
      </c>
      <c r="P49" s="12" t="s">
        <v>47</v>
      </c>
      <c r="Q49" s="2">
        <f t="shared" si="0"/>
        <v>1</v>
      </c>
    </row>
    <row r="50" spans="1:17" x14ac:dyDescent="0.25">
      <c r="A50" s="12" t="s">
        <v>215</v>
      </c>
      <c r="B50" s="12" t="s">
        <v>216</v>
      </c>
      <c r="C50" s="12" t="s">
        <v>19</v>
      </c>
      <c r="D50" s="12" t="s">
        <v>119</v>
      </c>
      <c r="E50" s="12" t="s">
        <v>205</v>
      </c>
      <c r="F50" s="12">
        <v>25.92</v>
      </c>
      <c r="G50" s="12" t="s">
        <v>206</v>
      </c>
      <c r="H50" s="12">
        <v>80</v>
      </c>
      <c r="I50" s="12">
        <v>20.736000000000004</v>
      </c>
      <c r="J50" s="12" t="s">
        <v>23</v>
      </c>
      <c r="K50" s="19">
        <v>44575</v>
      </c>
      <c r="L50" s="19">
        <v>44212</v>
      </c>
      <c r="M50" s="19">
        <v>44212</v>
      </c>
      <c r="N50" s="12" t="s">
        <v>213</v>
      </c>
      <c r="O50" s="12" t="s">
        <v>146</v>
      </c>
      <c r="P50" s="12" t="s">
        <v>73</v>
      </c>
      <c r="Q50" s="2">
        <f t="shared" si="0"/>
        <v>1</v>
      </c>
    </row>
    <row r="51" spans="1:17" x14ac:dyDescent="0.25">
      <c r="A51" s="12" t="s">
        <v>218</v>
      </c>
      <c r="B51" s="12" t="s">
        <v>219</v>
      </c>
      <c r="C51" s="12" t="s">
        <v>30</v>
      </c>
      <c r="D51" s="12" t="s">
        <v>58</v>
      </c>
      <c r="E51" s="12" t="s">
        <v>205</v>
      </c>
      <c r="F51" s="12">
        <v>13.16</v>
      </c>
      <c r="G51" s="12" t="s">
        <v>206</v>
      </c>
      <c r="H51" s="12">
        <v>80</v>
      </c>
      <c r="I51" s="12">
        <v>10.528</v>
      </c>
      <c r="J51" s="12" t="s">
        <v>23</v>
      </c>
      <c r="K51" s="19">
        <v>44596</v>
      </c>
      <c r="L51" s="19">
        <v>44235</v>
      </c>
      <c r="M51" s="19">
        <v>44235</v>
      </c>
      <c r="N51" s="12" t="s">
        <v>220</v>
      </c>
      <c r="O51" s="12" t="s">
        <v>67</v>
      </c>
      <c r="P51" s="12" t="s">
        <v>68</v>
      </c>
      <c r="Q51" s="2">
        <f t="shared" si="0"/>
        <v>1</v>
      </c>
    </row>
    <row r="52" spans="1:17" x14ac:dyDescent="0.25">
      <c r="A52" s="12" t="s">
        <v>222</v>
      </c>
      <c r="B52" s="12" t="s">
        <v>223</v>
      </c>
      <c r="C52" s="12" t="s">
        <v>19</v>
      </c>
      <c r="D52" s="12" t="s">
        <v>119</v>
      </c>
      <c r="E52" s="12" t="s">
        <v>212</v>
      </c>
      <c r="F52" s="12">
        <v>340.11599999999999</v>
      </c>
      <c r="G52" s="12" t="s">
        <v>206</v>
      </c>
      <c r="H52" s="12">
        <v>100</v>
      </c>
      <c r="I52" s="12">
        <v>340.11599999999999</v>
      </c>
      <c r="J52" s="12" t="s">
        <v>23</v>
      </c>
      <c r="K52" s="19">
        <v>44601</v>
      </c>
      <c r="L52" s="19">
        <v>44241</v>
      </c>
      <c r="M52" s="19">
        <v>44241</v>
      </c>
      <c r="N52" s="12" t="s">
        <v>207</v>
      </c>
      <c r="O52" s="12" t="s">
        <v>72</v>
      </c>
      <c r="P52" s="12" t="s">
        <v>73</v>
      </c>
      <c r="Q52" s="2">
        <f t="shared" si="0"/>
        <v>1</v>
      </c>
    </row>
    <row r="53" spans="1:17" x14ac:dyDescent="0.25">
      <c r="A53" s="12" t="s">
        <v>225</v>
      </c>
      <c r="B53" s="12" t="s">
        <v>226</v>
      </c>
      <c r="C53" s="12" t="s">
        <v>19</v>
      </c>
      <c r="D53" s="12" t="s">
        <v>139</v>
      </c>
      <c r="E53" s="12" t="s">
        <v>212</v>
      </c>
      <c r="F53" s="12">
        <v>38.256</v>
      </c>
      <c r="G53" s="12" t="s">
        <v>206</v>
      </c>
      <c r="H53" s="12">
        <v>100</v>
      </c>
      <c r="I53" s="12">
        <v>38.256</v>
      </c>
      <c r="J53" s="12" t="s">
        <v>23</v>
      </c>
      <c r="K53" s="19">
        <v>44611</v>
      </c>
      <c r="L53" s="19">
        <v>44250</v>
      </c>
      <c r="M53" s="19">
        <v>44250</v>
      </c>
      <c r="N53" s="12" t="s">
        <v>207</v>
      </c>
      <c r="O53" s="12" t="s">
        <v>40</v>
      </c>
      <c r="P53" s="12" t="s">
        <v>34</v>
      </c>
      <c r="Q53" s="2">
        <f t="shared" si="0"/>
        <v>1</v>
      </c>
    </row>
    <row r="54" spans="1:17" x14ac:dyDescent="0.25">
      <c r="A54" s="12" t="s">
        <v>228</v>
      </c>
      <c r="B54" s="12" t="s">
        <v>229</v>
      </c>
      <c r="C54" s="12" t="s">
        <v>19</v>
      </c>
      <c r="D54" s="12" t="s">
        <v>230</v>
      </c>
      <c r="E54" s="12" t="s">
        <v>205</v>
      </c>
      <c r="F54" s="12">
        <v>20.231999999999999</v>
      </c>
      <c r="G54" s="12" t="s">
        <v>206</v>
      </c>
      <c r="H54" s="12">
        <v>80</v>
      </c>
      <c r="I54" s="12">
        <v>16.185600000000001</v>
      </c>
      <c r="J54" s="12" t="s">
        <v>23</v>
      </c>
      <c r="K54" s="19">
        <v>44614</v>
      </c>
      <c r="L54" s="19">
        <v>44251</v>
      </c>
      <c r="M54" s="19">
        <v>44251</v>
      </c>
      <c r="N54" s="12" t="s">
        <v>220</v>
      </c>
      <c r="O54" s="12" t="s">
        <v>82</v>
      </c>
      <c r="P54" s="12" t="s">
        <v>47</v>
      </c>
      <c r="Q54" s="2">
        <f t="shared" si="0"/>
        <v>1</v>
      </c>
    </row>
    <row r="55" spans="1:17" x14ac:dyDescent="0.25">
      <c r="A55" s="12" t="s">
        <v>232</v>
      </c>
      <c r="B55" s="12" t="s">
        <v>233</v>
      </c>
      <c r="C55" s="12" t="s">
        <v>30</v>
      </c>
      <c r="D55" s="12" t="s">
        <v>38</v>
      </c>
      <c r="E55" s="12" t="s">
        <v>205</v>
      </c>
      <c r="F55" s="12">
        <v>1801.6320000000001</v>
      </c>
      <c r="G55" s="12" t="s">
        <v>206</v>
      </c>
      <c r="H55" s="12">
        <v>80</v>
      </c>
      <c r="I55" s="12">
        <v>1441.3056000000001</v>
      </c>
      <c r="J55" s="12" t="s">
        <v>23</v>
      </c>
      <c r="K55" s="19">
        <v>44629</v>
      </c>
      <c r="L55" s="19">
        <v>44266</v>
      </c>
      <c r="M55" s="19">
        <v>44266</v>
      </c>
      <c r="N55" s="12" t="s">
        <v>234</v>
      </c>
      <c r="O55" s="12" t="s">
        <v>25</v>
      </c>
      <c r="P55" s="12" t="s">
        <v>26</v>
      </c>
      <c r="Q55" s="2">
        <f t="shared" si="0"/>
        <v>1</v>
      </c>
    </row>
    <row r="56" spans="1:17" x14ac:dyDescent="0.25">
      <c r="A56" s="12" t="s">
        <v>236</v>
      </c>
      <c r="B56" s="12" t="s">
        <v>237</v>
      </c>
      <c r="C56" s="12" t="s">
        <v>30</v>
      </c>
      <c r="D56" s="12" t="s">
        <v>119</v>
      </c>
      <c r="E56" s="12" t="s">
        <v>205</v>
      </c>
      <c r="F56" s="12">
        <v>67.175999999999902</v>
      </c>
      <c r="G56" s="12" t="s">
        <v>206</v>
      </c>
      <c r="H56" s="12">
        <v>80</v>
      </c>
      <c r="I56" s="12">
        <v>53.740799999999922</v>
      </c>
      <c r="J56" s="12" t="s">
        <v>23</v>
      </c>
      <c r="K56" s="19">
        <v>44629</v>
      </c>
      <c r="L56" s="19">
        <v>44268</v>
      </c>
      <c r="M56" s="19">
        <v>44268</v>
      </c>
      <c r="N56" s="12" t="s">
        <v>238</v>
      </c>
      <c r="O56" s="12" t="s">
        <v>54</v>
      </c>
      <c r="P56" s="12" t="s">
        <v>26</v>
      </c>
      <c r="Q56" s="2">
        <f t="shared" si="0"/>
        <v>1</v>
      </c>
    </row>
    <row r="57" spans="1:17" x14ac:dyDescent="0.25">
      <c r="A57" s="12" t="s">
        <v>240</v>
      </c>
      <c r="B57" s="12" t="s">
        <v>241</v>
      </c>
      <c r="C57" s="12" t="s">
        <v>19</v>
      </c>
      <c r="D57" s="12" t="s">
        <v>44</v>
      </c>
      <c r="E57" s="12" t="s">
        <v>212</v>
      </c>
      <c r="F57" s="12">
        <v>783.96</v>
      </c>
      <c r="G57" s="12" t="s">
        <v>206</v>
      </c>
      <c r="H57" s="12">
        <v>100</v>
      </c>
      <c r="I57" s="12">
        <v>783.96</v>
      </c>
      <c r="J57" s="12" t="s">
        <v>23</v>
      </c>
      <c r="K57" s="19">
        <v>44645</v>
      </c>
      <c r="L57" s="19">
        <v>44283</v>
      </c>
      <c r="M57" s="19">
        <v>44283</v>
      </c>
      <c r="N57" s="12" t="s">
        <v>234</v>
      </c>
      <c r="O57" s="12" t="s">
        <v>146</v>
      </c>
      <c r="P57" s="12" t="s">
        <v>73</v>
      </c>
      <c r="Q57" s="2">
        <f t="shared" si="0"/>
        <v>1</v>
      </c>
    </row>
    <row r="58" spans="1:17" x14ac:dyDescent="0.25">
      <c r="A58" s="12" t="s">
        <v>243</v>
      </c>
      <c r="B58" s="12" t="s">
        <v>244</v>
      </c>
      <c r="C58" s="12" t="s">
        <v>30</v>
      </c>
      <c r="D58" s="12" t="s">
        <v>150</v>
      </c>
      <c r="E58" s="12" t="s">
        <v>212</v>
      </c>
      <c r="F58" s="12">
        <v>7.8559999999999999</v>
      </c>
      <c r="G58" s="12" t="s">
        <v>206</v>
      </c>
      <c r="H58" s="12">
        <v>100</v>
      </c>
      <c r="I58" s="12">
        <v>7.8559999999999999</v>
      </c>
      <c r="J58" s="12" t="s">
        <v>23</v>
      </c>
      <c r="K58" s="19">
        <v>44645</v>
      </c>
      <c r="L58" s="19">
        <v>44286</v>
      </c>
      <c r="M58" s="19">
        <v>44286</v>
      </c>
      <c r="N58" s="12" t="s">
        <v>238</v>
      </c>
      <c r="O58" s="12" t="s">
        <v>54</v>
      </c>
      <c r="P58" s="12" t="s">
        <v>26</v>
      </c>
      <c r="Q58" s="2">
        <f t="shared" si="0"/>
        <v>1</v>
      </c>
    </row>
    <row r="59" spans="1:17" x14ac:dyDescent="0.25">
      <c r="A59" s="12" t="s">
        <v>246</v>
      </c>
      <c r="B59" s="12" t="s">
        <v>247</v>
      </c>
      <c r="C59" s="12" t="s">
        <v>19</v>
      </c>
      <c r="D59" s="12" t="s">
        <v>44</v>
      </c>
      <c r="E59" s="12" t="s">
        <v>205</v>
      </c>
      <c r="F59" s="12">
        <v>69.52</v>
      </c>
      <c r="G59" s="12" t="s">
        <v>206</v>
      </c>
      <c r="H59" s="12">
        <v>80</v>
      </c>
      <c r="I59" s="12">
        <v>55.616</v>
      </c>
      <c r="J59" s="12" t="s">
        <v>23</v>
      </c>
      <c r="K59" s="19">
        <v>44647</v>
      </c>
      <c r="L59" s="19">
        <v>44286</v>
      </c>
      <c r="M59" s="19">
        <v>44286</v>
      </c>
      <c r="N59" s="12" t="s">
        <v>248</v>
      </c>
      <c r="O59" s="12" t="s">
        <v>67</v>
      </c>
      <c r="P59" s="12" t="s">
        <v>68</v>
      </c>
      <c r="Q59" s="2">
        <f t="shared" si="0"/>
        <v>1</v>
      </c>
    </row>
    <row r="60" spans="1:17" x14ac:dyDescent="0.25">
      <c r="A60" s="12" t="s">
        <v>250</v>
      </c>
      <c r="B60" s="12" t="s">
        <v>251</v>
      </c>
      <c r="C60" s="12" t="s">
        <v>19</v>
      </c>
      <c r="D60" s="12" t="s">
        <v>115</v>
      </c>
      <c r="E60" s="12" t="s">
        <v>205</v>
      </c>
      <c r="F60" s="12">
        <v>273.56799999999998</v>
      </c>
      <c r="G60" s="12" t="s">
        <v>206</v>
      </c>
      <c r="H60" s="12">
        <v>80</v>
      </c>
      <c r="I60" s="12">
        <v>218.8544</v>
      </c>
      <c r="J60" s="12" t="s">
        <v>23</v>
      </c>
      <c r="K60" s="19">
        <v>44648</v>
      </c>
      <c r="L60" s="19">
        <v>44290</v>
      </c>
      <c r="M60" s="19">
        <v>44290</v>
      </c>
      <c r="N60" s="12" t="s">
        <v>220</v>
      </c>
      <c r="O60" s="12" t="s">
        <v>33</v>
      </c>
      <c r="P60" s="12" t="s">
        <v>34</v>
      </c>
      <c r="Q60" s="2">
        <f t="shared" si="0"/>
        <v>1</v>
      </c>
    </row>
    <row r="61" spans="1:17" x14ac:dyDescent="0.25">
      <c r="A61" s="12" t="s">
        <v>253</v>
      </c>
      <c r="B61" s="12" t="s">
        <v>254</v>
      </c>
      <c r="C61" s="12" t="s">
        <v>30</v>
      </c>
      <c r="D61" s="12" t="s">
        <v>211</v>
      </c>
      <c r="E61" s="12" t="s">
        <v>205</v>
      </c>
      <c r="F61" s="12">
        <v>58.415999999999997</v>
      </c>
      <c r="G61" s="12" t="s">
        <v>206</v>
      </c>
      <c r="H61" s="12">
        <v>80</v>
      </c>
      <c r="I61" s="12">
        <v>46.732799999999997</v>
      </c>
      <c r="J61" s="12" t="s">
        <v>23</v>
      </c>
      <c r="K61" s="19">
        <v>44650</v>
      </c>
      <c r="L61" s="19">
        <v>44291</v>
      </c>
      <c r="M61" s="19">
        <v>44291</v>
      </c>
      <c r="N61" s="12" t="s">
        <v>207</v>
      </c>
      <c r="O61" s="12" t="s">
        <v>40</v>
      </c>
      <c r="P61" s="12" t="s">
        <v>34</v>
      </c>
      <c r="Q61" s="2">
        <f t="shared" si="0"/>
        <v>1</v>
      </c>
    </row>
    <row r="62" spans="1:17" x14ac:dyDescent="0.25">
      <c r="A62" s="12" t="s">
        <v>256</v>
      </c>
      <c r="B62" s="12" t="s">
        <v>257</v>
      </c>
      <c r="C62" s="12" t="s">
        <v>30</v>
      </c>
      <c r="D62" s="12" t="s">
        <v>77</v>
      </c>
      <c r="E62" s="12" t="s">
        <v>205</v>
      </c>
      <c r="F62" s="12">
        <v>62.24</v>
      </c>
      <c r="G62" s="12" t="s">
        <v>206</v>
      </c>
      <c r="H62" s="12">
        <v>80</v>
      </c>
      <c r="I62" s="12">
        <v>49.792000000000002</v>
      </c>
      <c r="J62" s="12" t="s">
        <v>23</v>
      </c>
      <c r="K62" s="19">
        <v>44657</v>
      </c>
      <c r="L62" s="19">
        <v>44294</v>
      </c>
      <c r="M62" s="19">
        <v>44294</v>
      </c>
      <c r="N62" s="12" t="s">
        <v>213</v>
      </c>
      <c r="O62" s="12" t="s">
        <v>67</v>
      </c>
      <c r="P62" s="12" t="s">
        <v>68</v>
      </c>
      <c r="Q62" s="2">
        <f t="shared" si="0"/>
        <v>1</v>
      </c>
    </row>
    <row r="63" spans="1:17" x14ac:dyDescent="0.25">
      <c r="A63" s="12" t="s">
        <v>259</v>
      </c>
      <c r="B63" s="12" t="s">
        <v>260</v>
      </c>
      <c r="C63" s="12" t="s">
        <v>30</v>
      </c>
      <c r="D63" s="12" t="s">
        <v>44</v>
      </c>
      <c r="E63" s="12" t="s">
        <v>205</v>
      </c>
      <c r="F63" s="12">
        <v>30.48</v>
      </c>
      <c r="G63" s="12" t="s">
        <v>206</v>
      </c>
      <c r="H63" s="12">
        <v>80</v>
      </c>
      <c r="I63" s="12">
        <v>24.384</v>
      </c>
      <c r="J63" s="12" t="s">
        <v>23</v>
      </c>
      <c r="K63" s="19">
        <v>44658</v>
      </c>
      <c r="L63" s="19">
        <v>44297</v>
      </c>
      <c r="M63" s="19">
        <v>44297</v>
      </c>
      <c r="N63" s="12" t="s">
        <v>220</v>
      </c>
      <c r="O63" s="12" t="s">
        <v>72</v>
      </c>
      <c r="P63" s="12" t="s">
        <v>73</v>
      </c>
      <c r="Q63" s="2">
        <f t="shared" si="0"/>
        <v>1</v>
      </c>
    </row>
    <row r="64" spans="1:17" x14ac:dyDescent="0.25">
      <c r="A64" s="12" t="s">
        <v>262</v>
      </c>
      <c r="B64" s="12" t="s">
        <v>263</v>
      </c>
      <c r="C64" s="12" t="s">
        <v>30</v>
      </c>
      <c r="D64" s="12" t="s">
        <v>150</v>
      </c>
      <c r="E64" s="12" t="s">
        <v>205</v>
      </c>
      <c r="F64" s="12">
        <v>169.45</v>
      </c>
      <c r="G64" s="12" t="s">
        <v>206</v>
      </c>
      <c r="H64" s="12">
        <v>80</v>
      </c>
      <c r="I64" s="12">
        <v>135.56</v>
      </c>
      <c r="J64" s="12" t="s">
        <v>23</v>
      </c>
      <c r="K64" s="19">
        <v>44661</v>
      </c>
      <c r="L64" s="19">
        <v>44301</v>
      </c>
      <c r="M64" s="19">
        <v>44301</v>
      </c>
      <c r="N64" s="12" t="s">
        <v>248</v>
      </c>
      <c r="O64" s="12" t="s">
        <v>97</v>
      </c>
      <c r="P64" s="12" t="s">
        <v>68</v>
      </c>
      <c r="Q64" s="2">
        <f t="shared" si="0"/>
        <v>1</v>
      </c>
    </row>
    <row r="65" spans="1:17" x14ac:dyDescent="0.25">
      <c r="A65" s="12" t="s">
        <v>265</v>
      </c>
      <c r="B65" s="12" t="s">
        <v>266</v>
      </c>
      <c r="C65" s="12" t="s">
        <v>19</v>
      </c>
      <c r="D65" s="12" t="s">
        <v>139</v>
      </c>
      <c r="E65" s="12" t="s">
        <v>212</v>
      </c>
      <c r="F65" s="12">
        <v>5.22</v>
      </c>
      <c r="G65" s="12" t="s">
        <v>206</v>
      </c>
      <c r="H65" s="12">
        <v>100</v>
      </c>
      <c r="I65" s="12">
        <v>5.22</v>
      </c>
      <c r="J65" s="12" t="s">
        <v>23</v>
      </c>
      <c r="K65" s="19">
        <v>44664</v>
      </c>
      <c r="L65" s="19">
        <v>44304</v>
      </c>
      <c r="M65" s="19">
        <v>44304</v>
      </c>
      <c r="N65" s="12" t="s">
        <v>220</v>
      </c>
      <c r="O65" s="12" t="s">
        <v>72</v>
      </c>
      <c r="P65" s="12" t="s">
        <v>73</v>
      </c>
      <c r="Q65" s="2">
        <f t="shared" si="0"/>
        <v>1</v>
      </c>
    </row>
    <row r="66" spans="1:17" x14ac:dyDescent="0.25">
      <c r="A66" s="12" t="s">
        <v>268</v>
      </c>
      <c r="B66" s="12" t="s">
        <v>269</v>
      </c>
      <c r="C66" s="12" t="s">
        <v>30</v>
      </c>
      <c r="D66" s="12" t="s">
        <v>139</v>
      </c>
      <c r="E66" s="12" t="s">
        <v>212</v>
      </c>
      <c r="F66" s="12">
        <v>657.93</v>
      </c>
      <c r="G66" s="12" t="s">
        <v>206</v>
      </c>
      <c r="H66" s="12">
        <v>100</v>
      </c>
      <c r="I66" s="12">
        <v>657.93</v>
      </c>
      <c r="J66" s="12" t="s">
        <v>23</v>
      </c>
      <c r="K66" s="19">
        <v>44665</v>
      </c>
      <c r="L66" s="19">
        <v>44307</v>
      </c>
      <c r="M66" s="19">
        <v>44307</v>
      </c>
      <c r="N66" s="12" t="s">
        <v>207</v>
      </c>
      <c r="O66" s="12" t="s">
        <v>97</v>
      </c>
      <c r="P66" s="12" t="s">
        <v>68</v>
      </c>
      <c r="Q66" s="2">
        <f t="shared" ref="Q66:Q129" si="1">COUNTIF($A$2:$A$1778,A66)</f>
        <v>1</v>
      </c>
    </row>
    <row r="67" spans="1:17" x14ac:dyDescent="0.25">
      <c r="A67" s="12" t="s">
        <v>271</v>
      </c>
      <c r="B67" s="12" t="s">
        <v>272</v>
      </c>
      <c r="C67" s="12" t="s">
        <v>19</v>
      </c>
      <c r="D67" s="12" t="s">
        <v>51</v>
      </c>
      <c r="E67" s="12" t="s">
        <v>205</v>
      </c>
      <c r="F67" s="12">
        <v>4.32</v>
      </c>
      <c r="G67" s="12" t="s">
        <v>206</v>
      </c>
      <c r="H67" s="12">
        <v>80</v>
      </c>
      <c r="I67" s="12">
        <v>3.4560000000000004</v>
      </c>
      <c r="J67" s="12" t="s">
        <v>23</v>
      </c>
      <c r="K67" s="19">
        <v>44677</v>
      </c>
      <c r="L67" s="19">
        <v>44315</v>
      </c>
      <c r="M67" s="19">
        <v>44315</v>
      </c>
      <c r="N67" s="12" t="s">
        <v>238</v>
      </c>
      <c r="O67" s="12" t="s">
        <v>146</v>
      </c>
      <c r="P67" s="12" t="s">
        <v>73</v>
      </c>
      <c r="Q67" s="2">
        <f t="shared" si="1"/>
        <v>1</v>
      </c>
    </row>
    <row r="68" spans="1:17" x14ac:dyDescent="0.25">
      <c r="A68" s="12" t="s">
        <v>274</v>
      </c>
      <c r="B68" s="12" t="s">
        <v>275</v>
      </c>
      <c r="C68" s="12" t="s">
        <v>30</v>
      </c>
      <c r="D68" s="12" t="s">
        <v>105</v>
      </c>
      <c r="E68" s="12" t="s">
        <v>205</v>
      </c>
      <c r="F68" s="12">
        <v>36.738</v>
      </c>
      <c r="G68" s="12" t="s">
        <v>206</v>
      </c>
      <c r="H68" s="12">
        <v>80</v>
      </c>
      <c r="I68" s="12">
        <v>29.3904</v>
      </c>
      <c r="J68" s="12" t="s">
        <v>23</v>
      </c>
      <c r="K68" s="19">
        <v>44685</v>
      </c>
      <c r="L68" s="19">
        <v>44325</v>
      </c>
      <c r="M68" s="19">
        <v>44325</v>
      </c>
      <c r="N68" s="12" t="s">
        <v>220</v>
      </c>
      <c r="O68" s="12" t="s">
        <v>67</v>
      </c>
      <c r="P68" s="12" t="s">
        <v>68</v>
      </c>
      <c r="Q68" s="2">
        <f t="shared" si="1"/>
        <v>1</v>
      </c>
    </row>
    <row r="69" spans="1:17" x14ac:dyDescent="0.25">
      <c r="A69" s="12" t="s">
        <v>277</v>
      </c>
      <c r="B69" s="12" t="s">
        <v>278</v>
      </c>
      <c r="C69" s="12" t="s">
        <v>19</v>
      </c>
      <c r="D69" s="12" t="s">
        <v>81</v>
      </c>
      <c r="E69" s="12" t="s">
        <v>212</v>
      </c>
      <c r="F69" s="12">
        <v>14.015999999999901</v>
      </c>
      <c r="G69" s="12" t="s">
        <v>206</v>
      </c>
      <c r="H69" s="12">
        <v>100</v>
      </c>
      <c r="I69" s="12">
        <v>14.015999999999901</v>
      </c>
      <c r="J69" s="12" t="s">
        <v>23</v>
      </c>
      <c r="K69" s="19">
        <v>44686</v>
      </c>
      <c r="L69" s="19">
        <v>44325</v>
      </c>
      <c r="M69" s="19">
        <v>44325</v>
      </c>
      <c r="N69" s="12" t="s">
        <v>220</v>
      </c>
      <c r="O69" s="12" t="s">
        <v>46</v>
      </c>
      <c r="P69" s="12" t="s">
        <v>47</v>
      </c>
      <c r="Q69" s="2">
        <f t="shared" si="1"/>
        <v>1</v>
      </c>
    </row>
    <row r="70" spans="1:17" x14ac:dyDescent="0.25">
      <c r="A70" s="12" t="s">
        <v>280</v>
      </c>
      <c r="B70" s="12" t="s">
        <v>281</v>
      </c>
      <c r="C70" s="12" t="s">
        <v>19</v>
      </c>
      <c r="D70" s="12" t="s">
        <v>105</v>
      </c>
      <c r="E70" s="12" t="s">
        <v>205</v>
      </c>
      <c r="F70" s="12">
        <v>35.167999999999999</v>
      </c>
      <c r="G70" s="12" t="s">
        <v>206</v>
      </c>
      <c r="H70" s="12">
        <v>80</v>
      </c>
      <c r="I70" s="12">
        <v>28.134399999999999</v>
      </c>
      <c r="J70" s="12" t="s">
        <v>23</v>
      </c>
      <c r="K70" s="19">
        <v>44686</v>
      </c>
      <c r="L70" s="19">
        <v>44322</v>
      </c>
      <c r="M70" s="19">
        <v>44322</v>
      </c>
      <c r="N70" s="12" t="s">
        <v>207</v>
      </c>
      <c r="O70" s="12" t="s">
        <v>46</v>
      </c>
      <c r="P70" s="12" t="s">
        <v>47</v>
      </c>
      <c r="Q70" s="2">
        <f t="shared" si="1"/>
        <v>1</v>
      </c>
    </row>
    <row r="71" spans="1:17" x14ac:dyDescent="0.25">
      <c r="A71" s="12" t="s">
        <v>283</v>
      </c>
      <c r="B71" s="12" t="s">
        <v>284</v>
      </c>
      <c r="C71" s="12" t="s">
        <v>19</v>
      </c>
      <c r="D71" s="12" t="s">
        <v>115</v>
      </c>
      <c r="E71" s="12" t="s">
        <v>212</v>
      </c>
      <c r="F71" s="12">
        <v>6.4560000000000004</v>
      </c>
      <c r="G71" s="12" t="s">
        <v>206</v>
      </c>
      <c r="H71" s="12">
        <v>100</v>
      </c>
      <c r="I71" s="12">
        <v>6.4560000000000004</v>
      </c>
      <c r="J71" s="12" t="s">
        <v>23</v>
      </c>
      <c r="K71" s="19">
        <v>44689</v>
      </c>
      <c r="L71" s="19">
        <v>44329</v>
      </c>
      <c r="M71" s="19">
        <v>44329</v>
      </c>
      <c r="N71" s="12" t="s">
        <v>234</v>
      </c>
      <c r="O71" s="12" t="s">
        <v>46</v>
      </c>
      <c r="P71" s="12" t="s">
        <v>47</v>
      </c>
      <c r="Q71" s="2">
        <f t="shared" si="1"/>
        <v>1</v>
      </c>
    </row>
    <row r="72" spans="1:17" x14ac:dyDescent="0.25">
      <c r="A72" s="12" t="s">
        <v>286</v>
      </c>
      <c r="B72" s="12" t="s">
        <v>287</v>
      </c>
      <c r="C72" s="12" t="s">
        <v>19</v>
      </c>
      <c r="D72" s="12" t="s">
        <v>86</v>
      </c>
      <c r="E72" s="12" t="s">
        <v>212</v>
      </c>
      <c r="F72" s="12">
        <v>11.52</v>
      </c>
      <c r="G72" s="12" t="s">
        <v>206</v>
      </c>
      <c r="H72" s="12">
        <v>100</v>
      </c>
      <c r="I72" s="12">
        <v>11.52</v>
      </c>
      <c r="J72" s="12" t="s">
        <v>23</v>
      </c>
      <c r="K72" s="19">
        <v>44690</v>
      </c>
      <c r="L72" s="19">
        <v>44331</v>
      </c>
      <c r="M72" s="19">
        <v>44331</v>
      </c>
      <c r="N72" s="12" t="s">
        <v>248</v>
      </c>
      <c r="O72" s="12" t="s">
        <v>25</v>
      </c>
      <c r="P72" s="12" t="s">
        <v>26</v>
      </c>
      <c r="Q72" s="2">
        <f t="shared" si="1"/>
        <v>1</v>
      </c>
    </row>
    <row r="73" spans="1:17" x14ac:dyDescent="0.25">
      <c r="A73" s="12" t="s">
        <v>289</v>
      </c>
      <c r="B73" s="12" t="s">
        <v>290</v>
      </c>
      <c r="C73" s="12" t="s">
        <v>19</v>
      </c>
      <c r="D73" s="12" t="s">
        <v>31</v>
      </c>
      <c r="E73" s="12" t="s">
        <v>212</v>
      </c>
      <c r="F73" s="12">
        <v>269.36</v>
      </c>
      <c r="G73" s="12" t="s">
        <v>206</v>
      </c>
      <c r="H73" s="12">
        <v>100</v>
      </c>
      <c r="I73" s="12">
        <v>269.36</v>
      </c>
      <c r="J73" s="12" t="s">
        <v>23</v>
      </c>
      <c r="K73" s="19">
        <v>44693</v>
      </c>
      <c r="L73" s="19">
        <v>44333</v>
      </c>
      <c r="M73" s="19">
        <v>44333</v>
      </c>
      <c r="N73" s="12" t="s">
        <v>213</v>
      </c>
      <c r="O73" s="12" t="s">
        <v>97</v>
      </c>
      <c r="P73" s="12" t="s">
        <v>68</v>
      </c>
      <c r="Q73" s="2">
        <f t="shared" si="1"/>
        <v>1</v>
      </c>
    </row>
    <row r="74" spans="1:17" x14ac:dyDescent="0.25">
      <c r="A74" s="12" t="s">
        <v>292</v>
      </c>
      <c r="B74" s="12" t="s">
        <v>293</v>
      </c>
      <c r="C74" s="12" t="s">
        <v>30</v>
      </c>
      <c r="D74" s="12" t="s">
        <v>150</v>
      </c>
      <c r="E74" s="12" t="s">
        <v>205</v>
      </c>
      <c r="F74" s="12">
        <v>247.8</v>
      </c>
      <c r="G74" s="12" t="s">
        <v>206</v>
      </c>
      <c r="H74" s="12">
        <v>80</v>
      </c>
      <c r="I74" s="12">
        <v>198.24</v>
      </c>
      <c r="J74" s="12" t="s">
        <v>23</v>
      </c>
      <c r="K74" s="19">
        <v>44697</v>
      </c>
      <c r="L74" s="19">
        <v>44337</v>
      </c>
      <c r="M74" s="19">
        <v>44337</v>
      </c>
      <c r="N74" s="12" t="s">
        <v>207</v>
      </c>
      <c r="O74" s="12" t="s">
        <v>33</v>
      </c>
      <c r="P74" s="12" t="s">
        <v>34</v>
      </c>
      <c r="Q74" s="2">
        <f t="shared" si="1"/>
        <v>1</v>
      </c>
    </row>
    <row r="75" spans="1:17" x14ac:dyDescent="0.25">
      <c r="A75" s="12" t="s">
        <v>295</v>
      </c>
      <c r="B75" s="12" t="s">
        <v>296</v>
      </c>
      <c r="C75" s="12" t="s">
        <v>30</v>
      </c>
      <c r="D75" s="12" t="s">
        <v>164</v>
      </c>
      <c r="E75" s="12" t="s">
        <v>205</v>
      </c>
      <c r="F75" s="12">
        <v>11.91</v>
      </c>
      <c r="G75" s="12" t="s">
        <v>206</v>
      </c>
      <c r="H75" s="12">
        <v>80</v>
      </c>
      <c r="I75" s="12">
        <v>9.5280000000000005</v>
      </c>
      <c r="J75" s="12" t="s">
        <v>23</v>
      </c>
      <c r="K75" s="19">
        <v>44700</v>
      </c>
      <c r="L75" s="19">
        <v>44339</v>
      </c>
      <c r="M75" s="19">
        <v>44339</v>
      </c>
      <c r="N75" s="12" t="s">
        <v>248</v>
      </c>
      <c r="O75" s="12" t="s">
        <v>40</v>
      </c>
      <c r="P75" s="12" t="s">
        <v>34</v>
      </c>
      <c r="Q75" s="2">
        <f t="shared" si="1"/>
        <v>1</v>
      </c>
    </row>
    <row r="76" spans="1:17" x14ac:dyDescent="0.25">
      <c r="A76" s="12" t="s">
        <v>298</v>
      </c>
      <c r="B76" s="12" t="s">
        <v>299</v>
      </c>
      <c r="C76" s="12" t="s">
        <v>30</v>
      </c>
      <c r="D76" s="12" t="s">
        <v>62</v>
      </c>
      <c r="E76" s="12" t="s">
        <v>205</v>
      </c>
      <c r="F76" s="12">
        <v>1737.1799999999901</v>
      </c>
      <c r="G76" s="12" t="s">
        <v>206</v>
      </c>
      <c r="H76" s="12">
        <v>80</v>
      </c>
      <c r="I76" s="12">
        <v>1389.7439999999922</v>
      </c>
      <c r="J76" s="12" t="s">
        <v>23</v>
      </c>
      <c r="K76" s="19">
        <v>44703</v>
      </c>
      <c r="L76" s="19">
        <v>44342</v>
      </c>
      <c r="M76" s="19">
        <v>44342</v>
      </c>
      <c r="N76" s="12" t="s">
        <v>238</v>
      </c>
      <c r="O76" s="12" t="s">
        <v>46</v>
      </c>
      <c r="P76" s="12" t="s">
        <v>47</v>
      </c>
      <c r="Q76" s="2">
        <f t="shared" si="1"/>
        <v>1</v>
      </c>
    </row>
    <row r="77" spans="1:17" x14ac:dyDescent="0.25">
      <c r="A77" s="12" t="s">
        <v>301</v>
      </c>
      <c r="B77" s="12" t="s">
        <v>302</v>
      </c>
      <c r="C77" s="12" t="s">
        <v>30</v>
      </c>
      <c r="D77" s="12" t="s">
        <v>186</v>
      </c>
      <c r="E77" s="12" t="s">
        <v>212</v>
      </c>
      <c r="F77" s="12">
        <v>464.85</v>
      </c>
      <c r="G77" s="12" t="s">
        <v>206</v>
      </c>
      <c r="H77" s="12">
        <v>100</v>
      </c>
      <c r="I77" s="12">
        <v>464.85</v>
      </c>
      <c r="J77" s="12" t="s">
        <v>23</v>
      </c>
      <c r="K77" s="19">
        <v>44710</v>
      </c>
      <c r="L77" s="19">
        <v>44351</v>
      </c>
      <c r="M77" s="19">
        <v>44351</v>
      </c>
      <c r="N77" s="12" t="s">
        <v>213</v>
      </c>
      <c r="O77" s="12" t="s">
        <v>25</v>
      </c>
      <c r="P77" s="12" t="s">
        <v>26</v>
      </c>
      <c r="Q77" s="2">
        <f t="shared" si="1"/>
        <v>1</v>
      </c>
    </row>
    <row r="78" spans="1:17" x14ac:dyDescent="0.25">
      <c r="A78" s="12" t="s">
        <v>304</v>
      </c>
      <c r="B78" s="12" t="s">
        <v>305</v>
      </c>
      <c r="C78" s="12" t="s">
        <v>30</v>
      </c>
      <c r="D78" s="12" t="s">
        <v>119</v>
      </c>
      <c r="E78" s="12" t="s">
        <v>212</v>
      </c>
      <c r="F78" s="12">
        <v>10.368</v>
      </c>
      <c r="G78" s="12" t="s">
        <v>206</v>
      </c>
      <c r="H78" s="12">
        <v>100</v>
      </c>
      <c r="I78" s="12">
        <v>10.368</v>
      </c>
      <c r="J78" s="12" t="s">
        <v>23</v>
      </c>
      <c r="K78" s="19">
        <v>44711</v>
      </c>
      <c r="L78" s="19">
        <v>44348</v>
      </c>
      <c r="M78" s="19">
        <v>44348</v>
      </c>
      <c r="N78" s="12" t="s">
        <v>207</v>
      </c>
      <c r="O78" s="12" t="s">
        <v>25</v>
      </c>
      <c r="P78" s="12" t="s">
        <v>26</v>
      </c>
      <c r="Q78" s="2">
        <f t="shared" si="1"/>
        <v>1</v>
      </c>
    </row>
    <row r="79" spans="1:17" x14ac:dyDescent="0.25">
      <c r="A79" s="12" t="s">
        <v>307</v>
      </c>
      <c r="B79" s="12" t="s">
        <v>308</v>
      </c>
      <c r="C79" s="12" t="s">
        <v>19</v>
      </c>
      <c r="D79" s="12" t="s">
        <v>31</v>
      </c>
      <c r="E79" s="12" t="s">
        <v>212</v>
      </c>
      <c r="F79" s="12">
        <v>254.744</v>
      </c>
      <c r="G79" s="12" t="s">
        <v>206</v>
      </c>
      <c r="H79" s="12">
        <v>100</v>
      </c>
      <c r="I79" s="12">
        <v>254.744</v>
      </c>
      <c r="J79" s="12" t="s">
        <v>23</v>
      </c>
      <c r="K79" s="19">
        <v>44713</v>
      </c>
      <c r="L79" s="19">
        <v>44355</v>
      </c>
      <c r="M79" s="19">
        <v>44355</v>
      </c>
      <c r="N79" s="12" t="s">
        <v>234</v>
      </c>
      <c r="O79" s="12" t="s">
        <v>40</v>
      </c>
      <c r="P79" s="12" t="s">
        <v>34</v>
      </c>
      <c r="Q79" s="2">
        <f t="shared" si="1"/>
        <v>1</v>
      </c>
    </row>
    <row r="80" spans="1:17" x14ac:dyDescent="0.25">
      <c r="A80" s="12" t="s">
        <v>310</v>
      </c>
      <c r="B80" s="12" t="s">
        <v>311</v>
      </c>
      <c r="C80" s="12" t="s">
        <v>30</v>
      </c>
      <c r="D80" s="12" t="s">
        <v>126</v>
      </c>
      <c r="E80" s="12" t="s">
        <v>212</v>
      </c>
      <c r="F80" s="12">
        <v>13.12</v>
      </c>
      <c r="G80" s="12" t="s">
        <v>206</v>
      </c>
      <c r="H80" s="12">
        <v>100</v>
      </c>
      <c r="I80" s="12">
        <v>13.12</v>
      </c>
      <c r="J80" s="12" t="s">
        <v>23</v>
      </c>
      <c r="K80" s="19">
        <v>44713</v>
      </c>
      <c r="L80" s="19">
        <v>44348</v>
      </c>
      <c r="M80" s="19">
        <v>44348</v>
      </c>
      <c r="N80" s="12" t="s">
        <v>213</v>
      </c>
      <c r="O80" s="12" t="s">
        <v>33</v>
      </c>
      <c r="P80" s="12" t="s">
        <v>34</v>
      </c>
      <c r="Q80" s="2">
        <f t="shared" si="1"/>
        <v>1</v>
      </c>
    </row>
    <row r="81" spans="1:17" x14ac:dyDescent="0.25">
      <c r="A81" s="12" t="s">
        <v>313</v>
      </c>
      <c r="B81" s="12" t="s">
        <v>314</v>
      </c>
      <c r="C81" s="12" t="s">
        <v>30</v>
      </c>
      <c r="D81" s="12" t="s">
        <v>126</v>
      </c>
      <c r="E81" s="12" t="s">
        <v>205</v>
      </c>
      <c r="F81" s="12">
        <v>283.92</v>
      </c>
      <c r="G81" s="12" t="s">
        <v>206</v>
      </c>
      <c r="H81" s="12">
        <v>80</v>
      </c>
      <c r="I81" s="12">
        <v>227.13600000000002</v>
      </c>
      <c r="J81" s="12" t="s">
        <v>23</v>
      </c>
      <c r="K81" s="19">
        <v>44720</v>
      </c>
      <c r="L81" s="19">
        <v>44357</v>
      </c>
      <c r="M81" s="19">
        <v>44357</v>
      </c>
      <c r="N81" s="12" t="s">
        <v>213</v>
      </c>
      <c r="O81" s="12" t="s">
        <v>67</v>
      </c>
      <c r="P81" s="12" t="s">
        <v>68</v>
      </c>
      <c r="Q81" s="2">
        <f t="shared" si="1"/>
        <v>1</v>
      </c>
    </row>
    <row r="82" spans="1:17" x14ac:dyDescent="0.25">
      <c r="A82" s="12" t="s">
        <v>316</v>
      </c>
      <c r="B82" s="12" t="s">
        <v>317</v>
      </c>
      <c r="C82" s="12" t="s">
        <v>19</v>
      </c>
      <c r="D82" s="12" t="s">
        <v>31</v>
      </c>
      <c r="E82" s="12" t="s">
        <v>212</v>
      </c>
      <c r="F82" s="12">
        <v>29.99</v>
      </c>
      <c r="G82" s="12" t="s">
        <v>206</v>
      </c>
      <c r="H82" s="12">
        <v>100</v>
      </c>
      <c r="I82" s="12">
        <v>29.99</v>
      </c>
      <c r="J82" s="12" t="s">
        <v>23</v>
      </c>
      <c r="K82" s="19">
        <v>44725</v>
      </c>
      <c r="L82" s="19">
        <v>44364</v>
      </c>
      <c r="M82" s="19">
        <v>44364</v>
      </c>
      <c r="N82" s="12" t="s">
        <v>248</v>
      </c>
      <c r="O82" s="12" t="s">
        <v>67</v>
      </c>
      <c r="P82" s="12" t="s">
        <v>68</v>
      </c>
      <c r="Q82" s="2">
        <f t="shared" si="1"/>
        <v>1</v>
      </c>
    </row>
    <row r="83" spans="1:17" x14ac:dyDescent="0.25">
      <c r="A83" s="12" t="s">
        <v>319</v>
      </c>
      <c r="B83" s="12" t="s">
        <v>320</v>
      </c>
      <c r="C83" s="12" t="s">
        <v>30</v>
      </c>
      <c r="D83" s="12" t="s">
        <v>44</v>
      </c>
      <c r="E83" s="12" t="s">
        <v>205</v>
      </c>
      <c r="F83" s="12">
        <v>61.06</v>
      </c>
      <c r="G83" s="12" t="s">
        <v>206</v>
      </c>
      <c r="H83" s="12">
        <v>80</v>
      </c>
      <c r="I83" s="12">
        <v>48.848000000000006</v>
      </c>
      <c r="J83" s="12" t="s">
        <v>23</v>
      </c>
      <c r="K83" s="19">
        <v>44725</v>
      </c>
      <c r="L83" s="19">
        <v>44364</v>
      </c>
      <c r="M83" s="19">
        <v>44364</v>
      </c>
      <c r="N83" s="12" t="s">
        <v>238</v>
      </c>
      <c r="O83" s="12" t="s">
        <v>72</v>
      </c>
      <c r="P83" s="12" t="s">
        <v>73</v>
      </c>
      <c r="Q83" s="2">
        <f t="shared" si="1"/>
        <v>1</v>
      </c>
    </row>
    <row r="84" spans="1:17" x14ac:dyDescent="0.25">
      <c r="A84" s="12" t="s">
        <v>322</v>
      </c>
      <c r="B84" s="12" t="s">
        <v>323</v>
      </c>
      <c r="C84" s="12" t="s">
        <v>30</v>
      </c>
      <c r="D84" s="12" t="s">
        <v>324</v>
      </c>
      <c r="E84" s="12" t="s">
        <v>205</v>
      </c>
      <c r="F84" s="12">
        <v>31.92</v>
      </c>
      <c r="G84" s="12" t="s">
        <v>206</v>
      </c>
      <c r="H84" s="12">
        <v>80</v>
      </c>
      <c r="I84" s="12">
        <v>25.536000000000001</v>
      </c>
      <c r="J84" s="12" t="s">
        <v>23</v>
      </c>
      <c r="K84" s="19">
        <v>44728</v>
      </c>
      <c r="L84" s="19">
        <v>44367</v>
      </c>
      <c r="M84" s="19">
        <v>44367</v>
      </c>
      <c r="N84" s="12" t="s">
        <v>207</v>
      </c>
      <c r="O84" s="12" t="s">
        <v>82</v>
      </c>
      <c r="P84" s="12" t="s">
        <v>47</v>
      </c>
      <c r="Q84" s="2">
        <f t="shared" si="1"/>
        <v>1</v>
      </c>
    </row>
    <row r="85" spans="1:17" x14ac:dyDescent="0.25">
      <c r="A85" s="12" t="s">
        <v>326</v>
      </c>
      <c r="B85" s="12" t="s">
        <v>327</v>
      </c>
      <c r="C85" s="12" t="s">
        <v>30</v>
      </c>
      <c r="D85" s="12" t="s">
        <v>81</v>
      </c>
      <c r="E85" s="12" t="s">
        <v>212</v>
      </c>
      <c r="F85" s="12">
        <v>8.5679999999999907</v>
      </c>
      <c r="G85" s="12" t="s">
        <v>206</v>
      </c>
      <c r="H85" s="12">
        <v>100</v>
      </c>
      <c r="I85" s="12">
        <v>8.5679999999999907</v>
      </c>
      <c r="J85" s="12" t="s">
        <v>23</v>
      </c>
      <c r="K85" s="19">
        <v>44729</v>
      </c>
      <c r="L85" s="19">
        <v>44368</v>
      </c>
      <c r="M85" s="19">
        <v>44368</v>
      </c>
      <c r="N85" s="12" t="s">
        <v>248</v>
      </c>
      <c r="O85" s="12" t="s">
        <v>40</v>
      </c>
      <c r="P85" s="12" t="s">
        <v>34</v>
      </c>
      <c r="Q85" s="2">
        <f t="shared" si="1"/>
        <v>1</v>
      </c>
    </row>
    <row r="86" spans="1:17" x14ac:dyDescent="0.25">
      <c r="A86" s="12" t="s">
        <v>329</v>
      </c>
      <c r="B86" s="12" t="s">
        <v>330</v>
      </c>
      <c r="C86" s="12" t="s">
        <v>19</v>
      </c>
      <c r="D86" s="12" t="s">
        <v>20</v>
      </c>
      <c r="E86" s="12" t="s">
        <v>205</v>
      </c>
      <c r="F86" s="12">
        <v>85.9</v>
      </c>
      <c r="G86" s="12" t="s">
        <v>206</v>
      </c>
      <c r="H86" s="12">
        <v>80</v>
      </c>
      <c r="I86" s="12">
        <v>68.720000000000013</v>
      </c>
      <c r="J86" s="12" t="s">
        <v>23</v>
      </c>
      <c r="K86" s="19">
        <v>44731</v>
      </c>
      <c r="L86" s="19">
        <v>44370</v>
      </c>
      <c r="M86" s="19">
        <v>44370</v>
      </c>
      <c r="N86" s="12" t="s">
        <v>213</v>
      </c>
      <c r="O86" s="12" t="s">
        <v>97</v>
      </c>
      <c r="P86" s="12" t="s">
        <v>68</v>
      </c>
      <c r="Q86" s="2">
        <f t="shared" si="1"/>
        <v>1</v>
      </c>
    </row>
    <row r="87" spans="1:17" x14ac:dyDescent="0.25">
      <c r="A87" s="12" t="s">
        <v>332</v>
      </c>
      <c r="B87" s="12" t="s">
        <v>333</v>
      </c>
      <c r="C87" s="12" t="s">
        <v>30</v>
      </c>
      <c r="D87" s="12" t="s">
        <v>58</v>
      </c>
      <c r="E87" s="12" t="s">
        <v>205</v>
      </c>
      <c r="F87" s="12">
        <v>40.14</v>
      </c>
      <c r="G87" s="12" t="s">
        <v>206</v>
      </c>
      <c r="H87" s="12">
        <v>80</v>
      </c>
      <c r="I87" s="12">
        <v>32.112000000000002</v>
      </c>
      <c r="J87" s="12" t="s">
        <v>23</v>
      </c>
      <c r="K87" s="19">
        <v>44733</v>
      </c>
      <c r="L87" s="19">
        <v>44372</v>
      </c>
      <c r="M87" s="19">
        <v>44372</v>
      </c>
      <c r="N87" s="12" t="s">
        <v>248</v>
      </c>
      <c r="O87" s="12" t="s">
        <v>97</v>
      </c>
      <c r="P87" s="12" t="s">
        <v>68</v>
      </c>
      <c r="Q87" s="2">
        <f t="shared" si="1"/>
        <v>1</v>
      </c>
    </row>
    <row r="88" spans="1:17" x14ac:dyDescent="0.25">
      <c r="A88" s="12" t="s">
        <v>335</v>
      </c>
      <c r="B88" s="12" t="s">
        <v>336</v>
      </c>
      <c r="C88" s="12" t="s">
        <v>19</v>
      </c>
      <c r="D88" s="12" t="s">
        <v>51</v>
      </c>
      <c r="E88" s="12" t="s">
        <v>212</v>
      </c>
      <c r="F88" s="12">
        <v>43.13</v>
      </c>
      <c r="G88" s="12" t="s">
        <v>206</v>
      </c>
      <c r="H88" s="12">
        <v>100</v>
      </c>
      <c r="I88" s="12">
        <v>43.13</v>
      </c>
      <c r="J88" s="12" t="s">
        <v>23</v>
      </c>
      <c r="K88" s="19">
        <v>44733</v>
      </c>
      <c r="L88" s="19">
        <v>44371</v>
      </c>
      <c r="M88" s="19">
        <v>44371</v>
      </c>
      <c r="N88" s="12" t="s">
        <v>234</v>
      </c>
      <c r="O88" s="12" t="s">
        <v>72</v>
      </c>
      <c r="P88" s="12" t="s">
        <v>73</v>
      </c>
      <c r="Q88" s="2">
        <f t="shared" si="1"/>
        <v>1</v>
      </c>
    </row>
    <row r="89" spans="1:17" x14ac:dyDescent="0.25">
      <c r="A89" s="12" t="s">
        <v>338</v>
      </c>
      <c r="B89" s="12" t="s">
        <v>339</v>
      </c>
      <c r="C89" s="12" t="s">
        <v>19</v>
      </c>
      <c r="D89" s="12" t="s">
        <v>211</v>
      </c>
      <c r="E89" s="12" t="s">
        <v>205</v>
      </c>
      <c r="F89" s="12">
        <v>71.975999999999999</v>
      </c>
      <c r="G89" s="12" t="s">
        <v>206</v>
      </c>
      <c r="H89" s="12">
        <v>80</v>
      </c>
      <c r="I89" s="12">
        <v>57.580800000000004</v>
      </c>
      <c r="J89" s="12" t="s">
        <v>23</v>
      </c>
      <c r="K89" s="19">
        <v>44739</v>
      </c>
      <c r="L89" s="19">
        <v>44378</v>
      </c>
      <c r="M89" s="19">
        <v>44378</v>
      </c>
      <c r="N89" s="12" t="s">
        <v>207</v>
      </c>
      <c r="O89" s="12" t="s">
        <v>72</v>
      </c>
      <c r="P89" s="12" t="s">
        <v>73</v>
      </c>
      <c r="Q89" s="2">
        <f t="shared" si="1"/>
        <v>1</v>
      </c>
    </row>
    <row r="90" spans="1:17" x14ac:dyDescent="0.25">
      <c r="A90" s="12" t="s">
        <v>341</v>
      </c>
      <c r="B90" s="12" t="s">
        <v>342</v>
      </c>
      <c r="C90" s="12" t="s">
        <v>30</v>
      </c>
      <c r="D90" s="12" t="s">
        <v>62</v>
      </c>
      <c r="E90" s="12" t="s">
        <v>205</v>
      </c>
      <c r="F90" s="12">
        <v>7.8719999999999999</v>
      </c>
      <c r="G90" s="12" t="s">
        <v>206</v>
      </c>
      <c r="H90" s="12">
        <v>80</v>
      </c>
      <c r="I90" s="12">
        <v>6.2976000000000001</v>
      </c>
      <c r="J90" s="12" t="s">
        <v>23</v>
      </c>
      <c r="K90" s="19">
        <v>44749</v>
      </c>
      <c r="L90" s="19">
        <v>44389</v>
      </c>
      <c r="M90" s="19">
        <v>44389</v>
      </c>
      <c r="N90" s="12" t="s">
        <v>220</v>
      </c>
      <c r="O90" s="12" t="s">
        <v>97</v>
      </c>
      <c r="P90" s="12" t="s">
        <v>68</v>
      </c>
      <c r="Q90" s="2">
        <f t="shared" si="1"/>
        <v>1</v>
      </c>
    </row>
    <row r="91" spans="1:17" x14ac:dyDescent="0.25">
      <c r="A91" s="12" t="s">
        <v>343</v>
      </c>
      <c r="B91" s="12" t="s">
        <v>344</v>
      </c>
      <c r="C91" s="12" t="s">
        <v>19</v>
      </c>
      <c r="D91" s="12" t="s">
        <v>345</v>
      </c>
      <c r="E91" s="12" t="s">
        <v>212</v>
      </c>
      <c r="F91" s="12">
        <v>127.764</v>
      </c>
      <c r="G91" s="12" t="s">
        <v>206</v>
      </c>
      <c r="H91" s="12">
        <v>100</v>
      </c>
      <c r="I91" s="12">
        <v>127.764</v>
      </c>
      <c r="J91" s="12" t="s">
        <v>23</v>
      </c>
      <c r="K91" s="19">
        <v>44751</v>
      </c>
      <c r="L91" s="19">
        <v>44386</v>
      </c>
      <c r="M91" s="19">
        <v>44386</v>
      </c>
      <c r="N91" s="12" t="s">
        <v>238</v>
      </c>
      <c r="O91" s="12" t="s">
        <v>54</v>
      </c>
      <c r="P91" s="12" t="s">
        <v>26</v>
      </c>
      <c r="Q91" s="2">
        <f t="shared" si="1"/>
        <v>1</v>
      </c>
    </row>
    <row r="92" spans="1:17" x14ac:dyDescent="0.25">
      <c r="A92" s="12" t="s">
        <v>347</v>
      </c>
      <c r="B92" s="12" t="s">
        <v>348</v>
      </c>
      <c r="C92" s="12" t="s">
        <v>19</v>
      </c>
      <c r="D92" s="12" t="s">
        <v>230</v>
      </c>
      <c r="E92" s="12" t="s">
        <v>212</v>
      </c>
      <c r="F92" s="12">
        <v>38.22</v>
      </c>
      <c r="G92" s="12" t="s">
        <v>206</v>
      </c>
      <c r="H92" s="12">
        <v>100</v>
      </c>
      <c r="I92" s="12">
        <v>38.22</v>
      </c>
      <c r="J92" s="12" t="s">
        <v>23</v>
      </c>
      <c r="K92" s="19">
        <v>44752</v>
      </c>
      <c r="L92" s="19">
        <v>44391</v>
      </c>
      <c r="M92" s="19">
        <v>44391</v>
      </c>
      <c r="N92" s="12" t="s">
        <v>220</v>
      </c>
      <c r="O92" s="12" t="s">
        <v>33</v>
      </c>
      <c r="P92" s="12" t="s">
        <v>34</v>
      </c>
      <c r="Q92" s="2">
        <f t="shared" si="1"/>
        <v>1</v>
      </c>
    </row>
    <row r="93" spans="1:17" x14ac:dyDescent="0.25">
      <c r="A93" s="12" t="s">
        <v>350</v>
      </c>
      <c r="B93" s="12" t="s">
        <v>351</v>
      </c>
      <c r="C93" s="12" t="s">
        <v>30</v>
      </c>
      <c r="D93" s="12" t="s">
        <v>44</v>
      </c>
      <c r="E93" s="12" t="s">
        <v>212</v>
      </c>
      <c r="F93" s="12">
        <v>62.295999999999999</v>
      </c>
      <c r="G93" s="12" t="s">
        <v>206</v>
      </c>
      <c r="H93" s="12">
        <v>100</v>
      </c>
      <c r="I93" s="12">
        <v>62.295999999999999</v>
      </c>
      <c r="J93" s="12" t="s">
        <v>23</v>
      </c>
      <c r="K93" s="19">
        <v>44753</v>
      </c>
      <c r="L93" s="19">
        <v>44392</v>
      </c>
      <c r="M93" s="19">
        <v>44392</v>
      </c>
      <c r="N93" s="12" t="s">
        <v>238</v>
      </c>
      <c r="O93" s="12" t="s">
        <v>97</v>
      </c>
      <c r="P93" s="12" t="s">
        <v>68</v>
      </c>
      <c r="Q93" s="2">
        <f t="shared" si="1"/>
        <v>1</v>
      </c>
    </row>
    <row r="94" spans="1:17" x14ac:dyDescent="0.25">
      <c r="A94" s="12" t="s">
        <v>353</v>
      </c>
      <c r="B94" s="12" t="s">
        <v>354</v>
      </c>
      <c r="C94" s="12" t="s">
        <v>19</v>
      </c>
      <c r="D94" s="12" t="s">
        <v>20</v>
      </c>
      <c r="E94" s="12" t="s">
        <v>212</v>
      </c>
      <c r="F94" s="12">
        <v>5.84</v>
      </c>
      <c r="G94" s="12" t="s">
        <v>206</v>
      </c>
      <c r="H94" s="12">
        <v>100</v>
      </c>
      <c r="I94" s="12">
        <v>5.84</v>
      </c>
      <c r="J94" s="12" t="s">
        <v>23</v>
      </c>
      <c r="K94" s="19">
        <v>44760</v>
      </c>
      <c r="L94" s="19">
        <v>44397</v>
      </c>
      <c r="M94" s="19">
        <v>44397</v>
      </c>
      <c r="N94" s="12" t="s">
        <v>213</v>
      </c>
      <c r="O94" s="12" t="s">
        <v>40</v>
      </c>
      <c r="P94" s="12" t="s">
        <v>34</v>
      </c>
      <c r="Q94" s="2">
        <f t="shared" si="1"/>
        <v>1</v>
      </c>
    </row>
    <row r="95" spans="1:17" x14ac:dyDescent="0.25">
      <c r="A95" s="12" t="s">
        <v>356</v>
      </c>
      <c r="B95" s="12" t="s">
        <v>357</v>
      </c>
      <c r="C95" s="12" t="s">
        <v>19</v>
      </c>
      <c r="D95" s="12" t="s">
        <v>139</v>
      </c>
      <c r="E95" s="12" t="s">
        <v>212</v>
      </c>
      <c r="F95" s="12">
        <v>21.34</v>
      </c>
      <c r="G95" s="12" t="s">
        <v>206</v>
      </c>
      <c r="H95" s="12">
        <v>100</v>
      </c>
      <c r="I95" s="12">
        <v>21.34</v>
      </c>
      <c r="J95" s="12" t="s">
        <v>23</v>
      </c>
      <c r="K95" s="19">
        <v>44760</v>
      </c>
      <c r="L95" s="19">
        <v>44398</v>
      </c>
      <c r="M95" s="19">
        <v>44398</v>
      </c>
      <c r="N95" s="12" t="s">
        <v>238</v>
      </c>
      <c r="O95" s="12" t="s">
        <v>72</v>
      </c>
      <c r="P95" s="12" t="s">
        <v>73</v>
      </c>
      <c r="Q95" s="2">
        <f t="shared" si="1"/>
        <v>1</v>
      </c>
    </row>
    <row r="96" spans="1:17" x14ac:dyDescent="0.25">
      <c r="A96" s="12" t="s">
        <v>359</v>
      </c>
      <c r="B96" s="12" t="s">
        <v>360</v>
      </c>
      <c r="C96" s="12" t="s">
        <v>19</v>
      </c>
      <c r="D96" s="12" t="s">
        <v>51</v>
      </c>
      <c r="E96" s="12" t="s">
        <v>212</v>
      </c>
      <c r="F96" s="12">
        <v>201.584</v>
      </c>
      <c r="G96" s="12" t="s">
        <v>206</v>
      </c>
      <c r="H96" s="12">
        <v>100</v>
      </c>
      <c r="I96" s="12">
        <v>201.584</v>
      </c>
      <c r="J96" s="12" t="s">
        <v>23</v>
      </c>
      <c r="K96" s="19">
        <v>44773</v>
      </c>
      <c r="L96" s="19">
        <v>44410</v>
      </c>
      <c r="M96" s="19">
        <v>44410</v>
      </c>
      <c r="N96" s="12" t="s">
        <v>248</v>
      </c>
      <c r="O96" s="12" t="s">
        <v>46</v>
      </c>
      <c r="P96" s="12" t="s">
        <v>47</v>
      </c>
      <c r="Q96" s="2">
        <f t="shared" si="1"/>
        <v>1</v>
      </c>
    </row>
    <row r="97" spans="1:17" x14ac:dyDescent="0.25">
      <c r="A97" s="12" t="s">
        <v>362</v>
      </c>
      <c r="B97" s="12" t="s">
        <v>363</v>
      </c>
      <c r="C97" s="12" t="s">
        <v>30</v>
      </c>
      <c r="D97" s="12" t="s">
        <v>186</v>
      </c>
      <c r="E97" s="12" t="s">
        <v>212</v>
      </c>
      <c r="F97" s="12">
        <v>97.567999999999998</v>
      </c>
      <c r="G97" s="12" t="s">
        <v>206</v>
      </c>
      <c r="H97" s="12">
        <v>100</v>
      </c>
      <c r="I97" s="12">
        <v>97.567999999999998</v>
      </c>
      <c r="J97" s="12" t="s">
        <v>23</v>
      </c>
      <c r="K97" s="19">
        <v>44776</v>
      </c>
      <c r="L97" s="19">
        <v>44415</v>
      </c>
      <c r="M97" s="19">
        <v>44415</v>
      </c>
      <c r="N97" s="12" t="s">
        <v>207</v>
      </c>
      <c r="O97" s="12" t="s">
        <v>67</v>
      </c>
      <c r="P97" s="12" t="s">
        <v>68</v>
      </c>
      <c r="Q97" s="2">
        <f t="shared" si="1"/>
        <v>1</v>
      </c>
    </row>
    <row r="98" spans="1:17" x14ac:dyDescent="0.25">
      <c r="A98" s="12" t="s">
        <v>365</v>
      </c>
      <c r="B98" s="12" t="s">
        <v>366</v>
      </c>
      <c r="C98" s="12" t="s">
        <v>30</v>
      </c>
      <c r="D98" s="12" t="s">
        <v>62</v>
      </c>
      <c r="E98" s="12" t="s">
        <v>212</v>
      </c>
      <c r="F98" s="12">
        <v>535.41</v>
      </c>
      <c r="G98" s="12" t="s">
        <v>206</v>
      </c>
      <c r="H98" s="12">
        <v>100</v>
      </c>
      <c r="I98" s="12">
        <v>535.41</v>
      </c>
      <c r="J98" s="12" t="s">
        <v>23</v>
      </c>
      <c r="K98" s="19">
        <v>44782</v>
      </c>
      <c r="L98" s="19">
        <v>44421</v>
      </c>
      <c r="M98" s="19">
        <v>44421</v>
      </c>
      <c r="N98" s="12" t="s">
        <v>207</v>
      </c>
      <c r="O98" s="12" t="s">
        <v>82</v>
      </c>
      <c r="P98" s="12" t="s">
        <v>47</v>
      </c>
      <c r="Q98" s="2">
        <f t="shared" si="1"/>
        <v>1</v>
      </c>
    </row>
    <row r="99" spans="1:17" x14ac:dyDescent="0.25">
      <c r="A99" s="12" t="s">
        <v>368</v>
      </c>
      <c r="B99" s="12" t="s">
        <v>369</v>
      </c>
      <c r="C99" s="12" t="s">
        <v>30</v>
      </c>
      <c r="D99" s="12" t="s">
        <v>370</v>
      </c>
      <c r="E99" s="12" t="s">
        <v>205</v>
      </c>
      <c r="F99" s="12">
        <v>28.91</v>
      </c>
      <c r="G99" s="12" t="s">
        <v>206</v>
      </c>
      <c r="H99" s="12">
        <v>80</v>
      </c>
      <c r="I99" s="12">
        <v>23.128</v>
      </c>
      <c r="J99" s="12" t="s">
        <v>23</v>
      </c>
      <c r="K99" s="19">
        <v>44787</v>
      </c>
      <c r="L99" s="19">
        <v>44429</v>
      </c>
      <c r="M99" s="19">
        <v>44429</v>
      </c>
      <c r="N99" s="12" t="s">
        <v>213</v>
      </c>
      <c r="O99" s="12" t="s">
        <v>97</v>
      </c>
      <c r="P99" s="12" t="s">
        <v>68</v>
      </c>
      <c r="Q99" s="2">
        <f t="shared" si="1"/>
        <v>1</v>
      </c>
    </row>
    <row r="100" spans="1:17" x14ac:dyDescent="0.25">
      <c r="A100" s="12" t="s">
        <v>372</v>
      </c>
      <c r="B100" s="12" t="s">
        <v>373</v>
      </c>
      <c r="C100" s="12" t="s">
        <v>30</v>
      </c>
      <c r="D100" s="12" t="s">
        <v>139</v>
      </c>
      <c r="E100" s="12" t="s">
        <v>212</v>
      </c>
      <c r="F100" s="12">
        <v>67.98</v>
      </c>
      <c r="G100" s="12" t="s">
        <v>206</v>
      </c>
      <c r="H100" s="12">
        <v>100</v>
      </c>
      <c r="I100" s="12">
        <v>67.98</v>
      </c>
      <c r="J100" s="12" t="s">
        <v>23</v>
      </c>
      <c r="K100" s="19">
        <v>44787</v>
      </c>
      <c r="L100" s="19">
        <v>44425</v>
      </c>
      <c r="M100" s="19">
        <v>44425</v>
      </c>
      <c r="N100" s="12" t="s">
        <v>238</v>
      </c>
      <c r="O100" s="12" t="s">
        <v>25</v>
      </c>
      <c r="P100" s="12" t="s">
        <v>26</v>
      </c>
      <c r="Q100" s="2">
        <f t="shared" si="1"/>
        <v>1</v>
      </c>
    </row>
    <row r="101" spans="1:17" x14ac:dyDescent="0.25">
      <c r="A101" s="12" t="s">
        <v>375</v>
      </c>
      <c r="B101" s="12" t="s">
        <v>376</v>
      </c>
      <c r="C101" s="12" t="s">
        <v>19</v>
      </c>
      <c r="D101" s="12" t="s">
        <v>230</v>
      </c>
      <c r="E101" s="12" t="s">
        <v>205</v>
      </c>
      <c r="F101" s="12">
        <v>186.69</v>
      </c>
      <c r="G101" s="12" t="s">
        <v>206</v>
      </c>
      <c r="H101" s="12">
        <v>80</v>
      </c>
      <c r="I101" s="12">
        <v>149.352</v>
      </c>
      <c r="J101" s="12" t="s">
        <v>23</v>
      </c>
      <c r="K101" s="19">
        <v>44802</v>
      </c>
      <c r="L101" s="19">
        <v>44442</v>
      </c>
      <c r="M101" s="19">
        <v>44442</v>
      </c>
      <c r="N101" s="12" t="s">
        <v>238</v>
      </c>
      <c r="O101" s="12" t="s">
        <v>46</v>
      </c>
      <c r="P101" s="12" t="s">
        <v>47</v>
      </c>
      <c r="Q101" s="2">
        <f t="shared" si="1"/>
        <v>1</v>
      </c>
    </row>
    <row r="102" spans="1:17" x14ac:dyDescent="0.25">
      <c r="A102" s="12" t="s">
        <v>378</v>
      </c>
      <c r="B102" s="12" t="s">
        <v>379</v>
      </c>
      <c r="C102" s="12" t="s">
        <v>19</v>
      </c>
      <c r="D102" s="12" t="s">
        <v>105</v>
      </c>
      <c r="E102" s="12" t="s">
        <v>212</v>
      </c>
      <c r="F102" s="12">
        <v>228.92</v>
      </c>
      <c r="G102" s="12" t="s">
        <v>206</v>
      </c>
      <c r="H102" s="12">
        <v>100</v>
      </c>
      <c r="I102" s="12">
        <v>228.92</v>
      </c>
      <c r="J102" s="12" t="s">
        <v>23</v>
      </c>
      <c r="K102" s="19">
        <v>44805</v>
      </c>
      <c r="L102" s="19">
        <v>44445</v>
      </c>
      <c r="M102" s="19">
        <v>44445</v>
      </c>
      <c r="N102" s="12" t="s">
        <v>220</v>
      </c>
      <c r="O102" s="12" t="s">
        <v>25</v>
      </c>
      <c r="P102" s="12" t="s">
        <v>26</v>
      </c>
      <c r="Q102" s="2">
        <f t="shared" si="1"/>
        <v>1</v>
      </c>
    </row>
    <row r="103" spans="1:17" x14ac:dyDescent="0.25">
      <c r="A103" s="12" t="s">
        <v>381</v>
      </c>
      <c r="B103" s="12" t="s">
        <v>382</v>
      </c>
      <c r="C103" s="12" t="s">
        <v>19</v>
      </c>
      <c r="D103" s="12" t="s">
        <v>115</v>
      </c>
      <c r="E103" s="12" t="s">
        <v>205</v>
      </c>
      <c r="F103" s="12">
        <v>60.84</v>
      </c>
      <c r="G103" s="12" t="s">
        <v>206</v>
      </c>
      <c r="H103" s="12">
        <v>80</v>
      </c>
      <c r="I103" s="12">
        <v>48.672000000000004</v>
      </c>
      <c r="J103" s="12" t="s">
        <v>23</v>
      </c>
      <c r="K103" s="19">
        <v>44805</v>
      </c>
      <c r="L103" s="19">
        <v>44445</v>
      </c>
      <c r="M103" s="19">
        <v>44445</v>
      </c>
      <c r="N103" s="12" t="s">
        <v>234</v>
      </c>
      <c r="O103" s="12" t="s">
        <v>54</v>
      </c>
      <c r="P103" s="12" t="s">
        <v>26</v>
      </c>
      <c r="Q103" s="2">
        <f t="shared" si="1"/>
        <v>1</v>
      </c>
    </row>
    <row r="104" spans="1:17" x14ac:dyDescent="0.25">
      <c r="A104" s="12" t="s">
        <v>384</v>
      </c>
      <c r="B104" s="12" t="s">
        <v>385</v>
      </c>
      <c r="C104" s="12" t="s">
        <v>19</v>
      </c>
      <c r="D104" s="12" t="s">
        <v>211</v>
      </c>
      <c r="E104" s="12" t="s">
        <v>212</v>
      </c>
      <c r="F104" s="12">
        <v>15.8</v>
      </c>
      <c r="G104" s="12" t="s">
        <v>206</v>
      </c>
      <c r="H104" s="12">
        <v>100</v>
      </c>
      <c r="I104" s="12">
        <v>15.8</v>
      </c>
      <c r="J104" s="12" t="s">
        <v>23</v>
      </c>
      <c r="K104" s="19">
        <v>44809</v>
      </c>
      <c r="L104" s="19">
        <v>44448</v>
      </c>
      <c r="M104" s="19">
        <v>44448</v>
      </c>
      <c r="N104" s="12" t="s">
        <v>213</v>
      </c>
      <c r="O104" s="12" t="s">
        <v>97</v>
      </c>
      <c r="P104" s="12" t="s">
        <v>68</v>
      </c>
      <c r="Q104" s="2">
        <f t="shared" si="1"/>
        <v>1</v>
      </c>
    </row>
    <row r="105" spans="1:17" x14ac:dyDescent="0.25">
      <c r="A105" s="12" t="s">
        <v>387</v>
      </c>
      <c r="B105" s="12" t="s">
        <v>388</v>
      </c>
      <c r="C105" s="12" t="s">
        <v>19</v>
      </c>
      <c r="D105" s="12" t="s">
        <v>154</v>
      </c>
      <c r="E105" s="12" t="s">
        <v>205</v>
      </c>
      <c r="F105" s="12">
        <v>464.97</v>
      </c>
      <c r="G105" s="12" t="s">
        <v>206</v>
      </c>
      <c r="H105" s="12">
        <v>80</v>
      </c>
      <c r="I105" s="12">
        <v>371.97600000000006</v>
      </c>
      <c r="J105" s="12" t="s">
        <v>23</v>
      </c>
      <c r="K105" s="19">
        <v>44809</v>
      </c>
      <c r="L105" s="19">
        <v>44447</v>
      </c>
      <c r="M105" s="19">
        <v>44447</v>
      </c>
      <c r="N105" s="12" t="s">
        <v>207</v>
      </c>
      <c r="O105" s="12" t="s">
        <v>40</v>
      </c>
      <c r="P105" s="12" t="s">
        <v>34</v>
      </c>
      <c r="Q105" s="2">
        <f t="shared" si="1"/>
        <v>1</v>
      </c>
    </row>
    <row r="106" spans="1:17" x14ac:dyDescent="0.25">
      <c r="A106" s="12" t="s">
        <v>390</v>
      </c>
      <c r="B106" s="12" t="s">
        <v>391</v>
      </c>
      <c r="C106" s="12" t="s">
        <v>30</v>
      </c>
      <c r="D106" s="12" t="s">
        <v>150</v>
      </c>
      <c r="E106" s="12" t="s">
        <v>205</v>
      </c>
      <c r="F106" s="12">
        <v>181.96</v>
      </c>
      <c r="G106" s="12" t="s">
        <v>206</v>
      </c>
      <c r="H106" s="12">
        <v>80</v>
      </c>
      <c r="I106" s="12">
        <v>145.56800000000001</v>
      </c>
      <c r="J106" s="12" t="s">
        <v>23</v>
      </c>
      <c r="K106" s="19">
        <v>44810</v>
      </c>
      <c r="L106" s="19">
        <v>44452</v>
      </c>
      <c r="M106" s="19">
        <v>44452</v>
      </c>
      <c r="N106" s="12" t="s">
        <v>248</v>
      </c>
      <c r="O106" s="12" t="s">
        <v>33</v>
      </c>
      <c r="P106" s="12" t="s">
        <v>34</v>
      </c>
      <c r="Q106" s="2">
        <f t="shared" si="1"/>
        <v>1</v>
      </c>
    </row>
    <row r="107" spans="1:17" x14ac:dyDescent="0.25">
      <c r="A107" s="12" t="s">
        <v>392</v>
      </c>
      <c r="B107" s="12" t="s">
        <v>393</v>
      </c>
      <c r="C107" s="12" t="s">
        <v>19</v>
      </c>
      <c r="D107" s="12" t="s">
        <v>31</v>
      </c>
      <c r="E107" s="12" t="s">
        <v>205</v>
      </c>
      <c r="F107" s="12">
        <v>137.25</v>
      </c>
      <c r="G107" s="12" t="s">
        <v>206</v>
      </c>
      <c r="H107" s="12">
        <v>80</v>
      </c>
      <c r="I107" s="12">
        <v>109.80000000000001</v>
      </c>
      <c r="J107" s="12" t="s">
        <v>23</v>
      </c>
      <c r="K107" s="19">
        <v>44811</v>
      </c>
      <c r="L107" s="19">
        <v>44450</v>
      </c>
      <c r="M107" s="19">
        <v>44450</v>
      </c>
      <c r="N107" s="12" t="s">
        <v>248</v>
      </c>
      <c r="O107" s="12" t="s">
        <v>82</v>
      </c>
      <c r="P107" s="12" t="s">
        <v>47</v>
      </c>
      <c r="Q107" s="2">
        <f t="shared" si="1"/>
        <v>1</v>
      </c>
    </row>
    <row r="108" spans="1:17" x14ac:dyDescent="0.25">
      <c r="A108" s="12" t="s">
        <v>395</v>
      </c>
      <c r="B108" s="12" t="s">
        <v>396</v>
      </c>
      <c r="C108" s="12" t="s">
        <v>19</v>
      </c>
      <c r="D108" s="12" t="s">
        <v>38</v>
      </c>
      <c r="E108" s="12" t="s">
        <v>212</v>
      </c>
      <c r="F108" s="12">
        <v>12.39</v>
      </c>
      <c r="G108" s="12" t="s">
        <v>206</v>
      </c>
      <c r="H108" s="12">
        <v>100</v>
      </c>
      <c r="I108" s="12">
        <v>12.39</v>
      </c>
      <c r="J108" s="12" t="s">
        <v>23</v>
      </c>
      <c r="K108" s="19">
        <v>44811</v>
      </c>
      <c r="L108" s="19">
        <v>44448</v>
      </c>
      <c r="M108" s="19">
        <v>44448</v>
      </c>
      <c r="N108" s="12" t="s">
        <v>220</v>
      </c>
      <c r="O108" s="12" t="s">
        <v>82</v>
      </c>
      <c r="P108" s="12" t="s">
        <v>47</v>
      </c>
      <c r="Q108" s="2">
        <f t="shared" si="1"/>
        <v>1</v>
      </c>
    </row>
    <row r="109" spans="1:17" x14ac:dyDescent="0.25">
      <c r="A109" s="12" t="s">
        <v>398</v>
      </c>
      <c r="B109" s="12" t="s">
        <v>399</v>
      </c>
      <c r="C109" s="12" t="s">
        <v>19</v>
      </c>
      <c r="D109" s="12" t="s">
        <v>119</v>
      </c>
      <c r="E109" s="12" t="s">
        <v>205</v>
      </c>
      <c r="F109" s="12">
        <v>23.04</v>
      </c>
      <c r="G109" s="12" t="s">
        <v>206</v>
      </c>
      <c r="H109" s="12">
        <v>80</v>
      </c>
      <c r="I109" s="12">
        <v>18.431999999999999</v>
      </c>
      <c r="J109" s="12" t="s">
        <v>23</v>
      </c>
      <c r="K109" s="19">
        <v>44815</v>
      </c>
      <c r="L109" s="19">
        <v>44452</v>
      </c>
      <c r="M109" s="19">
        <v>44452</v>
      </c>
      <c r="N109" s="12" t="s">
        <v>234</v>
      </c>
      <c r="O109" s="12" t="s">
        <v>97</v>
      </c>
      <c r="P109" s="12" t="s">
        <v>68</v>
      </c>
      <c r="Q109" s="2">
        <f t="shared" si="1"/>
        <v>1</v>
      </c>
    </row>
    <row r="110" spans="1:17" x14ac:dyDescent="0.25">
      <c r="A110" s="12" t="s">
        <v>401</v>
      </c>
      <c r="B110" s="12" t="s">
        <v>402</v>
      </c>
      <c r="C110" s="12" t="s">
        <v>30</v>
      </c>
      <c r="D110" s="12" t="s">
        <v>51</v>
      </c>
      <c r="E110" s="12" t="s">
        <v>205</v>
      </c>
      <c r="F110" s="12">
        <v>1004.976</v>
      </c>
      <c r="G110" s="12" t="s">
        <v>206</v>
      </c>
      <c r="H110" s="12">
        <v>80</v>
      </c>
      <c r="I110" s="12">
        <v>803.98080000000004</v>
      </c>
      <c r="J110" s="12" t="s">
        <v>23</v>
      </c>
      <c r="K110" s="19">
        <v>44815</v>
      </c>
      <c r="L110" s="19">
        <v>44456</v>
      </c>
      <c r="M110" s="19">
        <v>44456</v>
      </c>
      <c r="N110" s="12" t="s">
        <v>207</v>
      </c>
      <c r="O110" s="12" t="s">
        <v>25</v>
      </c>
      <c r="P110" s="12" t="s">
        <v>26</v>
      </c>
      <c r="Q110" s="2">
        <f t="shared" si="1"/>
        <v>1</v>
      </c>
    </row>
    <row r="111" spans="1:17" x14ac:dyDescent="0.25">
      <c r="A111" s="12" t="s">
        <v>404</v>
      </c>
      <c r="B111" s="12" t="s">
        <v>405</v>
      </c>
      <c r="C111" s="12" t="s">
        <v>19</v>
      </c>
      <c r="D111" s="12" t="s">
        <v>31</v>
      </c>
      <c r="E111" s="12" t="s">
        <v>212</v>
      </c>
      <c r="F111" s="12">
        <v>138</v>
      </c>
      <c r="G111" s="12" t="s">
        <v>206</v>
      </c>
      <c r="H111" s="12">
        <v>100</v>
      </c>
      <c r="I111" s="12">
        <v>138</v>
      </c>
      <c r="J111" s="12" t="s">
        <v>23</v>
      </c>
      <c r="K111" s="19">
        <v>44818</v>
      </c>
      <c r="L111" s="19">
        <v>44459</v>
      </c>
      <c r="M111" s="19">
        <v>44459</v>
      </c>
      <c r="N111" s="12" t="s">
        <v>213</v>
      </c>
      <c r="O111" s="12" t="s">
        <v>67</v>
      </c>
      <c r="P111" s="12" t="s">
        <v>68</v>
      </c>
      <c r="Q111" s="2">
        <f t="shared" si="1"/>
        <v>1</v>
      </c>
    </row>
    <row r="112" spans="1:17" x14ac:dyDescent="0.25">
      <c r="A112" s="12" t="s">
        <v>407</v>
      </c>
      <c r="B112" s="12" t="s">
        <v>408</v>
      </c>
      <c r="C112" s="12" t="s">
        <v>30</v>
      </c>
      <c r="D112" s="12" t="s">
        <v>164</v>
      </c>
      <c r="E112" s="12" t="s">
        <v>205</v>
      </c>
      <c r="F112" s="12">
        <v>5.64</v>
      </c>
      <c r="G112" s="12" t="s">
        <v>206</v>
      </c>
      <c r="H112" s="12">
        <v>80</v>
      </c>
      <c r="I112" s="12">
        <v>4.5119999999999996</v>
      </c>
      <c r="J112" s="12" t="s">
        <v>23</v>
      </c>
      <c r="K112" s="19">
        <v>44819</v>
      </c>
      <c r="L112" s="19">
        <v>44459</v>
      </c>
      <c r="M112" s="19">
        <v>44459</v>
      </c>
      <c r="N112" s="12" t="s">
        <v>220</v>
      </c>
      <c r="O112" s="12" t="s">
        <v>33</v>
      </c>
      <c r="P112" s="12" t="s">
        <v>34</v>
      </c>
      <c r="Q112" s="2">
        <f t="shared" si="1"/>
        <v>1</v>
      </c>
    </row>
    <row r="113" spans="1:17" x14ac:dyDescent="0.25">
      <c r="A113" s="12" t="s">
        <v>410</v>
      </c>
      <c r="B113" s="12" t="s">
        <v>411</v>
      </c>
      <c r="C113" s="12" t="s">
        <v>19</v>
      </c>
      <c r="D113" s="12" t="s">
        <v>105</v>
      </c>
      <c r="E113" s="12" t="s">
        <v>212</v>
      </c>
      <c r="F113" s="12">
        <v>3.488</v>
      </c>
      <c r="G113" s="12" t="s">
        <v>206</v>
      </c>
      <c r="H113" s="12">
        <v>100</v>
      </c>
      <c r="I113" s="12">
        <v>3.488</v>
      </c>
      <c r="J113" s="12" t="s">
        <v>23</v>
      </c>
      <c r="K113" s="19">
        <v>44823</v>
      </c>
      <c r="L113" s="19">
        <v>44461</v>
      </c>
      <c r="M113" s="19">
        <v>44461</v>
      </c>
      <c r="N113" s="12" t="s">
        <v>234</v>
      </c>
      <c r="O113" s="12" t="s">
        <v>33</v>
      </c>
      <c r="P113" s="12" t="s">
        <v>34</v>
      </c>
      <c r="Q113" s="2">
        <f t="shared" si="1"/>
        <v>1</v>
      </c>
    </row>
    <row r="114" spans="1:17" x14ac:dyDescent="0.25">
      <c r="A114" s="12" t="s">
        <v>413</v>
      </c>
      <c r="B114" s="12" t="s">
        <v>414</v>
      </c>
      <c r="C114" s="12" t="s">
        <v>19</v>
      </c>
      <c r="D114" s="12" t="s">
        <v>370</v>
      </c>
      <c r="E114" s="12" t="s">
        <v>205</v>
      </c>
      <c r="F114" s="12">
        <v>999.43200000000002</v>
      </c>
      <c r="G114" s="12" t="s">
        <v>206</v>
      </c>
      <c r="H114" s="12">
        <v>80</v>
      </c>
      <c r="I114" s="12">
        <v>799.54560000000004</v>
      </c>
      <c r="J114" s="12" t="s">
        <v>23</v>
      </c>
      <c r="K114" s="19">
        <v>44824</v>
      </c>
      <c r="L114" s="19">
        <v>44462</v>
      </c>
      <c r="M114" s="19">
        <v>44462</v>
      </c>
      <c r="N114" s="12" t="s">
        <v>238</v>
      </c>
      <c r="O114" s="12" t="s">
        <v>72</v>
      </c>
      <c r="P114" s="12" t="s">
        <v>73</v>
      </c>
      <c r="Q114" s="2">
        <f t="shared" si="1"/>
        <v>1</v>
      </c>
    </row>
    <row r="115" spans="1:17" x14ac:dyDescent="0.25">
      <c r="A115" s="12" t="s">
        <v>415</v>
      </c>
      <c r="B115" s="12" t="s">
        <v>416</v>
      </c>
      <c r="C115" s="12" t="s">
        <v>19</v>
      </c>
      <c r="D115" s="12" t="s">
        <v>105</v>
      </c>
      <c r="E115" s="12" t="s">
        <v>205</v>
      </c>
      <c r="F115" s="12">
        <v>470.36</v>
      </c>
      <c r="G115" s="12" t="s">
        <v>206</v>
      </c>
      <c r="H115" s="12">
        <v>80</v>
      </c>
      <c r="I115" s="12">
        <v>376.28800000000001</v>
      </c>
      <c r="J115" s="12" t="s">
        <v>23</v>
      </c>
      <c r="K115" s="19">
        <v>44825</v>
      </c>
      <c r="L115" s="19">
        <v>44466</v>
      </c>
      <c r="M115" s="19">
        <v>44466</v>
      </c>
      <c r="N115" s="12" t="s">
        <v>248</v>
      </c>
      <c r="O115" s="12" t="s">
        <v>82</v>
      </c>
      <c r="P115" s="12" t="s">
        <v>47</v>
      </c>
      <c r="Q115" s="2">
        <f t="shared" si="1"/>
        <v>1</v>
      </c>
    </row>
    <row r="116" spans="1:17" x14ac:dyDescent="0.25">
      <c r="A116" s="12" t="s">
        <v>418</v>
      </c>
      <c r="B116" s="12" t="s">
        <v>419</v>
      </c>
      <c r="C116" s="12" t="s">
        <v>19</v>
      </c>
      <c r="D116" s="12" t="s">
        <v>119</v>
      </c>
      <c r="E116" s="12" t="s">
        <v>212</v>
      </c>
      <c r="F116" s="12">
        <v>36.335999999999999</v>
      </c>
      <c r="G116" s="12" t="s">
        <v>206</v>
      </c>
      <c r="H116" s="12">
        <v>100</v>
      </c>
      <c r="I116" s="12">
        <v>36.335999999999999</v>
      </c>
      <c r="J116" s="12" t="s">
        <v>23</v>
      </c>
      <c r="K116" s="19">
        <v>44826</v>
      </c>
      <c r="L116" s="19">
        <v>44461</v>
      </c>
      <c r="M116" s="19">
        <v>44461</v>
      </c>
      <c r="N116" s="12" t="s">
        <v>234</v>
      </c>
      <c r="O116" s="12" t="s">
        <v>82</v>
      </c>
      <c r="P116" s="12" t="s">
        <v>47</v>
      </c>
      <c r="Q116" s="2">
        <f t="shared" si="1"/>
        <v>1</v>
      </c>
    </row>
    <row r="117" spans="1:17" x14ac:dyDescent="0.25">
      <c r="A117" s="12" t="s">
        <v>421</v>
      </c>
      <c r="B117" s="12" t="s">
        <v>422</v>
      </c>
      <c r="C117" s="12" t="s">
        <v>30</v>
      </c>
      <c r="D117" s="12" t="s">
        <v>154</v>
      </c>
      <c r="E117" s="12" t="s">
        <v>212</v>
      </c>
      <c r="F117" s="12">
        <v>9.7620000000000005</v>
      </c>
      <c r="G117" s="12" t="s">
        <v>206</v>
      </c>
      <c r="H117" s="12">
        <v>100</v>
      </c>
      <c r="I117" s="12">
        <v>9.7620000000000005</v>
      </c>
      <c r="J117" s="12" t="s">
        <v>23</v>
      </c>
      <c r="K117" s="19">
        <v>44829</v>
      </c>
      <c r="L117" s="19">
        <v>44466</v>
      </c>
      <c r="M117" s="19">
        <v>44466</v>
      </c>
      <c r="N117" s="12" t="s">
        <v>207</v>
      </c>
      <c r="O117" s="12" t="s">
        <v>33</v>
      </c>
      <c r="P117" s="12" t="s">
        <v>34</v>
      </c>
      <c r="Q117" s="2">
        <f t="shared" si="1"/>
        <v>1</v>
      </c>
    </row>
    <row r="118" spans="1:17" x14ac:dyDescent="0.25">
      <c r="A118" s="12" t="s">
        <v>424</v>
      </c>
      <c r="B118" s="12" t="s">
        <v>425</v>
      </c>
      <c r="C118" s="12" t="s">
        <v>19</v>
      </c>
      <c r="D118" s="12" t="s">
        <v>77</v>
      </c>
      <c r="E118" s="12" t="s">
        <v>205</v>
      </c>
      <c r="F118" s="12">
        <v>1.24</v>
      </c>
      <c r="G118" s="12" t="s">
        <v>206</v>
      </c>
      <c r="H118" s="12">
        <v>80</v>
      </c>
      <c r="I118" s="12">
        <v>0.99199999999999999</v>
      </c>
      <c r="J118" s="12" t="s">
        <v>23</v>
      </c>
      <c r="K118" s="19">
        <v>44831</v>
      </c>
      <c r="L118" s="19">
        <v>44470</v>
      </c>
      <c r="M118" s="19">
        <v>44470</v>
      </c>
      <c r="N118" s="12" t="s">
        <v>234</v>
      </c>
      <c r="O118" s="12" t="s">
        <v>72</v>
      </c>
      <c r="P118" s="12" t="s">
        <v>73</v>
      </c>
      <c r="Q118" s="2">
        <f t="shared" si="1"/>
        <v>1</v>
      </c>
    </row>
    <row r="119" spans="1:17" x14ac:dyDescent="0.25">
      <c r="A119" s="12" t="s">
        <v>427</v>
      </c>
      <c r="B119" s="12" t="s">
        <v>428</v>
      </c>
      <c r="C119" s="12" t="s">
        <v>30</v>
      </c>
      <c r="D119" s="12" t="s">
        <v>20</v>
      </c>
      <c r="E119" s="12" t="s">
        <v>205</v>
      </c>
      <c r="F119" s="12">
        <v>27.18</v>
      </c>
      <c r="G119" s="12" t="s">
        <v>206</v>
      </c>
      <c r="H119" s="12">
        <v>80</v>
      </c>
      <c r="I119" s="12">
        <v>21.744</v>
      </c>
      <c r="J119" s="12" t="s">
        <v>23</v>
      </c>
      <c r="K119" s="19">
        <v>44836</v>
      </c>
      <c r="L119" s="19">
        <v>44476</v>
      </c>
      <c r="M119" s="19">
        <v>44476</v>
      </c>
      <c r="N119" s="12" t="s">
        <v>220</v>
      </c>
      <c r="O119" s="12" t="s">
        <v>97</v>
      </c>
      <c r="P119" s="12" t="s">
        <v>68</v>
      </c>
      <c r="Q119" s="2">
        <f t="shared" si="1"/>
        <v>1</v>
      </c>
    </row>
    <row r="120" spans="1:17" x14ac:dyDescent="0.25">
      <c r="A120" s="12" t="s">
        <v>430</v>
      </c>
      <c r="B120" s="12" t="s">
        <v>431</v>
      </c>
      <c r="C120" s="12" t="s">
        <v>19</v>
      </c>
      <c r="D120" s="12" t="s">
        <v>324</v>
      </c>
      <c r="E120" s="12" t="s">
        <v>212</v>
      </c>
      <c r="F120" s="12">
        <v>8.92</v>
      </c>
      <c r="G120" s="12" t="s">
        <v>206</v>
      </c>
      <c r="H120" s="12">
        <v>100</v>
      </c>
      <c r="I120" s="12">
        <v>8.92</v>
      </c>
      <c r="J120" s="12" t="s">
        <v>23</v>
      </c>
      <c r="K120" s="19">
        <v>44837</v>
      </c>
      <c r="L120" s="19">
        <v>44476</v>
      </c>
      <c r="M120" s="19">
        <v>44476</v>
      </c>
      <c r="N120" s="12" t="s">
        <v>248</v>
      </c>
      <c r="O120" s="12" t="s">
        <v>40</v>
      </c>
      <c r="P120" s="12" t="s">
        <v>34</v>
      </c>
      <c r="Q120" s="2">
        <f t="shared" si="1"/>
        <v>1</v>
      </c>
    </row>
    <row r="121" spans="1:17" x14ac:dyDescent="0.25">
      <c r="A121" s="12" t="s">
        <v>433</v>
      </c>
      <c r="B121" s="12" t="s">
        <v>434</v>
      </c>
      <c r="C121" s="12" t="s">
        <v>30</v>
      </c>
      <c r="D121" s="12" t="s">
        <v>81</v>
      </c>
      <c r="E121" s="12" t="s">
        <v>205</v>
      </c>
      <c r="F121" s="12">
        <v>6.8579999999999997</v>
      </c>
      <c r="G121" s="12" t="s">
        <v>206</v>
      </c>
      <c r="H121" s="12">
        <v>80</v>
      </c>
      <c r="I121" s="12">
        <v>5.4863999999999997</v>
      </c>
      <c r="J121" s="12" t="s">
        <v>23</v>
      </c>
      <c r="K121" s="19">
        <v>44838</v>
      </c>
      <c r="L121" s="19">
        <v>44478</v>
      </c>
      <c r="M121" s="19">
        <v>44478</v>
      </c>
      <c r="N121" s="12" t="s">
        <v>220</v>
      </c>
      <c r="O121" s="12" t="s">
        <v>67</v>
      </c>
      <c r="P121" s="12" t="s">
        <v>68</v>
      </c>
      <c r="Q121" s="2">
        <f t="shared" si="1"/>
        <v>1</v>
      </c>
    </row>
    <row r="122" spans="1:17" x14ac:dyDescent="0.25">
      <c r="A122" s="12" t="s">
        <v>436</v>
      </c>
      <c r="B122" s="12" t="s">
        <v>437</v>
      </c>
      <c r="C122" s="12" t="s">
        <v>30</v>
      </c>
      <c r="D122" s="12" t="s">
        <v>62</v>
      </c>
      <c r="E122" s="12" t="s">
        <v>212</v>
      </c>
      <c r="F122" s="12">
        <v>41.96</v>
      </c>
      <c r="G122" s="12" t="s">
        <v>206</v>
      </c>
      <c r="H122" s="12">
        <v>100</v>
      </c>
      <c r="I122" s="12">
        <v>41.96</v>
      </c>
      <c r="J122" s="12" t="s">
        <v>23</v>
      </c>
      <c r="K122" s="19">
        <v>44840</v>
      </c>
      <c r="L122" s="19">
        <v>44478</v>
      </c>
      <c r="M122" s="19">
        <v>44478</v>
      </c>
      <c r="N122" s="12" t="s">
        <v>207</v>
      </c>
      <c r="O122" s="12" t="s">
        <v>97</v>
      </c>
      <c r="P122" s="12" t="s">
        <v>68</v>
      </c>
      <c r="Q122" s="2">
        <f t="shared" si="1"/>
        <v>1</v>
      </c>
    </row>
    <row r="123" spans="1:17" x14ac:dyDescent="0.25">
      <c r="A123" s="12" t="s">
        <v>439</v>
      </c>
      <c r="B123" s="12" t="s">
        <v>440</v>
      </c>
      <c r="C123" s="12" t="s">
        <v>30</v>
      </c>
      <c r="D123" s="12" t="s">
        <v>77</v>
      </c>
      <c r="E123" s="12" t="s">
        <v>205</v>
      </c>
      <c r="F123" s="12">
        <v>16.899999999999999</v>
      </c>
      <c r="G123" s="12" t="s">
        <v>206</v>
      </c>
      <c r="H123" s="12">
        <v>80</v>
      </c>
      <c r="I123" s="12">
        <v>13.52</v>
      </c>
      <c r="J123" s="12" t="s">
        <v>23</v>
      </c>
      <c r="K123" s="19">
        <v>44843</v>
      </c>
      <c r="L123" s="19">
        <v>44483</v>
      </c>
      <c r="M123" s="19">
        <v>44483</v>
      </c>
      <c r="N123" s="12" t="s">
        <v>248</v>
      </c>
      <c r="O123" s="12" t="s">
        <v>82</v>
      </c>
      <c r="P123" s="12" t="s">
        <v>47</v>
      </c>
      <c r="Q123" s="2">
        <f t="shared" si="1"/>
        <v>1</v>
      </c>
    </row>
    <row r="124" spans="1:17" x14ac:dyDescent="0.25">
      <c r="A124" s="12" t="s">
        <v>442</v>
      </c>
      <c r="B124" s="12" t="s">
        <v>443</v>
      </c>
      <c r="C124" s="12" t="s">
        <v>30</v>
      </c>
      <c r="D124" s="12" t="s">
        <v>150</v>
      </c>
      <c r="E124" s="12" t="s">
        <v>212</v>
      </c>
      <c r="F124" s="12">
        <v>60.84</v>
      </c>
      <c r="G124" s="12" t="s">
        <v>206</v>
      </c>
      <c r="H124" s="12">
        <v>100</v>
      </c>
      <c r="I124" s="12">
        <v>60.84</v>
      </c>
      <c r="J124" s="12" t="s">
        <v>23</v>
      </c>
      <c r="K124" s="19">
        <v>44845</v>
      </c>
      <c r="L124" s="19">
        <v>44485</v>
      </c>
      <c r="M124" s="19">
        <v>44485</v>
      </c>
      <c r="N124" s="12" t="s">
        <v>207</v>
      </c>
      <c r="O124" s="12" t="s">
        <v>25</v>
      </c>
      <c r="P124" s="12" t="s">
        <v>26</v>
      </c>
      <c r="Q124" s="2">
        <f t="shared" si="1"/>
        <v>1</v>
      </c>
    </row>
    <row r="125" spans="1:17" x14ac:dyDescent="0.25">
      <c r="A125" s="12" t="s">
        <v>444</v>
      </c>
      <c r="B125" s="12" t="s">
        <v>445</v>
      </c>
      <c r="C125" s="12" t="s">
        <v>30</v>
      </c>
      <c r="D125" s="12" t="s">
        <v>51</v>
      </c>
      <c r="E125" s="12" t="s">
        <v>212</v>
      </c>
      <c r="F125" s="12">
        <v>2.8159999999999998</v>
      </c>
      <c r="G125" s="12" t="s">
        <v>206</v>
      </c>
      <c r="H125" s="12">
        <v>100</v>
      </c>
      <c r="I125" s="12">
        <v>2.8159999999999998</v>
      </c>
      <c r="J125" s="12" t="s">
        <v>23</v>
      </c>
      <c r="K125" s="19">
        <v>44854</v>
      </c>
      <c r="L125" s="19">
        <v>44490</v>
      </c>
      <c r="M125" s="19">
        <v>44490</v>
      </c>
      <c r="N125" s="12" t="s">
        <v>213</v>
      </c>
      <c r="O125" s="12" t="s">
        <v>46</v>
      </c>
      <c r="P125" s="12" t="s">
        <v>47</v>
      </c>
      <c r="Q125" s="2">
        <f t="shared" si="1"/>
        <v>1</v>
      </c>
    </row>
    <row r="126" spans="1:17" x14ac:dyDescent="0.25">
      <c r="A126" s="12" t="s">
        <v>447</v>
      </c>
      <c r="B126" s="12" t="s">
        <v>448</v>
      </c>
      <c r="C126" s="12" t="s">
        <v>19</v>
      </c>
      <c r="D126" s="12" t="s">
        <v>154</v>
      </c>
      <c r="E126" s="12" t="s">
        <v>205</v>
      </c>
      <c r="F126" s="12">
        <v>263.95999999999998</v>
      </c>
      <c r="G126" s="12" t="s">
        <v>206</v>
      </c>
      <c r="H126" s="12">
        <v>80</v>
      </c>
      <c r="I126" s="12">
        <v>211.16800000000001</v>
      </c>
      <c r="J126" s="12" t="s">
        <v>23</v>
      </c>
      <c r="K126" s="19">
        <v>44859</v>
      </c>
      <c r="L126" s="19">
        <v>44497</v>
      </c>
      <c r="M126" s="19">
        <v>44497</v>
      </c>
      <c r="N126" s="12" t="s">
        <v>207</v>
      </c>
      <c r="O126" s="12" t="s">
        <v>40</v>
      </c>
      <c r="P126" s="12" t="s">
        <v>34</v>
      </c>
      <c r="Q126" s="2">
        <f t="shared" si="1"/>
        <v>1</v>
      </c>
    </row>
    <row r="127" spans="1:17" x14ac:dyDescent="0.25">
      <c r="A127" s="12" t="s">
        <v>450</v>
      </c>
      <c r="B127" s="12" t="s">
        <v>451</v>
      </c>
      <c r="C127" s="12" t="s">
        <v>30</v>
      </c>
      <c r="D127" s="12" t="s">
        <v>81</v>
      </c>
      <c r="E127" s="12" t="s">
        <v>212</v>
      </c>
      <c r="F127" s="12">
        <v>154.9</v>
      </c>
      <c r="G127" s="12" t="s">
        <v>206</v>
      </c>
      <c r="H127" s="12">
        <v>100</v>
      </c>
      <c r="I127" s="12">
        <v>154.9</v>
      </c>
      <c r="J127" s="12" t="s">
        <v>23</v>
      </c>
      <c r="K127" s="19">
        <v>44865</v>
      </c>
      <c r="L127" s="19">
        <v>44502</v>
      </c>
      <c r="M127" s="19">
        <v>44502</v>
      </c>
      <c r="N127" s="12" t="s">
        <v>213</v>
      </c>
      <c r="O127" s="12" t="s">
        <v>46</v>
      </c>
      <c r="P127" s="12" t="s">
        <v>47</v>
      </c>
      <c r="Q127" s="2">
        <f t="shared" si="1"/>
        <v>1</v>
      </c>
    </row>
    <row r="128" spans="1:17" x14ac:dyDescent="0.25">
      <c r="A128" s="12" t="s">
        <v>453</v>
      </c>
      <c r="B128" s="12" t="s">
        <v>454</v>
      </c>
      <c r="C128" s="12" t="s">
        <v>19</v>
      </c>
      <c r="D128" s="12" t="s">
        <v>86</v>
      </c>
      <c r="E128" s="12" t="s">
        <v>205</v>
      </c>
      <c r="F128" s="12">
        <v>1.08</v>
      </c>
      <c r="G128" s="12" t="s">
        <v>206</v>
      </c>
      <c r="H128" s="12">
        <v>80</v>
      </c>
      <c r="I128" s="12">
        <v>0.8640000000000001</v>
      </c>
      <c r="J128" s="12" t="s">
        <v>23</v>
      </c>
      <c r="K128" s="19">
        <v>44865</v>
      </c>
      <c r="L128" s="19">
        <v>44500</v>
      </c>
      <c r="M128" s="19">
        <v>44500</v>
      </c>
      <c r="N128" s="12" t="s">
        <v>213</v>
      </c>
      <c r="O128" s="12" t="s">
        <v>46</v>
      </c>
      <c r="P128" s="12" t="s">
        <v>47</v>
      </c>
      <c r="Q128" s="2">
        <f t="shared" si="1"/>
        <v>1</v>
      </c>
    </row>
    <row r="129" spans="1:17" x14ac:dyDescent="0.25">
      <c r="A129" s="12" t="s">
        <v>455</v>
      </c>
      <c r="B129" s="12" t="s">
        <v>456</v>
      </c>
      <c r="C129" s="12" t="s">
        <v>30</v>
      </c>
      <c r="D129" s="12" t="s">
        <v>154</v>
      </c>
      <c r="E129" s="12" t="s">
        <v>205</v>
      </c>
      <c r="F129" s="12">
        <v>10.944000000000001</v>
      </c>
      <c r="G129" s="12" t="s">
        <v>206</v>
      </c>
      <c r="H129" s="12">
        <v>80</v>
      </c>
      <c r="I129" s="12">
        <v>8.7552000000000003</v>
      </c>
      <c r="J129" s="12" t="s">
        <v>23</v>
      </c>
      <c r="K129" s="19">
        <v>44866</v>
      </c>
      <c r="L129" s="19">
        <v>44507</v>
      </c>
      <c r="M129" s="19">
        <v>44507</v>
      </c>
      <c r="N129" s="12" t="s">
        <v>207</v>
      </c>
      <c r="O129" s="12" t="s">
        <v>82</v>
      </c>
      <c r="P129" s="12" t="s">
        <v>47</v>
      </c>
      <c r="Q129" s="2">
        <f t="shared" si="1"/>
        <v>1</v>
      </c>
    </row>
    <row r="130" spans="1:17" x14ac:dyDescent="0.25">
      <c r="A130" s="12" t="s">
        <v>458</v>
      </c>
      <c r="B130" s="12" t="s">
        <v>459</v>
      </c>
      <c r="C130" s="12" t="s">
        <v>30</v>
      </c>
      <c r="D130" s="12" t="s">
        <v>150</v>
      </c>
      <c r="E130" s="12" t="s">
        <v>205</v>
      </c>
      <c r="F130" s="12">
        <v>66.293999999999997</v>
      </c>
      <c r="G130" s="12" t="s">
        <v>206</v>
      </c>
      <c r="H130" s="12">
        <v>80</v>
      </c>
      <c r="I130" s="12">
        <v>53.035200000000003</v>
      </c>
      <c r="J130" s="12" t="s">
        <v>23</v>
      </c>
      <c r="K130" s="19">
        <v>44867</v>
      </c>
      <c r="L130" s="19">
        <v>44506</v>
      </c>
      <c r="M130" s="19">
        <v>44506</v>
      </c>
      <c r="N130" s="12" t="s">
        <v>234</v>
      </c>
      <c r="O130" s="12" t="s">
        <v>46</v>
      </c>
      <c r="P130" s="12" t="s">
        <v>47</v>
      </c>
      <c r="Q130" s="2">
        <f t="shared" ref="Q130:Q193" si="2">COUNTIF($A$2:$A$1778,A130)</f>
        <v>1</v>
      </c>
    </row>
    <row r="131" spans="1:17" x14ac:dyDescent="0.25">
      <c r="A131" s="12" t="s">
        <v>461</v>
      </c>
      <c r="B131" s="12" t="s">
        <v>462</v>
      </c>
      <c r="C131" s="12" t="s">
        <v>19</v>
      </c>
      <c r="D131" s="12" t="s">
        <v>186</v>
      </c>
      <c r="E131" s="12" t="s">
        <v>205</v>
      </c>
      <c r="F131" s="12">
        <v>287.94</v>
      </c>
      <c r="G131" s="12" t="s">
        <v>206</v>
      </c>
      <c r="H131" s="12">
        <v>80</v>
      </c>
      <c r="I131" s="12">
        <v>230.352</v>
      </c>
      <c r="J131" s="12" t="s">
        <v>23</v>
      </c>
      <c r="K131" s="19">
        <v>44868</v>
      </c>
      <c r="L131" s="19">
        <v>44506</v>
      </c>
      <c r="M131" s="19">
        <v>44506</v>
      </c>
      <c r="N131" s="12" t="s">
        <v>238</v>
      </c>
      <c r="O131" s="12" t="s">
        <v>72</v>
      </c>
      <c r="P131" s="12" t="s">
        <v>73</v>
      </c>
      <c r="Q131" s="2">
        <f t="shared" si="2"/>
        <v>1</v>
      </c>
    </row>
    <row r="132" spans="1:17" x14ac:dyDescent="0.25">
      <c r="A132" s="12" t="s">
        <v>464</v>
      </c>
      <c r="B132" s="12" t="s">
        <v>465</v>
      </c>
      <c r="C132" s="12" t="s">
        <v>19</v>
      </c>
      <c r="D132" s="12" t="s">
        <v>119</v>
      </c>
      <c r="E132" s="12" t="s">
        <v>212</v>
      </c>
      <c r="F132" s="12">
        <v>83.72</v>
      </c>
      <c r="G132" s="12" t="s">
        <v>206</v>
      </c>
      <c r="H132" s="12">
        <v>100</v>
      </c>
      <c r="I132" s="12">
        <v>83.72</v>
      </c>
      <c r="J132" s="12" t="s">
        <v>23</v>
      </c>
      <c r="K132" s="19">
        <v>44868</v>
      </c>
      <c r="L132" s="19">
        <v>44507</v>
      </c>
      <c r="M132" s="19">
        <v>44507</v>
      </c>
      <c r="N132" s="12" t="s">
        <v>220</v>
      </c>
      <c r="O132" s="12" t="s">
        <v>146</v>
      </c>
      <c r="P132" s="12" t="s">
        <v>73</v>
      </c>
      <c r="Q132" s="2">
        <f t="shared" si="2"/>
        <v>1</v>
      </c>
    </row>
    <row r="133" spans="1:17" x14ac:dyDescent="0.25">
      <c r="A133" s="12" t="s">
        <v>467</v>
      </c>
      <c r="B133" s="12" t="s">
        <v>468</v>
      </c>
      <c r="C133" s="12" t="s">
        <v>19</v>
      </c>
      <c r="D133" s="12" t="s">
        <v>31</v>
      </c>
      <c r="E133" s="12" t="s">
        <v>205</v>
      </c>
      <c r="F133" s="12">
        <v>5.1759999999999904</v>
      </c>
      <c r="G133" s="12" t="s">
        <v>206</v>
      </c>
      <c r="H133" s="12">
        <v>80</v>
      </c>
      <c r="I133" s="12">
        <v>4.1407999999999925</v>
      </c>
      <c r="J133" s="12" t="s">
        <v>23</v>
      </c>
      <c r="K133" s="19">
        <v>44871</v>
      </c>
      <c r="L133" s="19">
        <v>44506</v>
      </c>
      <c r="M133" s="19">
        <v>44506</v>
      </c>
      <c r="N133" s="12" t="s">
        <v>248</v>
      </c>
      <c r="O133" s="12" t="s">
        <v>40</v>
      </c>
      <c r="P133" s="12" t="s">
        <v>34</v>
      </c>
      <c r="Q133" s="2">
        <f t="shared" si="2"/>
        <v>1</v>
      </c>
    </row>
    <row r="134" spans="1:17" x14ac:dyDescent="0.25">
      <c r="A134" s="12" t="s">
        <v>470</v>
      </c>
      <c r="B134" s="12" t="s">
        <v>471</v>
      </c>
      <c r="C134" s="12" t="s">
        <v>19</v>
      </c>
      <c r="D134" s="12" t="s">
        <v>164</v>
      </c>
      <c r="E134" s="12" t="s">
        <v>212</v>
      </c>
      <c r="F134" s="12">
        <v>270</v>
      </c>
      <c r="G134" s="12" t="s">
        <v>206</v>
      </c>
      <c r="H134" s="12">
        <v>100</v>
      </c>
      <c r="I134" s="12">
        <v>270</v>
      </c>
      <c r="J134" s="12" t="s">
        <v>23</v>
      </c>
      <c r="K134" s="19">
        <v>44871</v>
      </c>
      <c r="L134" s="19">
        <v>44510</v>
      </c>
      <c r="M134" s="19">
        <v>44510</v>
      </c>
      <c r="N134" s="12" t="s">
        <v>234</v>
      </c>
      <c r="O134" s="12" t="s">
        <v>146</v>
      </c>
      <c r="P134" s="12" t="s">
        <v>73</v>
      </c>
      <c r="Q134" s="2">
        <f t="shared" si="2"/>
        <v>1</v>
      </c>
    </row>
    <row r="135" spans="1:17" x14ac:dyDescent="0.25">
      <c r="A135" s="12" t="s">
        <v>473</v>
      </c>
      <c r="B135" s="12" t="s">
        <v>474</v>
      </c>
      <c r="C135" s="12" t="s">
        <v>30</v>
      </c>
      <c r="D135" s="12" t="s">
        <v>126</v>
      </c>
      <c r="E135" s="12" t="s">
        <v>205</v>
      </c>
      <c r="F135" s="12">
        <v>36.630000000000003</v>
      </c>
      <c r="G135" s="12" t="s">
        <v>206</v>
      </c>
      <c r="H135" s="12">
        <v>80</v>
      </c>
      <c r="I135" s="12">
        <v>29.304000000000002</v>
      </c>
      <c r="J135" s="12" t="s">
        <v>23</v>
      </c>
      <c r="K135" s="19">
        <v>44873</v>
      </c>
      <c r="L135" s="19">
        <v>44512</v>
      </c>
      <c r="M135" s="19">
        <v>44512</v>
      </c>
      <c r="N135" s="12" t="s">
        <v>234</v>
      </c>
      <c r="O135" s="12" t="s">
        <v>67</v>
      </c>
      <c r="P135" s="12" t="s">
        <v>68</v>
      </c>
      <c r="Q135" s="2">
        <f t="shared" si="2"/>
        <v>1</v>
      </c>
    </row>
    <row r="136" spans="1:17" x14ac:dyDescent="0.25">
      <c r="A136" s="12" t="s">
        <v>476</v>
      </c>
      <c r="B136" s="12" t="s">
        <v>477</v>
      </c>
      <c r="C136" s="12" t="s">
        <v>30</v>
      </c>
      <c r="D136" s="12" t="s">
        <v>62</v>
      </c>
      <c r="E136" s="12" t="s">
        <v>212</v>
      </c>
      <c r="F136" s="12">
        <v>60.45</v>
      </c>
      <c r="G136" s="12" t="s">
        <v>206</v>
      </c>
      <c r="H136" s="12">
        <v>100</v>
      </c>
      <c r="I136" s="12">
        <v>60.45</v>
      </c>
      <c r="J136" s="12" t="s">
        <v>23</v>
      </c>
      <c r="K136" s="19">
        <v>44873</v>
      </c>
      <c r="L136" s="19">
        <v>44510</v>
      </c>
      <c r="M136" s="19">
        <v>44510</v>
      </c>
      <c r="N136" s="12" t="s">
        <v>238</v>
      </c>
      <c r="O136" s="12" t="s">
        <v>72</v>
      </c>
      <c r="P136" s="12" t="s">
        <v>73</v>
      </c>
      <c r="Q136" s="2">
        <f t="shared" si="2"/>
        <v>1</v>
      </c>
    </row>
    <row r="137" spans="1:17" x14ac:dyDescent="0.25">
      <c r="A137" s="12" t="s">
        <v>479</v>
      </c>
      <c r="B137" s="12" t="s">
        <v>480</v>
      </c>
      <c r="C137" s="12" t="s">
        <v>19</v>
      </c>
      <c r="D137" s="12" t="s">
        <v>20</v>
      </c>
      <c r="E137" s="12" t="s">
        <v>205</v>
      </c>
      <c r="F137" s="12">
        <v>109.764</v>
      </c>
      <c r="G137" s="12" t="s">
        <v>206</v>
      </c>
      <c r="H137" s="12">
        <v>80</v>
      </c>
      <c r="I137" s="12">
        <v>87.811199999999999</v>
      </c>
      <c r="J137" s="12" t="s">
        <v>23</v>
      </c>
      <c r="K137" s="19">
        <v>44875</v>
      </c>
      <c r="L137" s="19">
        <v>44510</v>
      </c>
      <c r="M137" s="19">
        <v>44510</v>
      </c>
      <c r="N137" s="12" t="s">
        <v>238</v>
      </c>
      <c r="O137" s="12" t="s">
        <v>54</v>
      </c>
      <c r="P137" s="12" t="s">
        <v>26</v>
      </c>
      <c r="Q137" s="2">
        <f t="shared" si="2"/>
        <v>1</v>
      </c>
    </row>
    <row r="138" spans="1:17" x14ac:dyDescent="0.25">
      <c r="A138" s="12" t="s">
        <v>482</v>
      </c>
      <c r="B138" s="12" t="s">
        <v>483</v>
      </c>
      <c r="C138" s="12" t="s">
        <v>19</v>
      </c>
      <c r="D138" s="12" t="s">
        <v>77</v>
      </c>
      <c r="E138" s="12" t="s">
        <v>212</v>
      </c>
      <c r="F138" s="12">
        <v>4404.8999999999996</v>
      </c>
      <c r="G138" s="12" t="s">
        <v>206</v>
      </c>
      <c r="H138" s="12">
        <v>100</v>
      </c>
      <c r="I138" s="12">
        <v>4404.8999999999996</v>
      </c>
      <c r="J138" s="12" t="s">
        <v>23</v>
      </c>
      <c r="K138" s="19">
        <v>44879</v>
      </c>
      <c r="L138" s="19">
        <v>44518</v>
      </c>
      <c r="M138" s="19">
        <v>44518</v>
      </c>
      <c r="N138" s="12" t="s">
        <v>220</v>
      </c>
      <c r="O138" s="12" t="s">
        <v>25</v>
      </c>
      <c r="P138" s="12" t="s">
        <v>26</v>
      </c>
      <c r="Q138" s="2">
        <f t="shared" si="2"/>
        <v>1</v>
      </c>
    </row>
    <row r="139" spans="1:17" x14ac:dyDescent="0.25">
      <c r="A139" s="12" t="s">
        <v>485</v>
      </c>
      <c r="B139" s="12" t="s">
        <v>486</v>
      </c>
      <c r="C139" s="12" t="s">
        <v>19</v>
      </c>
      <c r="D139" s="12" t="s">
        <v>115</v>
      </c>
      <c r="E139" s="12" t="s">
        <v>212</v>
      </c>
      <c r="F139" s="12">
        <v>263.95999999999998</v>
      </c>
      <c r="G139" s="12" t="s">
        <v>206</v>
      </c>
      <c r="H139" s="12">
        <v>100</v>
      </c>
      <c r="I139" s="12">
        <v>263.95999999999998</v>
      </c>
      <c r="J139" s="12" t="s">
        <v>23</v>
      </c>
      <c r="K139" s="19">
        <v>44879</v>
      </c>
      <c r="L139" s="19">
        <v>44518</v>
      </c>
      <c r="M139" s="19">
        <v>44518</v>
      </c>
      <c r="N139" s="12" t="s">
        <v>234</v>
      </c>
      <c r="O139" s="12" t="s">
        <v>25</v>
      </c>
      <c r="P139" s="12" t="s">
        <v>26</v>
      </c>
      <c r="Q139" s="2">
        <f t="shared" si="2"/>
        <v>1</v>
      </c>
    </row>
    <row r="140" spans="1:17" x14ac:dyDescent="0.25">
      <c r="A140" s="12" t="s">
        <v>488</v>
      </c>
      <c r="B140" s="12" t="s">
        <v>489</v>
      </c>
      <c r="C140" s="12" t="s">
        <v>30</v>
      </c>
      <c r="D140" s="12" t="s">
        <v>31</v>
      </c>
      <c r="E140" s="12" t="s">
        <v>205</v>
      </c>
      <c r="F140" s="12">
        <v>230.352</v>
      </c>
      <c r="G140" s="12" t="s">
        <v>206</v>
      </c>
      <c r="H140" s="12">
        <v>80</v>
      </c>
      <c r="I140" s="12">
        <v>184.28160000000003</v>
      </c>
      <c r="J140" s="12" t="s">
        <v>23</v>
      </c>
      <c r="K140" s="19">
        <v>44886</v>
      </c>
      <c r="L140" s="19">
        <v>44525</v>
      </c>
      <c r="M140" s="19">
        <v>44525</v>
      </c>
      <c r="N140" s="12" t="s">
        <v>234</v>
      </c>
      <c r="O140" s="12" t="s">
        <v>54</v>
      </c>
      <c r="P140" s="12" t="s">
        <v>26</v>
      </c>
      <c r="Q140" s="2">
        <f t="shared" si="2"/>
        <v>1</v>
      </c>
    </row>
    <row r="141" spans="1:17" x14ac:dyDescent="0.25">
      <c r="A141" s="12" t="s">
        <v>490</v>
      </c>
      <c r="B141" s="12" t="s">
        <v>491</v>
      </c>
      <c r="C141" s="12" t="s">
        <v>30</v>
      </c>
      <c r="D141" s="12" t="s">
        <v>324</v>
      </c>
      <c r="E141" s="12" t="s">
        <v>212</v>
      </c>
      <c r="F141" s="12">
        <v>5.984</v>
      </c>
      <c r="G141" s="12" t="s">
        <v>206</v>
      </c>
      <c r="H141" s="12">
        <v>100</v>
      </c>
      <c r="I141" s="12">
        <v>5.984</v>
      </c>
      <c r="J141" s="12" t="s">
        <v>23</v>
      </c>
      <c r="K141" s="19">
        <v>44888</v>
      </c>
      <c r="L141" s="19">
        <v>44527</v>
      </c>
      <c r="M141" s="19">
        <v>44527</v>
      </c>
      <c r="N141" s="12" t="s">
        <v>220</v>
      </c>
      <c r="O141" s="12" t="s">
        <v>54</v>
      </c>
      <c r="P141" s="12" t="s">
        <v>26</v>
      </c>
      <c r="Q141" s="2">
        <f t="shared" si="2"/>
        <v>1</v>
      </c>
    </row>
    <row r="142" spans="1:17" x14ac:dyDescent="0.25">
      <c r="A142" s="12" t="s">
        <v>493</v>
      </c>
      <c r="B142" s="12" t="s">
        <v>494</v>
      </c>
      <c r="C142" s="12" t="s">
        <v>19</v>
      </c>
      <c r="D142" s="12" t="s">
        <v>186</v>
      </c>
      <c r="E142" s="12" t="s">
        <v>212</v>
      </c>
      <c r="F142" s="12">
        <v>141.55199999999999</v>
      </c>
      <c r="G142" s="12" t="s">
        <v>206</v>
      </c>
      <c r="H142" s="12">
        <v>100</v>
      </c>
      <c r="I142" s="12">
        <v>141.55199999999999</v>
      </c>
      <c r="J142" s="12" t="s">
        <v>23</v>
      </c>
      <c r="K142" s="19">
        <v>44893</v>
      </c>
      <c r="L142" s="19">
        <v>44532</v>
      </c>
      <c r="M142" s="19">
        <v>44532</v>
      </c>
      <c r="N142" s="12" t="s">
        <v>248</v>
      </c>
      <c r="O142" s="12" t="s">
        <v>33</v>
      </c>
      <c r="P142" s="12" t="s">
        <v>34</v>
      </c>
      <c r="Q142" s="2">
        <f t="shared" si="2"/>
        <v>1</v>
      </c>
    </row>
    <row r="143" spans="1:17" x14ac:dyDescent="0.25">
      <c r="A143" s="12" t="s">
        <v>496</v>
      </c>
      <c r="B143" s="12" t="s">
        <v>497</v>
      </c>
      <c r="C143" s="12" t="s">
        <v>30</v>
      </c>
      <c r="D143" s="12" t="s">
        <v>186</v>
      </c>
      <c r="E143" s="12" t="s">
        <v>205</v>
      </c>
      <c r="F143" s="12">
        <v>91.391999999999996</v>
      </c>
      <c r="G143" s="12" t="s">
        <v>206</v>
      </c>
      <c r="H143" s="12">
        <v>80</v>
      </c>
      <c r="I143" s="12">
        <v>73.113600000000005</v>
      </c>
      <c r="J143" s="12" t="s">
        <v>23</v>
      </c>
      <c r="K143" s="19">
        <v>44896</v>
      </c>
      <c r="L143" s="19">
        <v>44536</v>
      </c>
      <c r="M143" s="19">
        <v>44536</v>
      </c>
      <c r="N143" s="12" t="s">
        <v>207</v>
      </c>
      <c r="O143" s="12" t="s">
        <v>33</v>
      </c>
      <c r="P143" s="12" t="s">
        <v>34</v>
      </c>
      <c r="Q143" s="2">
        <f t="shared" si="2"/>
        <v>1</v>
      </c>
    </row>
    <row r="144" spans="1:17" x14ac:dyDescent="0.25">
      <c r="A144" s="12" t="s">
        <v>498</v>
      </c>
      <c r="B144" s="12" t="s">
        <v>499</v>
      </c>
      <c r="C144" s="12" t="s">
        <v>19</v>
      </c>
      <c r="D144" s="12" t="s">
        <v>154</v>
      </c>
      <c r="E144" s="12" t="s">
        <v>205</v>
      </c>
      <c r="F144" s="12">
        <v>107.97</v>
      </c>
      <c r="G144" s="12" t="s">
        <v>206</v>
      </c>
      <c r="H144" s="12">
        <v>80</v>
      </c>
      <c r="I144" s="12">
        <v>86.376000000000005</v>
      </c>
      <c r="J144" s="12" t="s">
        <v>23</v>
      </c>
      <c r="K144" s="19">
        <v>44896</v>
      </c>
      <c r="L144" s="19">
        <v>44534</v>
      </c>
      <c r="M144" s="19">
        <v>44534</v>
      </c>
      <c r="N144" s="12" t="s">
        <v>213</v>
      </c>
      <c r="O144" s="12" t="s">
        <v>46</v>
      </c>
      <c r="P144" s="12" t="s">
        <v>47</v>
      </c>
      <c r="Q144" s="2">
        <f t="shared" si="2"/>
        <v>1</v>
      </c>
    </row>
    <row r="145" spans="1:17" x14ac:dyDescent="0.25">
      <c r="A145" s="12" t="s">
        <v>501</v>
      </c>
      <c r="B145" s="12" t="s">
        <v>502</v>
      </c>
      <c r="C145" s="12" t="s">
        <v>19</v>
      </c>
      <c r="D145" s="12" t="s">
        <v>96</v>
      </c>
      <c r="E145" s="12" t="s">
        <v>212</v>
      </c>
      <c r="F145" s="12">
        <v>177.48</v>
      </c>
      <c r="G145" s="12" t="s">
        <v>206</v>
      </c>
      <c r="H145" s="12">
        <v>100</v>
      </c>
      <c r="I145" s="12">
        <v>177.48</v>
      </c>
      <c r="J145" s="12" t="s">
        <v>23</v>
      </c>
      <c r="K145" s="19">
        <v>44899</v>
      </c>
      <c r="L145" s="19">
        <v>44538</v>
      </c>
      <c r="M145" s="19">
        <v>44538</v>
      </c>
      <c r="N145" s="12" t="s">
        <v>220</v>
      </c>
      <c r="O145" s="12" t="s">
        <v>67</v>
      </c>
      <c r="P145" s="12" t="s">
        <v>68</v>
      </c>
      <c r="Q145" s="2">
        <f t="shared" si="2"/>
        <v>1</v>
      </c>
    </row>
    <row r="146" spans="1:17" x14ac:dyDescent="0.25">
      <c r="A146" s="12" t="s">
        <v>504</v>
      </c>
      <c r="B146" s="12" t="s">
        <v>505</v>
      </c>
      <c r="C146" s="12" t="s">
        <v>19</v>
      </c>
      <c r="D146" s="12" t="s">
        <v>230</v>
      </c>
      <c r="E146" s="12" t="s">
        <v>212</v>
      </c>
      <c r="F146" s="12">
        <v>198.27199999999999</v>
      </c>
      <c r="G146" s="12" t="s">
        <v>206</v>
      </c>
      <c r="H146" s="12">
        <v>100</v>
      </c>
      <c r="I146" s="12">
        <v>198.27199999999999</v>
      </c>
      <c r="J146" s="12" t="s">
        <v>23</v>
      </c>
      <c r="K146" s="19">
        <v>44902</v>
      </c>
      <c r="L146" s="19">
        <v>44543</v>
      </c>
      <c r="M146" s="19">
        <v>44543</v>
      </c>
      <c r="N146" s="12" t="s">
        <v>207</v>
      </c>
      <c r="O146" s="12" t="s">
        <v>40</v>
      </c>
      <c r="P146" s="12" t="s">
        <v>34</v>
      </c>
      <c r="Q146" s="2">
        <f t="shared" si="2"/>
        <v>1</v>
      </c>
    </row>
    <row r="147" spans="1:17" x14ac:dyDescent="0.25">
      <c r="A147" s="12" t="s">
        <v>507</v>
      </c>
      <c r="B147" s="12" t="s">
        <v>508</v>
      </c>
      <c r="C147" s="12" t="s">
        <v>30</v>
      </c>
      <c r="D147" s="12" t="s">
        <v>62</v>
      </c>
      <c r="E147" s="12" t="s">
        <v>205</v>
      </c>
      <c r="F147" s="12">
        <v>6.48</v>
      </c>
      <c r="G147" s="12" t="s">
        <v>206</v>
      </c>
      <c r="H147" s="12">
        <v>80</v>
      </c>
      <c r="I147" s="12">
        <v>5.1840000000000011</v>
      </c>
      <c r="J147" s="12" t="s">
        <v>23</v>
      </c>
      <c r="K147" s="19">
        <v>44902</v>
      </c>
      <c r="L147" s="19">
        <v>44542</v>
      </c>
      <c r="M147" s="19">
        <v>44542</v>
      </c>
      <c r="N147" s="12" t="s">
        <v>238</v>
      </c>
      <c r="O147" s="12" t="s">
        <v>46</v>
      </c>
      <c r="P147" s="12" t="s">
        <v>47</v>
      </c>
      <c r="Q147" s="2">
        <f t="shared" si="2"/>
        <v>1</v>
      </c>
    </row>
    <row r="148" spans="1:17" x14ac:dyDescent="0.25">
      <c r="A148" s="12" t="s">
        <v>510</v>
      </c>
      <c r="B148" s="12" t="s">
        <v>511</v>
      </c>
      <c r="C148" s="12" t="s">
        <v>19</v>
      </c>
      <c r="D148" s="12" t="s">
        <v>164</v>
      </c>
      <c r="E148" s="12" t="s">
        <v>212</v>
      </c>
      <c r="F148" s="12">
        <v>1.78</v>
      </c>
      <c r="G148" s="12" t="s">
        <v>206</v>
      </c>
      <c r="H148" s="12">
        <v>100</v>
      </c>
      <c r="I148" s="12">
        <v>1.78</v>
      </c>
      <c r="J148" s="12" t="s">
        <v>23</v>
      </c>
      <c r="K148" s="19">
        <v>44904</v>
      </c>
      <c r="L148" s="19">
        <v>44543</v>
      </c>
      <c r="M148" s="19">
        <v>44543</v>
      </c>
      <c r="N148" s="12" t="s">
        <v>207</v>
      </c>
      <c r="O148" s="12" t="s">
        <v>46</v>
      </c>
      <c r="P148" s="12" t="s">
        <v>47</v>
      </c>
      <c r="Q148" s="2">
        <f t="shared" si="2"/>
        <v>1</v>
      </c>
    </row>
    <row r="149" spans="1:17" x14ac:dyDescent="0.25">
      <c r="A149" s="12" t="s">
        <v>513</v>
      </c>
      <c r="B149" s="12" t="s">
        <v>514</v>
      </c>
      <c r="C149" s="12" t="s">
        <v>19</v>
      </c>
      <c r="D149" s="12" t="s">
        <v>31</v>
      </c>
      <c r="E149" s="12" t="s">
        <v>212</v>
      </c>
      <c r="F149" s="12">
        <v>25.92</v>
      </c>
      <c r="G149" s="12" t="s">
        <v>206</v>
      </c>
      <c r="H149" s="12">
        <v>100</v>
      </c>
      <c r="I149" s="12">
        <v>25.92</v>
      </c>
      <c r="J149" s="12" t="s">
        <v>23</v>
      </c>
      <c r="K149" s="19">
        <v>44905</v>
      </c>
      <c r="L149" s="19">
        <v>44543</v>
      </c>
      <c r="M149" s="19">
        <v>44543</v>
      </c>
      <c r="N149" s="12" t="s">
        <v>248</v>
      </c>
      <c r="O149" s="12" t="s">
        <v>46</v>
      </c>
      <c r="P149" s="12" t="s">
        <v>47</v>
      </c>
      <c r="Q149" s="2">
        <f t="shared" si="2"/>
        <v>1</v>
      </c>
    </row>
    <row r="150" spans="1:17" x14ac:dyDescent="0.25">
      <c r="A150" s="12" t="s">
        <v>516</v>
      </c>
      <c r="B150" s="12" t="s">
        <v>517</v>
      </c>
      <c r="C150" s="12" t="s">
        <v>30</v>
      </c>
      <c r="D150" s="12" t="s">
        <v>20</v>
      </c>
      <c r="E150" s="12" t="s">
        <v>212</v>
      </c>
      <c r="F150" s="12">
        <v>110.52800000000001</v>
      </c>
      <c r="G150" s="12" t="s">
        <v>206</v>
      </c>
      <c r="H150" s="12">
        <v>100</v>
      </c>
      <c r="I150" s="12">
        <v>110.52800000000001</v>
      </c>
      <c r="J150" s="12" t="s">
        <v>23</v>
      </c>
      <c r="K150" s="19">
        <v>44907</v>
      </c>
      <c r="L150" s="19">
        <v>44543</v>
      </c>
      <c r="M150" s="19">
        <v>44543</v>
      </c>
      <c r="N150" s="12" t="s">
        <v>248</v>
      </c>
      <c r="O150" s="12" t="s">
        <v>46</v>
      </c>
      <c r="P150" s="12" t="s">
        <v>47</v>
      </c>
      <c r="Q150" s="2">
        <f t="shared" si="2"/>
        <v>1</v>
      </c>
    </row>
    <row r="151" spans="1:17" x14ac:dyDescent="0.25">
      <c r="A151" s="12" t="s">
        <v>519</v>
      </c>
      <c r="B151" s="12" t="s">
        <v>520</v>
      </c>
      <c r="C151" s="12" t="s">
        <v>19</v>
      </c>
      <c r="D151" s="12" t="s">
        <v>51</v>
      </c>
      <c r="E151" s="12" t="s">
        <v>212</v>
      </c>
      <c r="F151" s="12">
        <v>6.16</v>
      </c>
      <c r="G151" s="12" t="s">
        <v>206</v>
      </c>
      <c r="H151" s="12">
        <v>100</v>
      </c>
      <c r="I151" s="12">
        <v>6.16</v>
      </c>
      <c r="J151" s="12" t="s">
        <v>23</v>
      </c>
      <c r="K151" s="19">
        <v>44907</v>
      </c>
      <c r="L151" s="19">
        <v>44546</v>
      </c>
      <c r="M151" s="19">
        <v>44546</v>
      </c>
      <c r="N151" s="12" t="s">
        <v>248</v>
      </c>
      <c r="O151" s="12" t="s">
        <v>33</v>
      </c>
      <c r="P151" s="12" t="s">
        <v>34</v>
      </c>
      <c r="Q151" s="2">
        <f t="shared" si="2"/>
        <v>1</v>
      </c>
    </row>
    <row r="152" spans="1:17" x14ac:dyDescent="0.25">
      <c r="A152" s="12" t="s">
        <v>522</v>
      </c>
      <c r="B152" s="12" t="s">
        <v>523</v>
      </c>
      <c r="C152" s="12" t="s">
        <v>30</v>
      </c>
      <c r="D152" s="12" t="s">
        <v>164</v>
      </c>
      <c r="E152" s="12" t="s">
        <v>212</v>
      </c>
      <c r="F152" s="12">
        <v>25.488</v>
      </c>
      <c r="G152" s="12" t="s">
        <v>206</v>
      </c>
      <c r="H152" s="12">
        <v>100</v>
      </c>
      <c r="I152" s="12">
        <v>25.488</v>
      </c>
      <c r="J152" s="12" t="s">
        <v>23</v>
      </c>
      <c r="K152" s="19">
        <v>44910</v>
      </c>
      <c r="L152" s="19">
        <v>44547</v>
      </c>
      <c r="M152" s="19">
        <v>44547</v>
      </c>
      <c r="N152" s="12" t="s">
        <v>220</v>
      </c>
      <c r="O152" s="12" t="s">
        <v>46</v>
      </c>
      <c r="P152" s="12" t="s">
        <v>47</v>
      </c>
      <c r="Q152" s="2">
        <f t="shared" si="2"/>
        <v>1</v>
      </c>
    </row>
    <row r="153" spans="1:17" x14ac:dyDescent="0.25">
      <c r="A153" s="12" t="s">
        <v>525</v>
      </c>
      <c r="B153" s="12" t="s">
        <v>526</v>
      </c>
      <c r="C153" s="12" t="s">
        <v>19</v>
      </c>
      <c r="D153" s="12" t="s">
        <v>31</v>
      </c>
      <c r="E153" s="12" t="s">
        <v>212</v>
      </c>
      <c r="F153" s="12">
        <v>10.368</v>
      </c>
      <c r="G153" s="12" t="s">
        <v>206</v>
      </c>
      <c r="H153" s="12">
        <v>100</v>
      </c>
      <c r="I153" s="12">
        <v>10.368</v>
      </c>
      <c r="J153" s="12" t="s">
        <v>23</v>
      </c>
      <c r="K153" s="19">
        <v>44914</v>
      </c>
      <c r="L153" s="19">
        <v>44553</v>
      </c>
      <c r="M153" s="19">
        <v>44553</v>
      </c>
      <c r="N153" s="12" t="s">
        <v>213</v>
      </c>
      <c r="O153" s="12" t="s">
        <v>72</v>
      </c>
      <c r="P153" s="12" t="s">
        <v>73</v>
      </c>
      <c r="Q153" s="2">
        <f t="shared" si="2"/>
        <v>1</v>
      </c>
    </row>
    <row r="154" spans="1:17" x14ac:dyDescent="0.25">
      <c r="A154" s="12" t="s">
        <v>528</v>
      </c>
      <c r="B154" s="12" t="s">
        <v>529</v>
      </c>
      <c r="C154" s="12" t="s">
        <v>30</v>
      </c>
      <c r="D154" s="12" t="s">
        <v>31</v>
      </c>
      <c r="E154" s="12" t="s">
        <v>212</v>
      </c>
      <c r="F154" s="12">
        <v>19.872</v>
      </c>
      <c r="G154" s="12" t="s">
        <v>206</v>
      </c>
      <c r="H154" s="12">
        <v>100</v>
      </c>
      <c r="I154" s="12">
        <v>19.872</v>
      </c>
      <c r="J154" s="12" t="s">
        <v>23</v>
      </c>
      <c r="K154" s="19">
        <v>44914</v>
      </c>
      <c r="L154" s="19">
        <v>44554</v>
      </c>
      <c r="M154" s="19">
        <v>44554</v>
      </c>
      <c r="N154" s="12" t="s">
        <v>207</v>
      </c>
      <c r="O154" s="12" t="s">
        <v>67</v>
      </c>
      <c r="P154" s="12" t="s">
        <v>68</v>
      </c>
      <c r="Q154" s="2">
        <f t="shared" si="2"/>
        <v>1</v>
      </c>
    </row>
    <row r="155" spans="1:17" x14ac:dyDescent="0.25">
      <c r="A155" s="12" t="s">
        <v>531</v>
      </c>
      <c r="B155" s="12" t="s">
        <v>532</v>
      </c>
      <c r="C155" s="12" t="s">
        <v>19</v>
      </c>
      <c r="D155" s="12" t="s">
        <v>31</v>
      </c>
      <c r="E155" s="12" t="s">
        <v>205</v>
      </c>
      <c r="F155" s="12">
        <v>4.7279999999999998</v>
      </c>
      <c r="G155" s="12" t="s">
        <v>206</v>
      </c>
      <c r="H155" s="12">
        <v>80</v>
      </c>
      <c r="I155" s="12">
        <v>3.7824</v>
      </c>
      <c r="J155" s="12" t="s">
        <v>23</v>
      </c>
      <c r="K155" s="19">
        <v>44914</v>
      </c>
      <c r="L155" s="19">
        <v>44549</v>
      </c>
      <c r="M155" s="19">
        <v>44549</v>
      </c>
      <c r="N155" s="12" t="s">
        <v>234</v>
      </c>
      <c r="O155" s="12" t="s">
        <v>33</v>
      </c>
      <c r="P155" s="12" t="s">
        <v>34</v>
      </c>
      <c r="Q155" s="2">
        <f t="shared" si="2"/>
        <v>1</v>
      </c>
    </row>
    <row r="156" spans="1:17" x14ac:dyDescent="0.25">
      <c r="A156" s="12" t="s">
        <v>534</v>
      </c>
      <c r="B156" s="12" t="s">
        <v>535</v>
      </c>
      <c r="C156" s="12" t="s">
        <v>19</v>
      </c>
      <c r="D156" s="12" t="s">
        <v>62</v>
      </c>
      <c r="E156" s="12" t="s">
        <v>212</v>
      </c>
      <c r="F156" s="12">
        <v>323.10000000000002</v>
      </c>
      <c r="G156" s="12" t="s">
        <v>206</v>
      </c>
      <c r="H156" s="12">
        <v>100</v>
      </c>
      <c r="I156" s="12">
        <v>323.10000000000002</v>
      </c>
      <c r="J156" s="12" t="s">
        <v>23</v>
      </c>
      <c r="K156" s="19">
        <v>44914</v>
      </c>
      <c r="L156" s="19">
        <v>44549</v>
      </c>
      <c r="M156" s="19">
        <v>44549</v>
      </c>
      <c r="N156" s="12" t="s">
        <v>238</v>
      </c>
      <c r="O156" s="12" t="s">
        <v>72</v>
      </c>
      <c r="P156" s="12" t="s">
        <v>73</v>
      </c>
      <c r="Q156" s="2">
        <f t="shared" si="2"/>
        <v>1</v>
      </c>
    </row>
    <row r="157" spans="1:17" x14ac:dyDescent="0.25">
      <c r="A157" s="12" t="s">
        <v>537</v>
      </c>
      <c r="B157" s="12" t="s">
        <v>538</v>
      </c>
      <c r="C157" s="12" t="s">
        <v>30</v>
      </c>
      <c r="D157" s="12" t="s">
        <v>62</v>
      </c>
      <c r="E157" s="12" t="s">
        <v>205</v>
      </c>
      <c r="F157" s="12">
        <v>24.815999999999999</v>
      </c>
      <c r="G157" s="12" t="s">
        <v>206</v>
      </c>
      <c r="H157" s="12">
        <v>80</v>
      </c>
      <c r="I157" s="12">
        <v>19.852800000000002</v>
      </c>
      <c r="J157" s="12" t="s">
        <v>23</v>
      </c>
      <c r="K157" s="19">
        <v>44915</v>
      </c>
      <c r="L157" s="19">
        <v>44554</v>
      </c>
      <c r="M157" s="19">
        <v>44554</v>
      </c>
      <c r="N157" s="12" t="s">
        <v>238</v>
      </c>
      <c r="O157" s="12" t="s">
        <v>67</v>
      </c>
      <c r="P157" s="12" t="s">
        <v>68</v>
      </c>
      <c r="Q157" s="2">
        <f t="shared" si="2"/>
        <v>1</v>
      </c>
    </row>
    <row r="158" spans="1:17" x14ac:dyDescent="0.25">
      <c r="A158" s="12" t="s">
        <v>540</v>
      </c>
      <c r="B158" s="12" t="s">
        <v>541</v>
      </c>
      <c r="C158" s="12" t="s">
        <v>30</v>
      </c>
      <c r="D158" s="12" t="s">
        <v>186</v>
      </c>
      <c r="E158" s="12" t="s">
        <v>205</v>
      </c>
      <c r="F158" s="12">
        <v>160.97999999999999</v>
      </c>
      <c r="G158" s="12" t="s">
        <v>206</v>
      </c>
      <c r="H158" s="12">
        <v>80</v>
      </c>
      <c r="I158" s="12">
        <v>128.78399999999999</v>
      </c>
      <c r="J158" s="12" t="s">
        <v>23</v>
      </c>
      <c r="K158" s="19">
        <v>44916</v>
      </c>
      <c r="L158" s="19">
        <v>44556</v>
      </c>
      <c r="M158" s="19">
        <v>44556</v>
      </c>
      <c r="N158" s="12" t="s">
        <v>234</v>
      </c>
      <c r="O158" s="12" t="s">
        <v>40</v>
      </c>
      <c r="P158" s="12" t="s">
        <v>34</v>
      </c>
      <c r="Q158" s="2">
        <f t="shared" si="2"/>
        <v>1</v>
      </c>
    </row>
    <row r="159" spans="1:17" x14ac:dyDescent="0.25">
      <c r="A159" s="12" t="s">
        <v>543</v>
      </c>
      <c r="B159" s="12" t="s">
        <v>544</v>
      </c>
      <c r="C159" s="12" t="s">
        <v>30</v>
      </c>
      <c r="D159" s="12" t="s">
        <v>51</v>
      </c>
      <c r="E159" s="12" t="s">
        <v>205</v>
      </c>
      <c r="F159" s="12">
        <v>30.08</v>
      </c>
      <c r="G159" s="12" t="s">
        <v>206</v>
      </c>
      <c r="H159" s="12">
        <v>80</v>
      </c>
      <c r="I159" s="12">
        <v>24.064</v>
      </c>
      <c r="J159" s="12" t="s">
        <v>23</v>
      </c>
      <c r="K159" s="19">
        <v>44916</v>
      </c>
      <c r="L159" s="19">
        <v>44557</v>
      </c>
      <c r="M159" s="19">
        <v>44557</v>
      </c>
      <c r="N159" s="12" t="s">
        <v>234</v>
      </c>
      <c r="O159" s="12" t="s">
        <v>46</v>
      </c>
      <c r="P159" s="12" t="s">
        <v>47</v>
      </c>
      <c r="Q159" s="2">
        <f t="shared" si="2"/>
        <v>1</v>
      </c>
    </row>
    <row r="160" spans="1:17" x14ac:dyDescent="0.25">
      <c r="A160" s="12" t="s">
        <v>546</v>
      </c>
      <c r="B160" s="12" t="s">
        <v>547</v>
      </c>
      <c r="C160" s="12" t="s">
        <v>30</v>
      </c>
      <c r="D160" s="12" t="s">
        <v>86</v>
      </c>
      <c r="E160" s="12" t="s">
        <v>205</v>
      </c>
      <c r="F160" s="12">
        <v>1565.88</v>
      </c>
      <c r="G160" s="12" t="s">
        <v>206</v>
      </c>
      <c r="H160" s="12">
        <v>80</v>
      </c>
      <c r="I160" s="12">
        <v>1252.7040000000002</v>
      </c>
      <c r="J160" s="12" t="s">
        <v>23</v>
      </c>
      <c r="K160" s="19">
        <v>44917</v>
      </c>
      <c r="L160" s="19">
        <v>44555</v>
      </c>
      <c r="M160" s="19">
        <v>44555</v>
      </c>
      <c r="N160" s="12" t="s">
        <v>238</v>
      </c>
      <c r="O160" s="12" t="s">
        <v>67</v>
      </c>
      <c r="P160" s="12" t="s">
        <v>68</v>
      </c>
      <c r="Q160" s="2">
        <f t="shared" si="2"/>
        <v>1</v>
      </c>
    </row>
    <row r="161" spans="1:17" x14ac:dyDescent="0.25">
      <c r="A161" s="12" t="s">
        <v>549</v>
      </c>
      <c r="B161" s="12" t="s">
        <v>550</v>
      </c>
      <c r="C161" s="12" t="s">
        <v>30</v>
      </c>
      <c r="D161" s="12" t="s">
        <v>164</v>
      </c>
      <c r="E161" s="12" t="s">
        <v>212</v>
      </c>
      <c r="F161" s="12">
        <v>25.92</v>
      </c>
      <c r="G161" s="12" t="s">
        <v>206</v>
      </c>
      <c r="H161" s="12">
        <v>100</v>
      </c>
      <c r="I161" s="12">
        <v>25.92</v>
      </c>
      <c r="J161" s="12" t="s">
        <v>23</v>
      </c>
      <c r="K161" s="19">
        <v>44917</v>
      </c>
      <c r="L161" s="19">
        <v>44556</v>
      </c>
      <c r="M161" s="19">
        <v>44556</v>
      </c>
      <c r="N161" s="12" t="s">
        <v>234</v>
      </c>
      <c r="O161" s="12" t="s">
        <v>72</v>
      </c>
      <c r="P161" s="12" t="s">
        <v>73</v>
      </c>
      <c r="Q161" s="2">
        <f t="shared" si="2"/>
        <v>1</v>
      </c>
    </row>
    <row r="162" spans="1:17" x14ac:dyDescent="0.25">
      <c r="A162" s="12" t="s">
        <v>552</v>
      </c>
      <c r="B162" s="12" t="s">
        <v>553</v>
      </c>
      <c r="C162" s="12" t="s">
        <v>19</v>
      </c>
      <c r="D162" s="12" t="s">
        <v>31</v>
      </c>
      <c r="E162" s="12" t="s">
        <v>205</v>
      </c>
      <c r="F162" s="12">
        <v>89.97</v>
      </c>
      <c r="G162" s="12" t="s">
        <v>206</v>
      </c>
      <c r="H162" s="12">
        <v>80</v>
      </c>
      <c r="I162" s="12">
        <v>71.975999999999999</v>
      </c>
      <c r="J162" s="12" t="s">
        <v>23</v>
      </c>
      <c r="K162" s="19">
        <v>44925</v>
      </c>
      <c r="L162" s="19">
        <v>44932</v>
      </c>
      <c r="M162" s="19">
        <v>44932</v>
      </c>
      <c r="N162" s="12" t="s">
        <v>234</v>
      </c>
      <c r="O162" s="12" t="s">
        <v>40</v>
      </c>
      <c r="P162" s="12" t="s">
        <v>34</v>
      </c>
      <c r="Q162" s="2">
        <f t="shared" si="2"/>
        <v>1</v>
      </c>
    </row>
    <row r="163" spans="1:17" x14ac:dyDescent="0.25">
      <c r="A163" s="12" t="s">
        <v>554</v>
      </c>
      <c r="B163" s="12" t="s">
        <v>555</v>
      </c>
      <c r="C163" s="12" t="s">
        <v>30</v>
      </c>
      <c r="D163" s="12" t="s">
        <v>51</v>
      </c>
      <c r="E163" s="12" t="s">
        <v>212</v>
      </c>
      <c r="F163" s="12">
        <v>242.94</v>
      </c>
      <c r="G163" s="12" t="s">
        <v>206</v>
      </c>
      <c r="H163" s="12">
        <v>100</v>
      </c>
      <c r="I163" s="12">
        <v>242.94</v>
      </c>
      <c r="J163" s="12" t="s">
        <v>23</v>
      </c>
      <c r="K163" s="19">
        <v>44938</v>
      </c>
      <c r="L163" s="19">
        <v>44942</v>
      </c>
      <c r="M163" s="19">
        <v>44942</v>
      </c>
      <c r="N163" s="12" t="s">
        <v>220</v>
      </c>
      <c r="O163" s="12" t="s">
        <v>82</v>
      </c>
      <c r="P163" s="12" t="s">
        <v>47</v>
      </c>
      <c r="Q163" s="2">
        <f t="shared" si="2"/>
        <v>1</v>
      </c>
    </row>
    <row r="164" spans="1:17" x14ac:dyDescent="0.25">
      <c r="A164" s="12" t="s">
        <v>557</v>
      </c>
      <c r="B164" s="12" t="s">
        <v>558</v>
      </c>
      <c r="C164" s="12" t="s">
        <v>19</v>
      </c>
      <c r="D164" s="12" t="s">
        <v>139</v>
      </c>
      <c r="E164" s="12" t="s">
        <v>212</v>
      </c>
      <c r="F164" s="12">
        <v>36.24</v>
      </c>
      <c r="G164" s="12" t="s">
        <v>206</v>
      </c>
      <c r="H164" s="12">
        <v>100</v>
      </c>
      <c r="I164" s="12">
        <v>36.24</v>
      </c>
      <c r="J164" s="12" t="s">
        <v>23</v>
      </c>
      <c r="K164" s="19">
        <v>44942</v>
      </c>
      <c r="L164" s="19">
        <v>44944</v>
      </c>
      <c r="M164" s="19">
        <v>44944</v>
      </c>
      <c r="N164" s="12" t="s">
        <v>213</v>
      </c>
      <c r="O164" s="12" t="s">
        <v>146</v>
      </c>
      <c r="P164" s="12" t="s">
        <v>73</v>
      </c>
      <c r="Q164" s="2">
        <f t="shared" si="2"/>
        <v>1</v>
      </c>
    </row>
    <row r="165" spans="1:17" x14ac:dyDescent="0.25">
      <c r="A165" s="12" t="s">
        <v>560</v>
      </c>
      <c r="B165" s="12" t="s">
        <v>561</v>
      </c>
      <c r="C165" s="12" t="s">
        <v>30</v>
      </c>
      <c r="D165" s="12" t="s">
        <v>370</v>
      </c>
      <c r="E165" s="12" t="s">
        <v>205</v>
      </c>
      <c r="F165" s="12">
        <v>146.352</v>
      </c>
      <c r="G165" s="12" t="s">
        <v>206</v>
      </c>
      <c r="H165" s="12">
        <v>80</v>
      </c>
      <c r="I165" s="12">
        <v>117.08160000000001</v>
      </c>
      <c r="J165" s="12" t="s">
        <v>23</v>
      </c>
      <c r="K165" s="19">
        <v>44949</v>
      </c>
      <c r="L165" s="19">
        <v>44956</v>
      </c>
      <c r="M165" s="19">
        <v>44956</v>
      </c>
      <c r="N165" s="12" t="s">
        <v>207</v>
      </c>
      <c r="O165" s="12" t="s">
        <v>82</v>
      </c>
      <c r="P165" s="12" t="s">
        <v>47</v>
      </c>
      <c r="Q165" s="2">
        <f t="shared" si="2"/>
        <v>1</v>
      </c>
    </row>
    <row r="166" spans="1:17" x14ac:dyDescent="0.25">
      <c r="A166" s="12" t="s">
        <v>563</v>
      </c>
      <c r="B166" s="12" t="s">
        <v>564</v>
      </c>
      <c r="C166" s="12" t="s">
        <v>30</v>
      </c>
      <c r="D166" s="12" t="s">
        <v>38</v>
      </c>
      <c r="E166" s="12" t="s">
        <v>205</v>
      </c>
      <c r="F166" s="12">
        <v>207.14400000000001</v>
      </c>
      <c r="G166" s="12" t="s">
        <v>206</v>
      </c>
      <c r="H166" s="12">
        <v>80</v>
      </c>
      <c r="I166" s="12">
        <v>165.71520000000001</v>
      </c>
      <c r="J166" s="12" t="s">
        <v>23</v>
      </c>
      <c r="K166" s="19">
        <v>44955</v>
      </c>
      <c r="L166" s="19">
        <v>44959</v>
      </c>
      <c r="M166" s="19">
        <v>44959</v>
      </c>
      <c r="N166" s="12" t="s">
        <v>220</v>
      </c>
      <c r="O166" s="12" t="s">
        <v>33</v>
      </c>
      <c r="P166" s="12" t="s">
        <v>34</v>
      </c>
      <c r="Q166" s="2">
        <f t="shared" si="2"/>
        <v>1</v>
      </c>
    </row>
    <row r="167" spans="1:17" x14ac:dyDescent="0.25">
      <c r="A167" s="12" t="s">
        <v>566</v>
      </c>
      <c r="B167" s="12" t="s">
        <v>567</v>
      </c>
      <c r="C167" s="12" t="s">
        <v>19</v>
      </c>
      <c r="D167" s="12" t="s">
        <v>370</v>
      </c>
      <c r="E167" s="12" t="s">
        <v>205</v>
      </c>
      <c r="F167" s="12">
        <v>12.96</v>
      </c>
      <c r="G167" s="12" t="s">
        <v>206</v>
      </c>
      <c r="H167" s="12">
        <v>80</v>
      </c>
      <c r="I167" s="12">
        <v>10.368000000000002</v>
      </c>
      <c r="J167" s="12" t="s">
        <v>23</v>
      </c>
      <c r="K167" s="19">
        <v>44957</v>
      </c>
      <c r="L167" s="19">
        <v>44961</v>
      </c>
      <c r="M167" s="19">
        <v>44961</v>
      </c>
      <c r="N167" s="12" t="s">
        <v>248</v>
      </c>
      <c r="O167" s="12" t="s">
        <v>67</v>
      </c>
      <c r="P167" s="12" t="s">
        <v>68</v>
      </c>
      <c r="Q167" s="2">
        <f t="shared" si="2"/>
        <v>1</v>
      </c>
    </row>
    <row r="168" spans="1:17" x14ac:dyDescent="0.25">
      <c r="A168" s="12" t="s">
        <v>569</v>
      </c>
      <c r="B168" s="12" t="s">
        <v>570</v>
      </c>
      <c r="C168" s="12" t="s">
        <v>30</v>
      </c>
      <c r="D168" s="12" t="s">
        <v>150</v>
      </c>
      <c r="E168" s="12" t="s">
        <v>205</v>
      </c>
      <c r="F168" s="12">
        <v>481.32</v>
      </c>
      <c r="G168" s="12" t="s">
        <v>206</v>
      </c>
      <c r="H168" s="12">
        <v>80</v>
      </c>
      <c r="I168" s="12">
        <v>385.05600000000004</v>
      </c>
      <c r="J168" s="12" t="s">
        <v>23</v>
      </c>
      <c r="K168" s="19">
        <v>44957</v>
      </c>
      <c r="L168" s="19">
        <v>44962</v>
      </c>
      <c r="M168" s="19">
        <v>44962</v>
      </c>
      <c r="N168" s="12" t="s">
        <v>213</v>
      </c>
      <c r="O168" s="12" t="s">
        <v>33</v>
      </c>
      <c r="P168" s="12" t="s">
        <v>34</v>
      </c>
      <c r="Q168" s="2">
        <f t="shared" si="2"/>
        <v>1</v>
      </c>
    </row>
    <row r="169" spans="1:17" x14ac:dyDescent="0.25">
      <c r="A169" s="12" t="s">
        <v>572</v>
      </c>
      <c r="B169" s="12" t="s">
        <v>573</v>
      </c>
      <c r="C169" s="12" t="s">
        <v>30</v>
      </c>
      <c r="D169" s="12" t="s">
        <v>31</v>
      </c>
      <c r="E169" s="12" t="s">
        <v>205</v>
      </c>
      <c r="F169" s="12">
        <v>22.385999999999999</v>
      </c>
      <c r="G169" s="12" t="s">
        <v>206</v>
      </c>
      <c r="H169" s="12">
        <v>80</v>
      </c>
      <c r="I169" s="12">
        <v>17.908799999999999</v>
      </c>
      <c r="J169" s="12" t="s">
        <v>23</v>
      </c>
      <c r="K169" s="19">
        <v>44958</v>
      </c>
      <c r="L169" s="19">
        <v>44962</v>
      </c>
      <c r="M169" s="19">
        <v>44962</v>
      </c>
      <c r="N169" s="12" t="s">
        <v>248</v>
      </c>
      <c r="O169" s="12" t="s">
        <v>72</v>
      </c>
      <c r="P169" s="12" t="s">
        <v>73</v>
      </c>
      <c r="Q169" s="2">
        <f t="shared" si="2"/>
        <v>1</v>
      </c>
    </row>
    <row r="170" spans="1:17" x14ac:dyDescent="0.25">
      <c r="A170" s="12" t="s">
        <v>575</v>
      </c>
      <c r="B170" s="12" t="s">
        <v>576</v>
      </c>
      <c r="C170" s="12" t="s">
        <v>19</v>
      </c>
      <c r="D170" s="12" t="s">
        <v>345</v>
      </c>
      <c r="E170" s="12" t="s">
        <v>212</v>
      </c>
      <c r="F170" s="12">
        <v>41.904000000000003</v>
      </c>
      <c r="G170" s="12" t="s">
        <v>206</v>
      </c>
      <c r="H170" s="12">
        <v>100</v>
      </c>
      <c r="I170" s="12">
        <v>41.904000000000003</v>
      </c>
      <c r="J170" s="12" t="s">
        <v>23</v>
      </c>
      <c r="K170" s="19">
        <v>44959</v>
      </c>
      <c r="L170" s="19">
        <v>44965</v>
      </c>
      <c r="M170" s="19">
        <v>44965</v>
      </c>
      <c r="N170" s="12" t="s">
        <v>248</v>
      </c>
      <c r="O170" s="12" t="s">
        <v>97</v>
      </c>
      <c r="P170" s="12" t="s">
        <v>68</v>
      </c>
      <c r="Q170" s="2">
        <f t="shared" si="2"/>
        <v>1</v>
      </c>
    </row>
    <row r="171" spans="1:17" x14ac:dyDescent="0.25">
      <c r="A171" s="12" t="s">
        <v>578</v>
      </c>
      <c r="B171" s="12" t="s">
        <v>579</v>
      </c>
      <c r="C171" s="12" t="s">
        <v>19</v>
      </c>
      <c r="D171" s="12" t="s">
        <v>31</v>
      </c>
      <c r="E171" s="12" t="s">
        <v>205</v>
      </c>
      <c r="F171" s="12">
        <v>1317.492</v>
      </c>
      <c r="G171" s="12" t="s">
        <v>206</v>
      </c>
      <c r="H171" s="12">
        <v>80</v>
      </c>
      <c r="I171" s="12">
        <v>1053.9936</v>
      </c>
      <c r="J171" s="12" t="s">
        <v>23</v>
      </c>
      <c r="K171" s="19">
        <v>44965</v>
      </c>
      <c r="L171" s="19">
        <v>44967</v>
      </c>
      <c r="M171" s="19">
        <v>44967</v>
      </c>
      <c r="N171" s="12" t="s">
        <v>238</v>
      </c>
      <c r="O171" s="12" t="s">
        <v>46</v>
      </c>
      <c r="P171" s="12" t="s">
        <v>47</v>
      </c>
      <c r="Q171" s="2">
        <f t="shared" si="2"/>
        <v>1</v>
      </c>
    </row>
    <row r="172" spans="1:17" x14ac:dyDescent="0.25">
      <c r="A172" s="12" t="s">
        <v>581</v>
      </c>
      <c r="B172" s="12" t="s">
        <v>582</v>
      </c>
      <c r="C172" s="12" t="s">
        <v>30</v>
      </c>
      <c r="D172" s="12" t="s">
        <v>31</v>
      </c>
      <c r="E172" s="12" t="s">
        <v>205</v>
      </c>
      <c r="F172" s="12">
        <v>63.84</v>
      </c>
      <c r="G172" s="12" t="s">
        <v>206</v>
      </c>
      <c r="H172" s="12">
        <v>80</v>
      </c>
      <c r="I172" s="12">
        <v>51.072000000000003</v>
      </c>
      <c r="J172" s="12" t="s">
        <v>23</v>
      </c>
      <c r="K172" s="19">
        <v>44966</v>
      </c>
      <c r="L172" s="19">
        <v>44969</v>
      </c>
      <c r="M172" s="19">
        <v>44969</v>
      </c>
      <c r="N172" s="12" t="s">
        <v>220</v>
      </c>
      <c r="O172" s="12" t="s">
        <v>146</v>
      </c>
      <c r="P172" s="12" t="s">
        <v>73</v>
      </c>
      <c r="Q172" s="2">
        <f t="shared" si="2"/>
        <v>1</v>
      </c>
    </row>
    <row r="173" spans="1:17" x14ac:dyDescent="0.25">
      <c r="A173" s="12" t="s">
        <v>583</v>
      </c>
      <c r="B173" s="12" t="s">
        <v>584</v>
      </c>
      <c r="C173" s="12" t="s">
        <v>30</v>
      </c>
      <c r="D173" s="12" t="s">
        <v>38</v>
      </c>
      <c r="E173" s="12" t="s">
        <v>212</v>
      </c>
      <c r="F173" s="12">
        <v>13.568</v>
      </c>
      <c r="G173" s="12" t="s">
        <v>206</v>
      </c>
      <c r="H173" s="12">
        <v>100</v>
      </c>
      <c r="I173" s="12">
        <v>13.568</v>
      </c>
      <c r="J173" s="12" t="s">
        <v>23</v>
      </c>
      <c r="K173" s="19">
        <v>44980</v>
      </c>
      <c r="L173" s="19">
        <v>44986</v>
      </c>
      <c r="M173" s="19">
        <v>44986</v>
      </c>
      <c r="N173" s="12" t="s">
        <v>220</v>
      </c>
      <c r="O173" s="12" t="s">
        <v>54</v>
      </c>
      <c r="P173" s="12" t="s">
        <v>26</v>
      </c>
      <c r="Q173" s="2">
        <f t="shared" si="2"/>
        <v>1</v>
      </c>
    </row>
    <row r="174" spans="1:17" x14ac:dyDescent="0.25">
      <c r="A174" s="12" t="s">
        <v>586</v>
      </c>
      <c r="B174" s="12" t="s">
        <v>587</v>
      </c>
      <c r="C174" s="12" t="s">
        <v>30</v>
      </c>
      <c r="D174" s="12" t="s">
        <v>154</v>
      </c>
      <c r="E174" s="12" t="s">
        <v>212</v>
      </c>
      <c r="F174" s="12">
        <v>40.99</v>
      </c>
      <c r="G174" s="12" t="s">
        <v>206</v>
      </c>
      <c r="H174" s="12">
        <v>100</v>
      </c>
      <c r="I174" s="12">
        <v>40.99</v>
      </c>
      <c r="J174" s="12" t="s">
        <v>23</v>
      </c>
      <c r="K174" s="19">
        <v>44983</v>
      </c>
      <c r="L174" s="19">
        <v>44985</v>
      </c>
      <c r="M174" s="19">
        <v>44985</v>
      </c>
      <c r="N174" s="12" t="s">
        <v>207</v>
      </c>
      <c r="O174" s="12" t="s">
        <v>25</v>
      </c>
      <c r="P174" s="12" t="s">
        <v>26</v>
      </c>
      <c r="Q174" s="2">
        <f t="shared" si="2"/>
        <v>1</v>
      </c>
    </row>
    <row r="175" spans="1:17" x14ac:dyDescent="0.25">
      <c r="A175" s="12" t="s">
        <v>589</v>
      </c>
      <c r="B175" s="12" t="s">
        <v>590</v>
      </c>
      <c r="C175" s="12" t="s">
        <v>19</v>
      </c>
      <c r="D175" s="12" t="s">
        <v>370</v>
      </c>
      <c r="E175" s="12" t="s">
        <v>205</v>
      </c>
      <c r="F175" s="12">
        <v>10.272</v>
      </c>
      <c r="G175" s="12" t="s">
        <v>206</v>
      </c>
      <c r="H175" s="12">
        <v>80</v>
      </c>
      <c r="I175" s="12">
        <v>8.2176000000000009</v>
      </c>
      <c r="J175" s="12" t="s">
        <v>23</v>
      </c>
      <c r="K175" s="19">
        <v>44985</v>
      </c>
      <c r="L175" s="19">
        <v>44988</v>
      </c>
      <c r="M175" s="19">
        <v>44988</v>
      </c>
      <c r="N175" s="12" t="s">
        <v>234</v>
      </c>
      <c r="O175" s="12" t="s">
        <v>46</v>
      </c>
      <c r="P175" s="12" t="s">
        <v>47</v>
      </c>
      <c r="Q175" s="2">
        <f t="shared" si="2"/>
        <v>1</v>
      </c>
    </row>
    <row r="176" spans="1:17" x14ac:dyDescent="0.25">
      <c r="A176" s="12" t="s">
        <v>592</v>
      </c>
      <c r="B176" s="12" t="s">
        <v>593</v>
      </c>
      <c r="C176" s="12" t="s">
        <v>19</v>
      </c>
      <c r="D176" s="12" t="s">
        <v>31</v>
      </c>
      <c r="E176" s="12" t="s">
        <v>212</v>
      </c>
      <c r="F176" s="12">
        <v>1272.6300000000001</v>
      </c>
      <c r="G176" s="12" t="s">
        <v>206</v>
      </c>
      <c r="H176" s="12">
        <v>100</v>
      </c>
      <c r="I176" s="12">
        <v>1272.6300000000001</v>
      </c>
      <c r="J176" s="12" t="s">
        <v>23</v>
      </c>
      <c r="K176" s="19">
        <v>44990</v>
      </c>
      <c r="L176" s="19">
        <v>44994</v>
      </c>
      <c r="M176" s="19">
        <v>44994</v>
      </c>
      <c r="N176" s="12" t="s">
        <v>234</v>
      </c>
      <c r="O176" s="12" t="s">
        <v>25</v>
      </c>
      <c r="P176" s="12" t="s">
        <v>26</v>
      </c>
      <c r="Q176" s="2">
        <f t="shared" si="2"/>
        <v>1</v>
      </c>
    </row>
    <row r="177" spans="1:17" x14ac:dyDescent="0.25">
      <c r="A177" s="12" t="s">
        <v>595</v>
      </c>
      <c r="B177" s="12" t="s">
        <v>596</v>
      </c>
      <c r="C177" s="12" t="s">
        <v>19</v>
      </c>
      <c r="D177" s="12" t="s">
        <v>105</v>
      </c>
      <c r="E177" s="12" t="s">
        <v>212</v>
      </c>
      <c r="F177" s="12">
        <v>71.97</v>
      </c>
      <c r="G177" s="12" t="s">
        <v>206</v>
      </c>
      <c r="H177" s="12">
        <v>100</v>
      </c>
      <c r="I177" s="12">
        <v>71.97</v>
      </c>
      <c r="J177" s="12" t="s">
        <v>23</v>
      </c>
      <c r="K177" s="19">
        <v>44990</v>
      </c>
      <c r="L177" s="19">
        <v>44994</v>
      </c>
      <c r="M177" s="19">
        <v>44994</v>
      </c>
      <c r="N177" s="12" t="s">
        <v>248</v>
      </c>
      <c r="O177" s="12" t="s">
        <v>46</v>
      </c>
      <c r="P177" s="12" t="s">
        <v>47</v>
      </c>
      <c r="Q177" s="2">
        <f t="shared" si="2"/>
        <v>1</v>
      </c>
    </row>
    <row r="178" spans="1:17" x14ac:dyDescent="0.25">
      <c r="A178" s="12" t="s">
        <v>598</v>
      </c>
      <c r="B178" s="12" t="s">
        <v>599</v>
      </c>
      <c r="C178" s="12" t="s">
        <v>19</v>
      </c>
      <c r="D178" s="12" t="s">
        <v>115</v>
      </c>
      <c r="E178" s="12" t="s">
        <v>212</v>
      </c>
      <c r="F178" s="12">
        <v>29.56</v>
      </c>
      <c r="G178" s="12" t="s">
        <v>206</v>
      </c>
      <c r="H178" s="12">
        <v>100</v>
      </c>
      <c r="I178" s="12">
        <v>29.56</v>
      </c>
      <c r="J178" s="12" t="s">
        <v>23</v>
      </c>
      <c r="K178" s="19">
        <v>44990</v>
      </c>
      <c r="L178" s="19">
        <v>44996</v>
      </c>
      <c r="M178" s="19">
        <v>44996</v>
      </c>
      <c r="N178" s="12" t="s">
        <v>248</v>
      </c>
      <c r="O178" s="12" t="s">
        <v>54</v>
      </c>
      <c r="P178" s="12" t="s">
        <v>26</v>
      </c>
      <c r="Q178" s="2">
        <f t="shared" si="2"/>
        <v>1</v>
      </c>
    </row>
    <row r="179" spans="1:17" x14ac:dyDescent="0.25">
      <c r="A179" s="12" t="s">
        <v>601</v>
      </c>
      <c r="B179" s="12" t="s">
        <v>602</v>
      </c>
      <c r="C179" s="12" t="s">
        <v>30</v>
      </c>
      <c r="D179" s="12" t="s">
        <v>115</v>
      </c>
      <c r="E179" s="12" t="s">
        <v>205</v>
      </c>
      <c r="F179" s="12">
        <v>12.672000000000001</v>
      </c>
      <c r="G179" s="12" t="s">
        <v>206</v>
      </c>
      <c r="H179" s="12">
        <v>80</v>
      </c>
      <c r="I179" s="12">
        <v>10.137600000000001</v>
      </c>
      <c r="J179" s="12" t="s">
        <v>23</v>
      </c>
      <c r="K179" s="19">
        <v>44994</v>
      </c>
      <c r="L179" s="19">
        <v>44994</v>
      </c>
      <c r="M179" s="19">
        <v>44994</v>
      </c>
      <c r="N179" s="12" t="s">
        <v>220</v>
      </c>
      <c r="O179" s="12" t="s">
        <v>72</v>
      </c>
      <c r="P179" s="12" t="s">
        <v>73</v>
      </c>
      <c r="Q179" s="2">
        <f t="shared" si="2"/>
        <v>1</v>
      </c>
    </row>
    <row r="180" spans="1:17" x14ac:dyDescent="0.25">
      <c r="A180" s="12" t="s">
        <v>604</v>
      </c>
      <c r="B180" s="12" t="s">
        <v>605</v>
      </c>
      <c r="C180" s="12" t="s">
        <v>19</v>
      </c>
      <c r="D180" s="12" t="s">
        <v>164</v>
      </c>
      <c r="E180" s="12" t="s">
        <v>21</v>
      </c>
      <c r="F180" s="12">
        <v>435.84999999999997</v>
      </c>
      <c r="G180" s="12" t="s">
        <v>22</v>
      </c>
      <c r="H180" s="12">
        <v>0</v>
      </c>
      <c r="I180" s="12">
        <v>0</v>
      </c>
      <c r="J180" s="12" t="s">
        <v>23</v>
      </c>
      <c r="K180" s="19">
        <v>44995</v>
      </c>
      <c r="L180" s="19">
        <v>44998</v>
      </c>
      <c r="M180" s="19">
        <v>44998</v>
      </c>
      <c r="N180" s="12" t="s">
        <v>53</v>
      </c>
      <c r="O180" s="12" t="s">
        <v>72</v>
      </c>
      <c r="P180" s="12" t="s">
        <v>73</v>
      </c>
      <c r="Q180" s="2">
        <f t="shared" si="2"/>
        <v>1</v>
      </c>
    </row>
    <row r="181" spans="1:17" x14ac:dyDescent="0.25">
      <c r="A181" s="12" t="s">
        <v>607</v>
      </c>
      <c r="B181" s="12" t="s">
        <v>608</v>
      </c>
      <c r="C181" s="12" t="s">
        <v>19</v>
      </c>
      <c r="D181" s="12" t="s">
        <v>230</v>
      </c>
      <c r="E181" s="12" t="s">
        <v>21</v>
      </c>
      <c r="F181" s="12">
        <v>3384.45</v>
      </c>
      <c r="G181" s="12" t="s">
        <v>22</v>
      </c>
      <c r="H181" s="12">
        <v>0</v>
      </c>
      <c r="I181" s="12">
        <v>0</v>
      </c>
      <c r="J181" s="12" t="s">
        <v>23</v>
      </c>
      <c r="K181" s="19">
        <v>44996</v>
      </c>
      <c r="L181" s="19">
        <v>44999</v>
      </c>
      <c r="M181" s="19">
        <v>44999</v>
      </c>
      <c r="N181" s="12" t="s">
        <v>32</v>
      </c>
      <c r="O181" s="12" t="s">
        <v>67</v>
      </c>
      <c r="P181" s="12" t="s">
        <v>68</v>
      </c>
      <c r="Q181" s="2">
        <f t="shared" si="2"/>
        <v>1</v>
      </c>
    </row>
    <row r="182" spans="1:17" x14ac:dyDescent="0.25">
      <c r="A182" s="12" t="s">
        <v>610</v>
      </c>
      <c r="B182" s="12" t="s">
        <v>611</v>
      </c>
      <c r="C182" s="12" t="s">
        <v>19</v>
      </c>
      <c r="D182" s="12" t="s">
        <v>119</v>
      </c>
      <c r="E182" s="12" t="s">
        <v>212</v>
      </c>
      <c r="F182" s="12">
        <v>2.1819999999999902</v>
      </c>
      <c r="G182" s="12" t="s">
        <v>206</v>
      </c>
      <c r="H182" s="12">
        <v>100</v>
      </c>
      <c r="I182" s="12">
        <v>2.1819999999999902</v>
      </c>
      <c r="J182" s="12" t="s">
        <v>23</v>
      </c>
      <c r="K182" s="19">
        <v>44996</v>
      </c>
      <c r="L182" s="19">
        <v>45000</v>
      </c>
      <c r="M182" s="19">
        <v>45000</v>
      </c>
      <c r="N182" s="12" t="s">
        <v>213</v>
      </c>
      <c r="O182" s="12" t="s">
        <v>97</v>
      </c>
      <c r="P182" s="12" t="s">
        <v>68</v>
      </c>
      <c r="Q182" s="2">
        <f t="shared" si="2"/>
        <v>1</v>
      </c>
    </row>
    <row r="183" spans="1:17" x14ac:dyDescent="0.25">
      <c r="A183" s="12" t="s">
        <v>613</v>
      </c>
      <c r="B183" s="12" t="s">
        <v>614</v>
      </c>
      <c r="C183" s="12" t="s">
        <v>19</v>
      </c>
      <c r="D183" s="12" t="s">
        <v>96</v>
      </c>
      <c r="E183" s="12" t="s">
        <v>212</v>
      </c>
      <c r="F183" s="12">
        <v>16.72</v>
      </c>
      <c r="G183" s="12" t="s">
        <v>206</v>
      </c>
      <c r="H183" s="12">
        <v>100</v>
      </c>
      <c r="I183" s="12">
        <v>16.72</v>
      </c>
      <c r="J183" s="12" t="s">
        <v>23</v>
      </c>
      <c r="K183" s="19">
        <v>44997</v>
      </c>
      <c r="L183" s="19">
        <v>45001</v>
      </c>
      <c r="M183" s="19">
        <v>45001</v>
      </c>
      <c r="N183" s="12" t="s">
        <v>248</v>
      </c>
      <c r="O183" s="12" t="s">
        <v>97</v>
      </c>
      <c r="P183" s="12" t="s">
        <v>68</v>
      </c>
      <c r="Q183" s="2">
        <f t="shared" si="2"/>
        <v>1</v>
      </c>
    </row>
    <row r="184" spans="1:17" x14ac:dyDescent="0.25">
      <c r="A184" s="12" t="s">
        <v>616</v>
      </c>
      <c r="B184" s="12" t="s">
        <v>617</v>
      </c>
      <c r="C184" s="12" t="s">
        <v>19</v>
      </c>
      <c r="D184" s="12" t="s">
        <v>58</v>
      </c>
      <c r="E184" s="12" t="s">
        <v>205</v>
      </c>
      <c r="F184" s="12">
        <v>552.55999999999995</v>
      </c>
      <c r="G184" s="12" t="s">
        <v>206</v>
      </c>
      <c r="H184" s="12">
        <v>80</v>
      </c>
      <c r="I184" s="12">
        <v>442.048</v>
      </c>
      <c r="J184" s="12" t="s">
        <v>23</v>
      </c>
      <c r="K184" s="19">
        <v>45000</v>
      </c>
      <c r="L184" s="19">
        <v>45002</v>
      </c>
      <c r="M184" s="19">
        <v>45002</v>
      </c>
      <c r="N184" s="12" t="s">
        <v>207</v>
      </c>
      <c r="O184" s="12" t="s">
        <v>82</v>
      </c>
      <c r="P184" s="12" t="s">
        <v>47</v>
      </c>
      <c r="Q184" s="2">
        <f t="shared" si="2"/>
        <v>1</v>
      </c>
    </row>
    <row r="185" spans="1:17" x14ac:dyDescent="0.25">
      <c r="A185" s="12" t="s">
        <v>619</v>
      </c>
      <c r="B185" s="12" t="s">
        <v>620</v>
      </c>
      <c r="C185" s="12" t="s">
        <v>19</v>
      </c>
      <c r="D185" s="12" t="s">
        <v>119</v>
      </c>
      <c r="E185" s="12" t="s">
        <v>212</v>
      </c>
      <c r="F185" s="12">
        <v>21.4</v>
      </c>
      <c r="G185" s="12" t="s">
        <v>206</v>
      </c>
      <c r="H185" s="12">
        <v>100</v>
      </c>
      <c r="I185" s="12">
        <v>21.4</v>
      </c>
      <c r="J185" s="12" t="s">
        <v>23</v>
      </c>
      <c r="K185" s="19">
        <v>45000</v>
      </c>
      <c r="L185" s="19">
        <v>45006</v>
      </c>
      <c r="M185" s="19">
        <v>45006</v>
      </c>
      <c r="N185" s="12" t="s">
        <v>238</v>
      </c>
      <c r="O185" s="12" t="s">
        <v>54</v>
      </c>
      <c r="P185" s="12" t="s">
        <v>26</v>
      </c>
      <c r="Q185" s="2">
        <f t="shared" si="2"/>
        <v>1</v>
      </c>
    </row>
    <row r="186" spans="1:17" x14ac:dyDescent="0.25">
      <c r="A186" s="12" t="s">
        <v>622</v>
      </c>
      <c r="B186" s="12" t="s">
        <v>623</v>
      </c>
      <c r="C186" s="12" t="s">
        <v>19</v>
      </c>
      <c r="D186" s="12" t="s">
        <v>62</v>
      </c>
      <c r="E186" s="12" t="s">
        <v>21</v>
      </c>
      <c r="F186" s="12">
        <v>392.06</v>
      </c>
      <c r="G186" s="12" t="s">
        <v>22</v>
      </c>
      <c r="H186" s="12">
        <v>0</v>
      </c>
      <c r="I186" s="12">
        <v>0</v>
      </c>
      <c r="J186" s="12" t="s">
        <v>23</v>
      </c>
      <c r="K186" s="19">
        <v>45000</v>
      </c>
      <c r="L186" s="19">
        <v>45003</v>
      </c>
      <c r="M186" s="19">
        <v>45003</v>
      </c>
      <c r="N186" s="12" t="s">
        <v>63</v>
      </c>
      <c r="O186" s="12" t="s">
        <v>67</v>
      </c>
      <c r="P186" s="12" t="s">
        <v>68</v>
      </c>
      <c r="Q186" s="2">
        <f t="shared" si="2"/>
        <v>1</v>
      </c>
    </row>
    <row r="187" spans="1:17" x14ac:dyDescent="0.25">
      <c r="A187" s="12" t="s">
        <v>625</v>
      </c>
      <c r="B187" s="12" t="s">
        <v>626</v>
      </c>
      <c r="C187" s="12" t="s">
        <v>19</v>
      </c>
      <c r="D187" s="12" t="s">
        <v>154</v>
      </c>
      <c r="E187" s="12" t="s">
        <v>205</v>
      </c>
      <c r="F187" s="12">
        <v>1.96399999999999</v>
      </c>
      <c r="G187" s="12" t="s">
        <v>206</v>
      </c>
      <c r="H187" s="12">
        <v>80</v>
      </c>
      <c r="I187" s="12">
        <v>1.5711999999999922</v>
      </c>
      <c r="J187" s="12" t="s">
        <v>23</v>
      </c>
      <c r="K187" s="19">
        <v>45004</v>
      </c>
      <c r="L187" s="19">
        <v>45007</v>
      </c>
      <c r="M187" s="19">
        <v>45007</v>
      </c>
      <c r="N187" s="12" t="s">
        <v>213</v>
      </c>
      <c r="O187" s="12" t="s">
        <v>72</v>
      </c>
      <c r="P187" s="12" t="s">
        <v>73</v>
      </c>
      <c r="Q187" s="2">
        <f t="shared" si="2"/>
        <v>1</v>
      </c>
    </row>
    <row r="188" spans="1:17" x14ac:dyDescent="0.25">
      <c r="A188" s="12" t="s">
        <v>627</v>
      </c>
      <c r="B188" s="12" t="s">
        <v>628</v>
      </c>
      <c r="C188" s="12" t="s">
        <v>30</v>
      </c>
      <c r="D188" s="12" t="s">
        <v>38</v>
      </c>
      <c r="E188" s="12" t="s">
        <v>212</v>
      </c>
      <c r="F188" s="12">
        <v>82.656000000000006</v>
      </c>
      <c r="G188" s="12" t="s">
        <v>206</v>
      </c>
      <c r="H188" s="12">
        <v>100</v>
      </c>
      <c r="I188" s="12">
        <v>82.656000000000006</v>
      </c>
      <c r="J188" s="12" t="s">
        <v>23</v>
      </c>
      <c r="K188" s="19">
        <v>45005</v>
      </c>
      <c r="L188" s="19">
        <v>45007</v>
      </c>
      <c r="M188" s="19">
        <v>45007</v>
      </c>
      <c r="N188" s="12" t="s">
        <v>213</v>
      </c>
      <c r="O188" s="12" t="s">
        <v>40</v>
      </c>
      <c r="P188" s="12" t="s">
        <v>34</v>
      </c>
      <c r="Q188" s="2">
        <f t="shared" si="2"/>
        <v>1</v>
      </c>
    </row>
    <row r="189" spans="1:17" x14ac:dyDescent="0.25">
      <c r="A189" s="12" t="s">
        <v>630</v>
      </c>
      <c r="B189" s="12" t="s">
        <v>631</v>
      </c>
      <c r="C189" s="12" t="s">
        <v>30</v>
      </c>
      <c r="D189" s="12" t="s">
        <v>44</v>
      </c>
      <c r="E189" s="12" t="s">
        <v>212</v>
      </c>
      <c r="F189" s="12">
        <v>16.655999999999999</v>
      </c>
      <c r="G189" s="12" t="s">
        <v>206</v>
      </c>
      <c r="H189" s="12">
        <v>100</v>
      </c>
      <c r="I189" s="12">
        <v>16.655999999999999</v>
      </c>
      <c r="J189" s="12" t="s">
        <v>23</v>
      </c>
      <c r="K189" s="19">
        <v>45008</v>
      </c>
      <c r="L189" s="19">
        <v>45011</v>
      </c>
      <c r="M189" s="19">
        <v>45011</v>
      </c>
      <c r="N189" s="12" t="s">
        <v>207</v>
      </c>
      <c r="O189" s="12" t="s">
        <v>33</v>
      </c>
      <c r="P189" s="12" t="s">
        <v>34</v>
      </c>
      <c r="Q189" s="2">
        <f t="shared" si="2"/>
        <v>1</v>
      </c>
    </row>
    <row r="190" spans="1:17" x14ac:dyDescent="0.25">
      <c r="A190" s="12" t="s">
        <v>633</v>
      </c>
      <c r="B190" s="12" t="s">
        <v>634</v>
      </c>
      <c r="C190" s="12" t="s">
        <v>30</v>
      </c>
      <c r="D190" s="12" t="s">
        <v>370</v>
      </c>
      <c r="E190" s="12" t="s">
        <v>205</v>
      </c>
      <c r="F190" s="12">
        <v>24.96</v>
      </c>
      <c r="G190" s="12" t="s">
        <v>206</v>
      </c>
      <c r="H190" s="12">
        <v>80</v>
      </c>
      <c r="I190" s="12">
        <v>19.968000000000004</v>
      </c>
      <c r="J190" s="12" t="s">
        <v>23</v>
      </c>
      <c r="K190" s="19">
        <v>45010</v>
      </c>
      <c r="L190" s="19">
        <v>45014</v>
      </c>
      <c r="M190" s="19">
        <v>45014</v>
      </c>
      <c r="N190" s="12" t="s">
        <v>248</v>
      </c>
      <c r="O190" s="12" t="s">
        <v>46</v>
      </c>
      <c r="P190" s="12" t="s">
        <v>47</v>
      </c>
      <c r="Q190" s="2">
        <f t="shared" si="2"/>
        <v>1</v>
      </c>
    </row>
    <row r="191" spans="1:17" x14ac:dyDescent="0.25">
      <c r="A191" s="12" t="s">
        <v>636</v>
      </c>
      <c r="B191" s="12" t="s">
        <v>637</v>
      </c>
      <c r="C191" s="12" t="s">
        <v>19</v>
      </c>
      <c r="D191" s="12" t="s">
        <v>105</v>
      </c>
      <c r="E191" s="12" t="s">
        <v>212</v>
      </c>
      <c r="F191" s="12">
        <v>1297.3679999999999</v>
      </c>
      <c r="G191" s="12" t="s">
        <v>206</v>
      </c>
      <c r="H191" s="12">
        <v>100</v>
      </c>
      <c r="I191" s="12">
        <v>1297.3679999999999</v>
      </c>
      <c r="J191" s="12" t="s">
        <v>23</v>
      </c>
      <c r="K191" s="19">
        <v>45014</v>
      </c>
      <c r="L191" s="19">
        <v>45017</v>
      </c>
      <c r="M191" s="19">
        <v>45017</v>
      </c>
      <c r="N191" s="12" t="s">
        <v>207</v>
      </c>
      <c r="O191" s="12" t="s">
        <v>46</v>
      </c>
      <c r="P191" s="12" t="s">
        <v>47</v>
      </c>
      <c r="Q191" s="2">
        <f t="shared" si="2"/>
        <v>1</v>
      </c>
    </row>
    <row r="192" spans="1:17" x14ac:dyDescent="0.25">
      <c r="A192" s="12" t="s">
        <v>639</v>
      </c>
      <c r="B192" s="12" t="s">
        <v>640</v>
      </c>
      <c r="C192" s="12" t="s">
        <v>30</v>
      </c>
      <c r="D192" s="12" t="s">
        <v>370</v>
      </c>
      <c r="E192" s="12" t="s">
        <v>205</v>
      </c>
      <c r="F192" s="12">
        <v>12.7</v>
      </c>
      <c r="G192" s="12" t="s">
        <v>206</v>
      </c>
      <c r="H192" s="12">
        <v>80</v>
      </c>
      <c r="I192" s="12">
        <v>10.16</v>
      </c>
      <c r="J192" s="12" t="s">
        <v>23</v>
      </c>
      <c r="K192" s="19">
        <v>45016</v>
      </c>
      <c r="L192" s="19">
        <v>45018</v>
      </c>
      <c r="M192" s="19">
        <v>45018</v>
      </c>
      <c r="N192" s="12" t="s">
        <v>234</v>
      </c>
      <c r="O192" s="12" t="s">
        <v>25</v>
      </c>
      <c r="P192" s="12" t="s">
        <v>26</v>
      </c>
      <c r="Q192" s="2">
        <f t="shared" si="2"/>
        <v>1</v>
      </c>
    </row>
    <row r="193" spans="1:17" x14ac:dyDescent="0.25">
      <c r="A193" s="12" t="s">
        <v>642</v>
      </c>
      <c r="B193" s="12" t="s">
        <v>643</v>
      </c>
      <c r="C193" s="12" t="s">
        <v>30</v>
      </c>
      <c r="D193" s="12" t="s">
        <v>31</v>
      </c>
      <c r="E193" s="12" t="s">
        <v>205</v>
      </c>
      <c r="F193" s="12">
        <v>390.27199999999999</v>
      </c>
      <c r="G193" s="12" t="s">
        <v>206</v>
      </c>
      <c r="H193" s="12">
        <v>80</v>
      </c>
      <c r="I193" s="12">
        <v>312.2176</v>
      </c>
      <c r="J193" s="12" t="s">
        <v>23</v>
      </c>
      <c r="K193" s="19">
        <v>45018</v>
      </c>
      <c r="L193" s="19">
        <v>45023</v>
      </c>
      <c r="M193" s="19">
        <v>45023</v>
      </c>
      <c r="N193" s="12" t="s">
        <v>248</v>
      </c>
      <c r="O193" s="12" t="s">
        <v>46</v>
      </c>
      <c r="P193" s="12" t="s">
        <v>47</v>
      </c>
      <c r="Q193" s="2">
        <f t="shared" si="2"/>
        <v>1</v>
      </c>
    </row>
    <row r="194" spans="1:17" x14ac:dyDescent="0.25">
      <c r="A194" s="12" t="s">
        <v>644</v>
      </c>
      <c r="B194" s="12" t="s">
        <v>645</v>
      </c>
      <c r="C194" s="12" t="s">
        <v>30</v>
      </c>
      <c r="D194" s="12" t="s">
        <v>38</v>
      </c>
      <c r="E194" s="12" t="s">
        <v>212</v>
      </c>
      <c r="F194" s="12">
        <v>1979.7</v>
      </c>
      <c r="G194" s="12" t="s">
        <v>206</v>
      </c>
      <c r="H194" s="12">
        <v>100</v>
      </c>
      <c r="I194" s="12">
        <v>1979.7</v>
      </c>
      <c r="J194" s="12" t="s">
        <v>23</v>
      </c>
      <c r="K194" s="19">
        <v>45020</v>
      </c>
      <c r="L194" s="19">
        <v>45020</v>
      </c>
      <c r="M194" s="19">
        <v>45020</v>
      </c>
      <c r="N194" s="12" t="s">
        <v>248</v>
      </c>
      <c r="O194" s="12" t="s">
        <v>46</v>
      </c>
      <c r="P194" s="12" t="s">
        <v>47</v>
      </c>
      <c r="Q194" s="2">
        <f t="shared" ref="Q194:Q257" si="3">COUNTIF($A$2:$A$1778,A194)</f>
        <v>1</v>
      </c>
    </row>
    <row r="195" spans="1:17" x14ac:dyDescent="0.25">
      <c r="A195" s="12" t="s">
        <v>647</v>
      </c>
      <c r="B195" s="12" t="s">
        <v>648</v>
      </c>
      <c r="C195" s="12" t="s">
        <v>30</v>
      </c>
      <c r="D195" s="12" t="s">
        <v>150</v>
      </c>
      <c r="E195" s="12" t="s">
        <v>205</v>
      </c>
      <c r="F195" s="12">
        <v>7.56</v>
      </c>
      <c r="G195" s="12" t="s">
        <v>206</v>
      </c>
      <c r="H195" s="12">
        <v>80</v>
      </c>
      <c r="I195" s="12">
        <v>6.048</v>
      </c>
      <c r="J195" s="12" t="s">
        <v>23</v>
      </c>
      <c r="K195" s="19">
        <v>45026</v>
      </c>
      <c r="L195" s="19">
        <v>45031</v>
      </c>
      <c r="M195" s="19">
        <v>45031</v>
      </c>
      <c r="N195" s="12" t="s">
        <v>207</v>
      </c>
      <c r="O195" s="12" t="s">
        <v>67</v>
      </c>
      <c r="P195" s="12" t="s">
        <v>68</v>
      </c>
      <c r="Q195" s="2">
        <f t="shared" si="3"/>
        <v>1</v>
      </c>
    </row>
    <row r="196" spans="1:17" x14ac:dyDescent="0.25">
      <c r="A196" s="12" t="s">
        <v>650</v>
      </c>
      <c r="B196" s="12" t="s">
        <v>651</v>
      </c>
      <c r="C196" s="12" t="s">
        <v>30</v>
      </c>
      <c r="D196" s="12" t="s">
        <v>126</v>
      </c>
      <c r="E196" s="12" t="s">
        <v>212</v>
      </c>
      <c r="F196" s="12">
        <v>466.32</v>
      </c>
      <c r="G196" s="12" t="s">
        <v>206</v>
      </c>
      <c r="H196" s="12">
        <v>100</v>
      </c>
      <c r="I196" s="12">
        <v>466.32</v>
      </c>
      <c r="J196" s="12" t="s">
        <v>23</v>
      </c>
      <c r="K196" s="19">
        <v>45027</v>
      </c>
      <c r="L196" s="19">
        <v>45032</v>
      </c>
      <c r="M196" s="19">
        <v>45032</v>
      </c>
      <c r="N196" s="12" t="s">
        <v>248</v>
      </c>
      <c r="O196" s="12" t="s">
        <v>72</v>
      </c>
      <c r="P196" s="12" t="s">
        <v>73</v>
      </c>
      <c r="Q196" s="2">
        <f t="shared" si="3"/>
        <v>1</v>
      </c>
    </row>
    <row r="197" spans="1:17" x14ac:dyDescent="0.25">
      <c r="A197" s="12" t="s">
        <v>653</v>
      </c>
      <c r="B197" s="12" t="s">
        <v>654</v>
      </c>
      <c r="C197" s="12" t="s">
        <v>19</v>
      </c>
      <c r="D197" s="12" t="s">
        <v>58</v>
      </c>
      <c r="E197" s="12" t="s">
        <v>212</v>
      </c>
      <c r="F197" s="12">
        <v>26.96</v>
      </c>
      <c r="G197" s="12" t="s">
        <v>206</v>
      </c>
      <c r="H197" s="12">
        <v>100</v>
      </c>
      <c r="I197" s="12">
        <v>26.96</v>
      </c>
      <c r="J197" s="12" t="s">
        <v>23</v>
      </c>
      <c r="K197" s="19">
        <v>45030</v>
      </c>
      <c r="L197" s="19">
        <v>45032</v>
      </c>
      <c r="M197" s="19">
        <v>45032</v>
      </c>
      <c r="N197" s="12" t="s">
        <v>207</v>
      </c>
      <c r="O197" s="12" t="s">
        <v>72</v>
      </c>
      <c r="P197" s="12" t="s">
        <v>73</v>
      </c>
      <c r="Q197" s="2">
        <f t="shared" si="3"/>
        <v>1</v>
      </c>
    </row>
    <row r="198" spans="1:17" x14ac:dyDescent="0.25">
      <c r="A198" s="12" t="s">
        <v>656</v>
      </c>
      <c r="B198" s="12" t="s">
        <v>657</v>
      </c>
      <c r="C198" s="12" t="s">
        <v>19</v>
      </c>
      <c r="D198" s="12" t="s">
        <v>31</v>
      </c>
      <c r="E198" s="12" t="s">
        <v>205</v>
      </c>
      <c r="F198" s="12">
        <v>389.97</v>
      </c>
      <c r="G198" s="12" t="s">
        <v>206</v>
      </c>
      <c r="H198" s="12">
        <v>80</v>
      </c>
      <c r="I198" s="12">
        <v>311.97600000000006</v>
      </c>
      <c r="J198" s="12" t="s">
        <v>23</v>
      </c>
      <c r="K198" s="19">
        <v>45031</v>
      </c>
      <c r="L198" s="19">
        <v>45034</v>
      </c>
      <c r="M198" s="19">
        <v>45034</v>
      </c>
      <c r="N198" s="12" t="s">
        <v>207</v>
      </c>
      <c r="O198" s="12" t="s">
        <v>46</v>
      </c>
      <c r="P198" s="12" t="s">
        <v>47</v>
      </c>
      <c r="Q198" s="2">
        <f t="shared" si="3"/>
        <v>1</v>
      </c>
    </row>
    <row r="199" spans="1:17" x14ac:dyDescent="0.25">
      <c r="A199" s="12" t="s">
        <v>659</v>
      </c>
      <c r="B199" s="12" t="s">
        <v>660</v>
      </c>
      <c r="C199" s="12" t="s">
        <v>19</v>
      </c>
      <c r="D199" s="12" t="s">
        <v>62</v>
      </c>
      <c r="E199" s="12" t="s">
        <v>205</v>
      </c>
      <c r="F199" s="12">
        <v>92.94</v>
      </c>
      <c r="G199" s="12" t="s">
        <v>206</v>
      </c>
      <c r="H199" s="12">
        <v>80</v>
      </c>
      <c r="I199" s="12">
        <v>74.352000000000004</v>
      </c>
      <c r="J199" s="12" t="s">
        <v>23</v>
      </c>
      <c r="K199" s="19">
        <v>45033</v>
      </c>
      <c r="L199" s="19">
        <v>45040</v>
      </c>
      <c r="M199" s="19">
        <v>45040</v>
      </c>
      <c r="N199" s="12" t="s">
        <v>213</v>
      </c>
      <c r="O199" s="12" t="s">
        <v>40</v>
      </c>
      <c r="P199" s="12" t="s">
        <v>34</v>
      </c>
      <c r="Q199" s="2">
        <f t="shared" si="3"/>
        <v>1</v>
      </c>
    </row>
    <row r="200" spans="1:17" x14ac:dyDescent="0.25">
      <c r="A200" s="12" t="s">
        <v>662</v>
      </c>
      <c r="B200" s="12" t="s">
        <v>663</v>
      </c>
      <c r="C200" s="12" t="s">
        <v>30</v>
      </c>
      <c r="D200" s="12" t="s">
        <v>186</v>
      </c>
      <c r="E200" s="12" t="s">
        <v>205</v>
      </c>
      <c r="F200" s="12">
        <v>337.17599999999999</v>
      </c>
      <c r="G200" s="12" t="s">
        <v>206</v>
      </c>
      <c r="H200" s="12">
        <v>80</v>
      </c>
      <c r="I200" s="12">
        <v>269.74079999999998</v>
      </c>
      <c r="J200" s="12" t="s">
        <v>23</v>
      </c>
      <c r="K200" s="19">
        <v>45034</v>
      </c>
      <c r="L200" s="19">
        <v>45039</v>
      </c>
      <c r="M200" s="19">
        <v>45039</v>
      </c>
      <c r="N200" s="12" t="s">
        <v>234</v>
      </c>
      <c r="O200" s="12" t="s">
        <v>67</v>
      </c>
      <c r="P200" s="12" t="s">
        <v>68</v>
      </c>
      <c r="Q200" s="2">
        <f t="shared" si="3"/>
        <v>1</v>
      </c>
    </row>
    <row r="201" spans="1:17" x14ac:dyDescent="0.25">
      <c r="A201" s="12" t="s">
        <v>665</v>
      </c>
      <c r="B201" s="12" t="s">
        <v>666</v>
      </c>
      <c r="C201" s="12" t="s">
        <v>19</v>
      </c>
      <c r="D201" s="12" t="s">
        <v>81</v>
      </c>
      <c r="E201" s="12" t="s">
        <v>205</v>
      </c>
      <c r="F201" s="12">
        <v>215.65</v>
      </c>
      <c r="G201" s="12" t="s">
        <v>206</v>
      </c>
      <c r="H201" s="12">
        <v>80</v>
      </c>
      <c r="I201" s="12">
        <v>172.52</v>
      </c>
      <c r="J201" s="12" t="s">
        <v>23</v>
      </c>
      <c r="K201" s="19">
        <v>45045</v>
      </c>
      <c r="L201" s="19">
        <v>45052</v>
      </c>
      <c r="M201" s="19">
        <v>45052</v>
      </c>
      <c r="N201" s="12" t="s">
        <v>234</v>
      </c>
      <c r="O201" s="12" t="s">
        <v>146</v>
      </c>
      <c r="P201" s="12" t="s">
        <v>73</v>
      </c>
      <c r="Q201" s="2">
        <f t="shared" si="3"/>
        <v>1</v>
      </c>
    </row>
    <row r="202" spans="1:17" x14ac:dyDescent="0.25">
      <c r="A202" s="12" t="s">
        <v>668</v>
      </c>
      <c r="B202" s="12" t="s">
        <v>669</v>
      </c>
      <c r="C202" s="12" t="s">
        <v>30</v>
      </c>
      <c r="D202" s="12" t="s">
        <v>211</v>
      </c>
      <c r="E202" s="12" t="s">
        <v>21</v>
      </c>
      <c r="F202" s="12">
        <v>385.28800000000001</v>
      </c>
      <c r="G202" s="12" t="s">
        <v>22</v>
      </c>
      <c r="H202" s="12">
        <v>0</v>
      </c>
      <c r="I202" s="12">
        <v>0</v>
      </c>
      <c r="J202" s="12" t="s">
        <v>23</v>
      </c>
      <c r="K202" s="19">
        <v>45045</v>
      </c>
      <c r="L202" s="19">
        <v>45048</v>
      </c>
      <c r="M202" s="19">
        <v>45048</v>
      </c>
      <c r="N202" s="12" t="s">
        <v>63</v>
      </c>
      <c r="O202" s="12" t="s">
        <v>97</v>
      </c>
      <c r="P202" s="12" t="s">
        <v>68</v>
      </c>
      <c r="Q202" s="2">
        <f t="shared" si="3"/>
        <v>1</v>
      </c>
    </row>
    <row r="203" spans="1:17" x14ac:dyDescent="0.25">
      <c r="A203" s="12" t="s">
        <v>671</v>
      </c>
      <c r="B203" s="12" t="s">
        <v>672</v>
      </c>
      <c r="C203" s="12" t="s">
        <v>19</v>
      </c>
      <c r="D203" s="12" t="s">
        <v>62</v>
      </c>
      <c r="E203" s="12" t="s">
        <v>212</v>
      </c>
      <c r="F203" s="12">
        <v>494.37599999999998</v>
      </c>
      <c r="G203" s="12" t="s">
        <v>206</v>
      </c>
      <c r="H203" s="12">
        <v>100</v>
      </c>
      <c r="I203" s="12">
        <v>494.37599999999998</v>
      </c>
      <c r="J203" s="12" t="s">
        <v>23</v>
      </c>
      <c r="K203" s="19">
        <v>45047</v>
      </c>
      <c r="L203" s="19">
        <v>45052</v>
      </c>
      <c r="M203" s="19">
        <v>45052</v>
      </c>
      <c r="N203" s="12" t="s">
        <v>248</v>
      </c>
      <c r="O203" s="12" t="s">
        <v>72</v>
      </c>
      <c r="P203" s="12" t="s">
        <v>73</v>
      </c>
      <c r="Q203" s="2">
        <f t="shared" si="3"/>
        <v>1</v>
      </c>
    </row>
    <row r="204" spans="1:17" x14ac:dyDescent="0.25">
      <c r="A204" s="12" t="s">
        <v>674</v>
      </c>
      <c r="B204" s="12" t="s">
        <v>675</v>
      </c>
      <c r="C204" s="12" t="s">
        <v>30</v>
      </c>
      <c r="D204" s="12" t="s">
        <v>86</v>
      </c>
      <c r="E204" s="12" t="s">
        <v>205</v>
      </c>
      <c r="F204" s="12">
        <v>162.63999999999999</v>
      </c>
      <c r="G204" s="12" t="s">
        <v>206</v>
      </c>
      <c r="H204" s="12">
        <v>80</v>
      </c>
      <c r="I204" s="12">
        <v>130.11199999999999</v>
      </c>
      <c r="J204" s="12" t="s">
        <v>23</v>
      </c>
      <c r="K204" s="19">
        <v>45049</v>
      </c>
      <c r="L204" s="19">
        <v>45054</v>
      </c>
      <c r="M204" s="19">
        <v>45054</v>
      </c>
      <c r="N204" s="12" t="s">
        <v>220</v>
      </c>
      <c r="O204" s="12" t="s">
        <v>67</v>
      </c>
      <c r="P204" s="12" t="s">
        <v>68</v>
      </c>
      <c r="Q204" s="2">
        <f t="shared" si="3"/>
        <v>1</v>
      </c>
    </row>
    <row r="205" spans="1:17" x14ac:dyDescent="0.25">
      <c r="A205" s="12" t="s">
        <v>677</v>
      </c>
      <c r="B205" s="12" t="s">
        <v>678</v>
      </c>
      <c r="C205" s="12" t="s">
        <v>30</v>
      </c>
      <c r="D205" s="12" t="s">
        <v>370</v>
      </c>
      <c r="E205" s="12" t="s">
        <v>212</v>
      </c>
      <c r="F205" s="12">
        <v>44.4</v>
      </c>
      <c r="G205" s="12" t="s">
        <v>206</v>
      </c>
      <c r="H205" s="12">
        <v>100</v>
      </c>
      <c r="I205" s="12">
        <v>44.4</v>
      </c>
      <c r="J205" s="12" t="s">
        <v>23</v>
      </c>
      <c r="K205" s="19">
        <v>45049</v>
      </c>
      <c r="L205" s="19">
        <v>45055</v>
      </c>
      <c r="M205" s="19">
        <v>45055</v>
      </c>
      <c r="N205" s="12" t="s">
        <v>220</v>
      </c>
      <c r="O205" s="12" t="s">
        <v>67</v>
      </c>
      <c r="P205" s="12" t="s">
        <v>68</v>
      </c>
      <c r="Q205" s="2">
        <f t="shared" si="3"/>
        <v>1</v>
      </c>
    </row>
    <row r="206" spans="1:17" x14ac:dyDescent="0.25">
      <c r="A206" s="12" t="s">
        <v>680</v>
      </c>
      <c r="B206" s="12" t="s">
        <v>681</v>
      </c>
      <c r="C206" s="12" t="s">
        <v>19</v>
      </c>
      <c r="D206" s="12" t="s">
        <v>77</v>
      </c>
      <c r="E206" s="12" t="s">
        <v>21</v>
      </c>
      <c r="F206" s="12">
        <v>305.49600000000004</v>
      </c>
      <c r="G206" s="12" t="s">
        <v>22</v>
      </c>
      <c r="H206" s="12">
        <v>0</v>
      </c>
      <c r="I206" s="12">
        <v>0</v>
      </c>
      <c r="J206" s="12" t="s">
        <v>23</v>
      </c>
      <c r="K206" s="19">
        <v>45052</v>
      </c>
      <c r="L206" s="19">
        <v>45055</v>
      </c>
      <c r="M206" s="19">
        <v>45055</v>
      </c>
      <c r="N206" s="12" t="s">
        <v>63</v>
      </c>
      <c r="O206" s="12" t="s">
        <v>46</v>
      </c>
      <c r="P206" s="12" t="s">
        <v>47</v>
      </c>
      <c r="Q206" s="2">
        <f t="shared" si="3"/>
        <v>1</v>
      </c>
    </row>
    <row r="207" spans="1:17" x14ac:dyDescent="0.25">
      <c r="A207" s="12" t="s">
        <v>683</v>
      </c>
      <c r="B207" s="12" t="s">
        <v>684</v>
      </c>
      <c r="C207" s="12" t="s">
        <v>30</v>
      </c>
      <c r="D207" s="12" t="s">
        <v>31</v>
      </c>
      <c r="E207" s="12" t="s">
        <v>205</v>
      </c>
      <c r="F207" s="12">
        <v>35.216000000000001</v>
      </c>
      <c r="G207" s="12" t="s">
        <v>206</v>
      </c>
      <c r="H207" s="12">
        <v>80</v>
      </c>
      <c r="I207" s="12">
        <v>28.172800000000002</v>
      </c>
      <c r="J207" s="12" t="s">
        <v>23</v>
      </c>
      <c r="K207" s="19">
        <v>45056</v>
      </c>
      <c r="L207" s="19">
        <v>45061</v>
      </c>
      <c r="M207" s="19">
        <v>45061</v>
      </c>
      <c r="N207" s="12" t="s">
        <v>220</v>
      </c>
      <c r="O207" s="12" t="s">
        <v>82</v>
      </c>
      <c r="P207" s="12" t="s">
        <v>47</v>
      </c>
      <c r="Q207" s="2">
        <f t="shared" si="3"/>
        <v>1</v>
      </c>
    </row>
    <row r="208" spans="1:17" x14ac:dyDescent="0.25">
      <c r="A208" s="12" t="s">
        <v>686</v>
      </c>
      <c r="B208" s="12" t="s">
        <v>687</v>
      </c>
      <c r="C208" s="12" t="s">
        <v>30</v>
      </c>
      <c r="D208" s="12" t="s">
        <v>44</v>
      </c>
      <c r="E208" s="12" t="s">
        <v>212</v>
      </c>
      <c r="F208" s="12">
        <v>11.415999999999899</v>
      </c>
      <c r="G208" s="12" t="s">
        <v>206</v>
      </c>
      <c r="H208" s="12">
        <v>100</v>
      </c>
      <c r="I208" s="12">
        <v>11.415999999999899</v>
      </c>
      <c r="J208" s="12" t="s">
        <v>23</v>
      </c>
      <c r="K208" s="19">
        <v>45057</v>
      </c>
      <c r="L208" s="19">
        <v>45062</v>
      </c>
      <c r="M208" s="19">
        <v>45062</v>
      </c>
      <c r="N208" s="12" t="s">
        <v>213</v>
      </c>
      <c r="O208" s="12" t="s">
        <v>67</v>
      </c>
      <c r="P208" s="12" t="s">
        <v>68</v>
      </c>
      <c r="Q208" s="2">
        <f t="shared" si="3"/>
        <v>1</v>
      </c>
    </row>
    <row r="209" spans="1:17" x14ac:dyDescent="0.25">
      <c r="A209" s="12" t="s">
        <v>689</v>
      </c>
      <c r="B209" s="12" t="s">
        <v>690</v>
      </c>
      <c r="C209" s="12" t="s">
        <v>19</v>
      </c>
      <c r="D209" s="12" t="s">
        <v>81</v>
      </c>
      <c r="E209" s="12" t="s">
        <v>212</v>
      </c>
      <c r="F209" s="12">
        <v>20.936</v>
      </c>
      <c r="G209" s="12" t="s">
        <v>206</v>
      </c>
      <c r="H209" s="12">
        <v>100</v>
      </c>
      <c r="I209" s="12">
        <v>20.936</v>
      </c>
      <c r="J209" s="12" t="s">
        <v>23</v>
      </c>
      <c r="K209" s="19">
        <v>45058</v>
      </c>
      <c r="L209" s="19">
        <v>45059</v>
      </c>
      <c r="M209" s="19">
        <v>45059</v>
      </c>
      <c r="N209" s="12" t="s">
        <v>220</v>
      </c>
      <c r="O209" s="12" t="s">
        <v>97</v>
      </c>
      <c r="P209" s="12" t="s">
        <v>68</v>
      </c>
      <c r="Q209" s="2">
        <f t="shared" si="3"/>
        <v>1</v>
      </c>
    </row>
    <row r="210" spans="1:17" x14ac:dyDescent="0.25">
      <c r="A210" s="12" t="s">
        <v>692</v>
      </c>
      <c r="B210" s="12" t="s">
        <v>693</v>
      </c>
      <c r="C210" s="12" t="s">
        <v>30</v>
      </c>
      <c r="D210" s="12" t="s">
        <v>96</v>
      </c>
      <c r="E210" s="12" t="s">
        <v>212</v>
      </c>
      <c r="F210" s="12">
        <v>118.99</v>
      </c>
      <c r="G210" s="12" t="s">
        <v>206</v>
      </c>
      <c r="H210" s="12">
        <v>100</v>
      </c>
      <c r="I210" s="12">
        <v>118.99</v>
      </c>
      <c r="J210" s="12" t="s">
        <v>23</v>
      </c>
      <c r="K210" s="19">
        <v>45062</v>
      </c>
      <c r="L210" s="19">
        <v>45068</v>
      </c>
      <c r="M210" s="19">
        <v>45068</v>
      </c>
      <c r="N210" s="12" t="s">
        <v>248</v>
      </c>
      <c r="O210" s="12" t="s">
        <v>46</v>
      </c>
      <c r="P210" s="12" t="s">
        <v>47</v>
      </c>
      <c r="Q210" s="2">
        <f t="shared" si="3"/>
        <v>1</v>
      </c>
    </row>
    <row r="211" spans="1:17" x14ac:dyDescent="0.25">
      <c r="A211" s="12" t="s">
        <v>695</v>
      </c>
      <c r="B211" s="12" t="s">
        <v>696</v>
      </c>
      <c r="C211" s="12" t="s">
        <v>19</v>
      </c>
      <c r="D211" s="12" t="s">
        <v>164</v>
      </c>
      <c r="E211" s="12" t="s">
        <v>212</v>
      </c>
      <c r="F211" s="12">
        <v>635.96</v>
      </c>
      <c r="G211" s="12" t="s">
        <v>206</v>
      </c>
      <c r="H211" s="12">
        <v>100</v>
      </c>
      <c r="I211" s="12">
        <v>635.96</v>
      </c>
      <c r="J211" s="12" t="s">
        <v>23</v>
      </c>
      <c r="K211" s="19">
        <v>45062</v>
      </c>
      <c r="L211" s="19">
        <v>45066</v>
      </c>
      <c r="M211" s="19">
        <v>45066</v>
      </c>
      <c r="N211" s="12" t="s">
        <v>213</v>
      </c>
      <c r="O211" s="12" t="s">
        <v>40</v>
      </c>
      <c r="P211" s="12" t="s">
        <v>34</v>
      </c>
      <c r="Q211" s="2">
        <f t="shared" si="3"/>
        <v>1</v>
      </c>
    </row>
    <row r="212" spans="1:17" x14ac:dyDescent="0.25">
      <c r="A212" s="12" t="s">
        <v>698</v>
      </c>
      <c r="B212" s="12" t="s">
        <v>699</v>
      </c>
      <c r="C212" s="12" t="s">
        <v>30</v>
      </c>
      <c r="D212" s="12" t="s">
        <v>81</v>
      </c>
      <c r="E212" s="12" t="s">
        <v>212</v>
      </c>
      <c r="F212" s="12">
        <v>109.8</v>
      </c>
      <c r="G212" s="12" t="s">
        <v>206</v>
      </c>
      <c r="H212" s="12">
        <v>100</v>
      </c>
      <c r="I212" s="12">
        <v>109.8</v>
      </c>
      <c r="J212" s="12" t="s">
        <v>23</v>
      </c>
      <c r="K212" s="19">
        <v>45063</v>
      </c>
      <c r="L212" s="19">
        <v>45070</v>
      </c>
      <c r="M212" s="19">
        <v>45070</v>
      </c>
      <c r="N212" s="12" t="s">
        <v>248</v>
      </c>
      <c r="O212" s="12" t="s">
        <v>67</v>
      </c>
      <c r="P212" s="12" t="s">
        <v>68</v>
      </c>
      <c r="Q212" s="2">
        <f t="shared" si="3"/>
        <v>1</v>
      </c>
    </row>
    <row r="213" spans="1:17" x14ac:dyDescent="0.25">
      <c r="A213" s="12" t="s">
        <v>700</v>
      </c>
      <c r="B213" s="12" t="s">
        <v>701</v>
      </c>
      <c r="C213" s="12" t="s">
        <v>30</v>
      </c>
      <c r="D213" s="12" t="s">
        <v>62</v>
      </c>
      <c r="E213" s="12" t="s">
        <v>205</v>
      </c>
      <c r="F213" s="12">
        <v>23.34</v>
      </c>
      <c r="G213" s="12" t="s">
        <v>206</v>
      </c>
      <c r="H213" s="12">
        <v>80</v>
      </c>
      <c r="I213" s="12">
        <v>18.672000000000001</v>
      </c>
      <c r="J213" s="12" t="s">
        <v>23</v>
      </c>
      <c r="K213" s="19">
        <v>45066</v>
      </c>
      <c r="L213" s="19">
        <v>45070</v>
      </c>
      <c r="M213" s="19">
        <v>45070</v>
      </c>
      <c r="N213" s="12" t="s">
        <v>238</v>
      </c>
      <c r="O213" s="12" t="s">
        <v>72</v>
      </c>
      <c r="P213" s="12" t="s">
        <v>73</v>
      </c>
      <c r="Q213" s="2">
        <f t="shared" si="3"/>
        <v>1</v>
      </c>
    </row>
    <row r="214" spans="1:17" x14ac:dyDescent="0.25">
      <c r="A214" s="12" t="s">
        <v>703</v>
      </c>
      <c r="B214" s="12" t="s">
        <v>704</v>
      </c>
      <c r="C214" s="12" t="s">
        <v>19</v>
      </c>
      <c r="D214" s="12" t="s">
        <v>126</v>
      </c>
      <c r="E214" s="12" t="s">
        <v>212</v>
      </c>
      <c r="F214" s="12">
        <v>105.55200000000001</v>
      </c>
      <c r="G214" s="12" t="s">
        <v>206</v>
      </c>
      <c r="H214" s="12">
        <v>100</v>
      </c>
      <c r="I214" s="12">
        <v>105.55200000000001</v>
      </c>
      <c r="J214" s="12" t="s">
        <v>23</v>
      </c>
      <c r="K214" s="19">
        <v>45067</v>
      </c>
      <c r="L214" s="19">
        <v>45067</v>
      </c>
      <c r="M214" s="19">
        <v>45067</v>
      </c>
      <c r="N214" s="12" t="s">
        <v>207</v>
      </c>
      <c r="O214" s="12" t="s">
        <v>97</v>
      </c>
      <c r="P214" s="12" t="s">
        <v>68</v>
      </c>
      <c r="Q214" s="2">
        <f t="shared" si="3"/>
        <v>1</v>
      </c>
    </row>
    <row r="215" spans="1:17" x14ac:dyDescent="0.25">
      <c r="A215" s="12" t="s">
        <v>706</v>
      </c>
      <c r="B215" s="12" t="s">
        <v>707</v>
      </c>
      <c r="C215" s="12" t="s">
        <v>19</v>
      </c>
      <c r="D215" s="12" t="s">
        <v>154</v>
      </c>
      <c r="E215" s="12" t="s">
        <v>21</v>
      </c>
      <c r="F215" s="12">
        <v>121.43600000000001</v>
      </c>
      <c r="G215" s="12" t="s">
        <v>22</v>
      </c>
      <c r="H215" s="12">
        <v>0</v>
      </c>
      <c r="I215" s="12">
        <v>0</v>
      </c>
      <c r="J215" s="12" t="s">
        <v>23</v>
      </c>
      <c r="K215" s="19">
        <v>45068</v>
      </c>
      <c r="L215" s="19">
        <v>45070</v>
      </c>
      <c r="M215" s="19">
        <v>45070</v>
      </c>
      <c r="N215" s="12" t="s">
        <v>32</v>
      </c>
      <c r="O215" s="12" t="s">
        <v>72</v>
      </c>
      <c r="P215" s="12" t="s">
        <v>73</v>
      </c>
      <c r="Q215" s="2">
        <f t="shared" si="3"/>
        <v>1</v>
      </c>
    </row>
    <row r="216" spans="1:17" x14ac:dyDescent="0.25">
      <c r="A216" s="12" t="s">
        <v>709</v>
      </c>
      <c r="B216" s="12" t="s">
        <v>710</v>
      </c>
      <c r="C216" s="12" t="s">
        <v>19</v>
      </c>
      <c r="D216" s="12" t="s">
        <v>96</v>
      </c>
      <c r="E216" s="12" t="s">
        <v>205</v>
      </c>
      <c r="F216" s="12">
        <v>33</v>
      </c>
      <c r="G216" s="12" t="s">
        <v>206</v>
      </c>
      <c r="H216" s="12">
        <v>80</v>
      </c>
      <c r="I216" s="12">
        <v>26.400000000000002</v>
      </c>
      <c r="J216" s="12" t="s">
        <v>23</v>
      </c>
      <c r="K216" s="19">
        <v>45069</v>
      </c>
      <c r="L216" s="19">
        <v>45069</v>
      </c>
      <c r="M216" s="19">
        <v>45069</v>
      </c>
      <c r="N216" s="12" t="s">
        <v>220</v>
      </c>
      <c r="O216" s="12" t="s">
        <v>33</v>
      </c>
      <c r="P216" s="12" t="s">
        <v>34</v>
      </c>
      <c r="Q216" s="2">
        <f t="shared" si="3"/>
        <v>1</v>
      </c>
    </row>
    <row r="217" spans="1:17" x14ac:dyDescent="0.25">
      <c r="A217" s="12" t="s">
        <v>712</v>
      </c>
      <c r="B217" s="12" t="s">
        <v>713</v>
      </c>
      <c r="C217" s="12" t="s">
        <v>19</v>
      </c>
      <c r="D217" s="12" t="s">
        <v>139</v>
      </c>
      <c r="E217" s="12" t="s">
        <v>205</v>
      </c>
      <c r="F217" s="12">
        <v>47.984000000000002</v>
      </c>
      <c r="G217" s="12" t="s">
        <v>206</v>
      </c>
      <c r="H217" s="12">
        <v>80</v>
      </c>
      <c r="I217" s="12">
        <v>38.387200000000007</v>
      </c>
      <c r="J217" s="12" t="s">
        <v>23</v>
      </c>
      <c r="K217" s="19">
        <v>45073</v>
      </c>
      <c r="L217" s="19">
        <v>45077</v>
      </c>
      <c r="M217" s="19">
        <v>45077</v>
      </c>
      <c r="N217" s="12" t="s">
        <v>220</v>
      </c>
      <c r="O217" s="12" t="s">
        <v>97</v>
      </c>
      <c r="P217" s="12" t="s">
        <v>68</v>
      </c>
      <c r="Q217" s="2">
        <f t="shared" si="3"/>
        <v>1</v>
      </c>
    </row>
    <row r="218" spans="1:17" x14ac:dyDescent="0.25">
      <c r="A218" s="12" t="s">
        <v>715</v>
      </c>
      <c r="B218" s="12" t="s">
        <v>716</v>
      </c>
      <c r="C218" s="12" t="s">
        <v>30</v>
      </c>
      <c r="D218" s="12" t="s">
        <v>345</v>
      </c>
      <c r="E218" s="12" t="s">
        <v>205</v>
      </c>
      <c r="F218" s="12">
        <v>376.74</v>
      </c>
      <c r="G218" s="12" t="s">
        <v>206</v>
      </c>
      <c r="H218" s="12">
        <v>80</v>
      </c>
      <c r="I218" s="12">
        <v>301.392</v>
      </c>
      <c r="J218" s="12" t="s">
        <v>23</v>
      </c>
      <c r="K218" s="19">
        <v>45077</v>
      </c>
      <c r="L218" s="19">
        <v>45084</v>
      </c>
      <c r="M218" s="19">
        <v>45084</v>
      </c>
      <c r="N218" s="12" t="s">
        <v>234</v>
      </c>
      <c r="O218" s="12" t="s">
        <v>82</v>
      </c>
      <c r="P218" s="12" t="s">
        <v>47</v>
      </c>
      <c r="Q218" s="2">
        <f t="shared" si="3"/>
        <v>1</v>
      </c>
    </row>
    <row r="219" spans="1:17" x14ac:dyDescent="0.25">
      <c r="A219" s="12" t="s">
        <v>718</v>
      </c>
      <c r="B219" s="12" t="s">
        <v>719</v>
      </c>
      <c r="C219" s="12" t="s">
        <v>30</v>
      </c>
      <c r="D219" s="12" t="s">
        <v>44</v>
      </c>
      <c r="E219" s="12" t="s">
        <v>205</v>
      </c>
      <c r="F219" s="12">
        <v>3.9119999999999999</v>
      </c>
      <c r="G219" s="12" t="s">
        <v>206</v>
      </c>
      <c r="H219" s="12">
        <v>80</v>
      </c>
      <c r="I219" s="12">
        <v>3.1295999999999999</v>
      </c>
      <c r="J219" s="12" t="s">
        <v>23</v>
      </c>
      <c r="K219" s="19">
        <v>45084</v>
      </c>
      <c r="L219" s="19">
        <v>45087</v>
      </c>
      <c r="M219" s="19">
        <v>45087</v>
      </c>
      <c r="N219" s="12" t="s">
        <v>220</v>
      </c>
      <c r="O219" s="12" t="s">
        <v>33</v>
      </c>
      <c r="P219" s="12" t="s">
        <v>34</v>
      </c>
      <c r="Q219" s="2">
        <f t="shared" si="3"/>
        <v>1</v>
      </c>
    </row>
    <row r="220" spans="1:17" x14ac:dyDescent="0.25">
      <c r="A220" s="12" t="s">
        <v>721</v>
      </c>
      <c r="B220" s="12" t="s">
        <v>722</v>
      </c>
      <c r="C220" s="12" t="s">
        <v>19</v>
      </c>
      <c r="D220" s="12" t="s">
        <v>86</v>
      </c>
      <c r="E220" s="12" t="s">
        <v>205</v>
      </c>
      <c r="F220" s="12">
        <v>239.5</v>
      </c>
      <c r="G220" s="12" t="s">
        <v>206</v>
      </c>
      <c r="H220" s="12">
        <v>80</v>
      </c>
      <c r="I220" s="12">
        <v>191.60000000000002</v>
      </c>
      <c r="J220" s="12" t="s">
        <v>23</v>
      </c>
      <c r="K220" s="19">
        <v>45085</v>
      </c>
      <c r="L220" s="19">
        <v>45089</v>
      </c>
      <c r="M220" s="19">
        <v>45089</v>
      </c>
      <c r="N220" s="12" t="s">
        <v>220</v>
      </c>
      <c r="O220" s="12" t="s">
        <v>54</v>
      </c>
      <c r="P220" s="12" t="s">
        <v>26</v>
      </c>
      <c r="Q220" s="2">
        <f t="shared" si="3"/>
        <v>1</v>
      </c>
    </row>
    <row r="221" spans="1:17" x14ac:dyDescent="0.25">
      <c r="A221" s="12" t="s">
        <v>724</v>
      </c>
      <c r="B221" s="12" t="s">
        <v>725</v>
      </c>
      <c r="C221" s="12" t="s">
        <v>30</v>
      </c>
      <c r="D221" s="12" t="s">
        <v>115</v>
      </c>
      <c r="E221" s="12" t="s">
        <v>205</v>
      </c>
      <c r="F221" s="12">
        <v>116</v>
      </c>
      <c r="G221" s="12" t="s">
        <v>206</v>
      </c>
      <c r="H221" s="12">
        <v>80</v>
      </c>
      <c r="I221" s="12">
        <v>92.800000000000011</v>
      </c>
      <c r="J221" s="12" t="s">
        <v>23</v>
      </c>
      <c r="K221" s="19">
        <v>45087</v>
      </c>
      <c r="L221" s="19">
        <v>45090</v>
      </c>
      <c r="M221" s="19">
        <v>45090</v>
      </c>
      <c r="N221" s="12" t="s">
        <v>238</v>
      </c>
      <c r="O221" s="12" t="s">
        <v>46</v>
      </c>
      <c r="P221" s="12" t="s">
        <v>47</v>
      </c>
      <c r="Q221" s="2">
        <f t="shared" si="3"/>
        <v>1</v>
      </c>
    </row>
    <row r="222" spans="1:17" x14ac:dyDescent="0.25">
      <c r="A222" s="12" t="s">
        <v>727</v>
      </c>
      <c r="B222" s="12" t="s">
        <v>728</v>
      </c>
      <c r="C222" s="12" t="s">
        <v>19</v>
      </c>
      <c r="D222" s="12" t="s">
        <v>115</v>
      </c>
      <c r="E222" s="12" t="s">
        <v>212</v>
      </c>
      <c r="F222" s="12">
        <v>59.96</v>
      </c>
      <c r="G222" s="12" t="s">
        <v>206</v>
      </c>
      <c r="H222" s="12">
        <v>100</v>
      </c>
      <c r="I222" s="12">
        <v>59.96</v>
      </c>
      <c r="J222" s="12" t="s">
        <v>23</v>
      </c>
      <c r="K222" s="19">
        <v>45088</v>
      </c>
      <c r="L222" s="19">
        <v>45090</v>
      </c>
      <c r="M222" s="19">
        <v>45090</v>
      </c>
      <c r="N222" s="12" t="s">
        <v>238</v>
      </c>
      <c r="O222" s="12" t="s">
        <v>54</v>
      </c>
      <c r="P222" s="12" t="s">
        <v>26</v>
      </c>
      <c r="Q222" s="2">
        <f t="shared" si="3"/>
        <v>1</v>
      </c>
    </row>
    <row r="223" spans="1:17" x14ac:dyDescent="0.25">
      <c r="A223" s="12" t="s">
        <v>730</v>
      </c>
      <c r="B223" s="12" t="s">
        <v>731</v>
      </c>
      <c r="C223" s="12" t="s">
        <v>30</v>
      </c>
      <c r="D223" s="12" t="s">
        <v>81</v>
      </c>
      <c r="E223" s="12" t="s">
        <v>212</v>
      </c>
      <c r="F223" s="12">
        <v>39.624000000000002</v>
      </c>
      <c r="G223" s="12" t="s">
        <v>206</v>
      </c>
      <c r="H223" s="12">
        <v>100</v>
      </c>
      <c r="I223" s="12">
        <v>39.624000000000002</v>
      </c>
      <c r="J223" s="12" t="s">
        <v>23</v>
      </c>
      <c r="K223" s="19">
        <v>45089</v>
      </c>
      <c r="L223" s="19">
        <v>45091</v>
      </c>
      <c r="M223" s="19">
        <v>45091</v>
      </c>
      <c r="N223" s="12" t="s">
        <v>220</v>
      </c>
      <c r="O223" s="12" t="s">
        <v>72</v>
      </c>
      <c r="P223" s="12" t="s">
        <v>73</v>
      </c>
      <c r="Q223" s="2">
        <f t="shared" si="3"/>
        <v>1</v>
      </c>
    </row>
    <row r="224" spans="1:17" x14ac:dyDescent="0.25">
      <c r="A224" s="12" t="s">
        <v>733</v>
      </c>
      <c r="B224" s="12" t="s">
        <v>734</v>
      </c>
      <c r="C224" s="12" t="s">
        <v>19</v>
      </c>
      <c r="D224" s="12" t="s">
        <v>230</v>
      </c>
      <c r="E224" s="12" t="s">
        <v>21</v>
      </c>
      <c r="F224" s="12">
        <v>487.5</v>
      </c>
      <c r="G224" s="12" t="s">
        <v>22</v>
      </c>
      <c r="H224" s="12">
        <v>0</v>
      </c>
      <c r="I224" s="12">
        <v>0</v>
      </c>
      <c r="J224" s="12" t="s">
        <v>23</v>
      </c>
      <c r="K224" s="19">
        <v>45090</v>
      </c>
      <c r="L224" s="19">
        <v>45093</v>
      </c>
      <c r="M224" s="19">
        <v>45093</v>
      </c>
      <c r="N224" s="12" t="s">
        <v>32</v>
      </c>
      <c r="O224" s="12" t="s">
        <v>25</v>
      </c>
      <c r="P224" s="12" t="s">
        <v>26</v>
      </c>
      <c r="Q224" s="2">
        <f t="shared" si="3"/>
        <v>1</v>
      </c>
    </row>
    <row r="225" spans="1:17" x14ac:dyDescent="0.25">
      <c r="A225" s="12" t="s">
        <v>736</v>
      </c>
      <c r="B225" s="12" t="s">
        <v>737</v>
      </c>
      <c r="C225" s="12" t="s">
        <v>19</v>
      </c>
      <c r="D225" s="12" t="s">
        <v>31</v>
      </c>
      <c r="E225" s="12" t="s">
        <v>21</v>
      </c>
      <c r="F225" s="12">
        <v>53.7</v>
      </c>
      <c r="G225" s="12" t="s">
        <v>22</v>
      </c>
      <c r="H225" s="12">
        <v>0</v>
      </c>
      <c r="I225" s="12">
        <v>0</v>
      </c>
      <c r="J225" s="12" t="s">
        <v>23</v>
      </c>
      <c r="K225" s="19">
        <v>45092</v>
      </c>
      <c r="L225" s="19">
        <v>45095</v>
      </c>
      <c r="M225" s="19">
        <v>45095</v>
      </c>
      <c r="N225" s="12" t="s">
        <v>53</v>
      </c>
      <c r="O225" s="12" t="s">
        <v>46</v>
      </c>
      <c r="P225" s="12" t="s">
        <v>47</v>
      </c>
      <c r="Q225" s="2">
        <f t="shared" si="3"/>
        <v>1</v>
      </c>
    </row>
    <row r="226" spans="1:17" x14ac:dyDescent="0.25">
      <c r="A226" s="12" t="s">
        <v>739</v>
      </c>
      <c r="B226" s="12" t="s">
        <v>740</v>
      </c>
      <c r="C226" s="12" t="s">
        <v>19</v>
      </c>
      <c r="D226" s="12" t="s">
        <v>150</v>
      </c>
      <c r="E226" s="12" t="s">
        <v>205</v>
      </c>
      <c r="F226" s="12">
        <v>1336.4399999999901</v>
      </c>
      <c r="G226" s="12" t="s">
        <v>206</v>
      </c>
      <c r="H226" s="12">
        <v>80</v>
      </c>
      <c r="I226" s="12">
        <v>1069.1519999999921</v>
      </c>
      <c r="J226" s="12" t="s">
        <v>23</v>
      </c>
      <c r="K226" s="19">
        <v>45092</v>
      </c>
      <c r="L226" s="19">
        <v>45099</v>
      </c>
      <c r="M226" s="19">
        <v>45099</v>
      </c>
      <c r="N226" s="12" t="s">
        <v>234</v>
      </c>
      <c r="O226" s="12" t="s">
        <v>46</v>
      </c>
      <c r="P226" s="12" t="s">
        <v>47</v>
      </c>
      <c r="Q226" s="2">
        <f t="shared" si="3"/>
        <v>1</v>
      </c>
    </row>
    <row r="227" spans="1:17" x14ac:dyDescent="0.25">
      <c r="A227" s="12" t="s">
        <v>742</v>
      </c>
      <c r="B227" s="12" t="s">
        <v>743</v>
      </c>
      <c r="C227" s="12" t="s">
        <v>30</v>
      </c>
      <c r="D227" s="12" t="s">
        <v>154</v>
      </c>
      <c r="E227" s="12" t="s">
        <v>212</v>
      </c>
      <c r="F227" s="12">
        <v>29.97</v>
      </c>
      <c r="G227" s="12" t="s">
        <v>206</v>
      </c>
      <c r="H227" s="12">
        <v>100</v>
      </c>
      <c r="I227" s="12">
        <v>29.97</v>
      </c>
      <c r="J227" s="12" t="s">
        <v>23</v>
      </c>
      <c r="K227" s="19">
        <v>45092</v>
      </c>
      <c r="L227" s="19">
        <v>45092</v>
      </c>
      <c r="M227" s="19">
        <v>45092</v>
      </c>
      <c r="N227" s="12" t="s">
        <v>248</v>
      </c>
      <c r="O227" s="12" t="s">
        <v>82</v>
      </c>
      <c r="P227" s="12" t="s">
        <v>47</v>
      </c>
      <c r="Q227" s="2">
        <f t="shared" si="3"/>
        <v>1</v>
      </c>
    </row>
    <row r="228" spans="1:17" x14ac:dyDescent="0.25">
      <c r="A228" s="12" t="s">
        <v>745</v>
      </c>
      <c r="B228" s="12" t="s">
        <v>746</v>
      </c>
      <c r="C228" s="12" t="s">
        <v>30</v>
      </c>
      <c r="D228" s="12" t="s">
        <v>96</v>
      </c>
      <c r="E228" s="12" t="s">
        <v>205</v>
      </c>
      <c r="F228" s="12">
        <v>48.664000000000001</v>
      </c>
      <c r="G228" s="12" t="s">
        <v>206</v>
      </c>
      <c r="H228" s="12">
        <v>80</v>
      </c>
      <c r="I228" s="12">
        <v>38.931200000000004</v>
      </c>
      <c r="J228" s="12" t="s">
        <v>23</v>
      </c>
      <c r="K228" s="19">
        <v>45093</v>
      </c>
      <c r="L228" s="19">
        <v>45096</v>
      </c>
      <c r="M228" s="19">
        <v>45096</v>
      </c>
      <c r="N228" s="12" t="s">
        <v>220</v>
      </c>
      <c r="O228" s="12" t="s">
        <v>82</v>
      </c>
      <c r="P228" s="12" t="s">
        <v>47</v>
      </c>
      <c r="Q228" s="2">
        <f t="shared" si="3"/>
        <v>1</v>
      </c>
    </row>
    <row r="229" spans="1:17" x14ac:dyDescent="0.25">
      <c r="A229" s="12" t="s">
        <v>748</v>
      </c>
      <c r="B229" s="12" t="s">
        <v>749</v>
      </c>
      <c r="C229" s="12" t="s">
        <v>30</v>
      </c>
      <c r="D229" s="12" t="s">
        <v>164</v>
      </c>
      <c r="E229" s="12" t="s">
        <v>205</v>
      </c>
      <c r="F229" s="12">
        <v>5.04</v>
      </c>
      <c r="G229" s="12" t="s">
        <v>206</v>
      </c>
      <c r="H229" s="12">
        <v>80</v>
      </c>
      <c r="I229" s="12">
        <v>4.032</v>
      </c>
      <c r="J229" s="12" t="s">
        <v>23</v>
      </c>
      <c r="K229" s="19">
        <v>45095</v>
      </c>
      <c r="L229" s="19">
        <v>45100</v>
      </c>
      <c r="M229" s="19">
        <v>45100</v>
      </c>
      <c r="N229" s="12" t="s">
        <v>213</v>
      </c>
      <c r="O229" s="12" t="s">
        <v>146</v>
      </c>
      <c r="P229" s="12" t="s">
        <v>73</v>
      </c>
      <c r="Q229" s="2">
        <f t="shared" si="3"/>
        <v>1</v>
      </c>
    </row>
    <row r="230" spans="1:17" x14ac:dyDescent="0.25">
      <c r="A230" s="12" t="s">
        <v>751</v>
      </c>
      <c r="B230" s="12" t="s">
        <v>752</v>
      </c>
      <c r="C230" s="12" t="s">
        <v>19</v>
      </c>
      <c r="D230" s="12" t="s">
        <v>154</v>
      </c>
      <c r="E230" s="12" t="s">
        <v>212</v>
      </c>
      <c r="F230" s="12">
        <v>14.82</v>
      </c>
      <c r="G230" s="12" t="s">
        <v>206</v>
      </c>
      <c r="H230" s="12">
        <v>100</v>
      </c>
      <c r="I230" s="12">
        <v>14.82</v>
      </c>
      <c r="J230" s="12" t="s">
        <v>23</v>
      </c>
      <c r="K230" s="19">
        <v>45095</v>
      </c>
      <c r="L230" s="19">
        <v>45101</v>
      </c>
      <c r="M230" s="19">
        <v>45101</v>
      </c>
      <c r="N230" s="12" t="s">
        <v>207</v>
      </c>
      <c r="O230" s="12" t="s">
        <v>97</v>
      </c>
      <c r="P230" s="12" t="s">
        <v>68</v>
      </c>
      <c r="Q230" s="2">
        <f t="shared" si="3"/>
        <v>1</v>
      </c>
    </row>
    <row r="231" spans="1:17" x14ac:dyDescent="0.25">
      <c r="A231" s="12" t="s">
        <v>754</v>
      </c>
      <c r="B231" s="12" t="s">
        <v>755</v>
      </c>
      <c r="C231" s="12" t="s">
        <v>19</v>
      </c>
      <c r="D231" s="12" t="s">
        <v>115</v>
      </c>
      <c r="E231" s="12" t="s">
        <v>21</v>
      </c>
      <c r="F231" s="12">
        <v>409.76</v>
      </c>
      <c r="G231" s="12" t="s">
        <v>22</v>
      </c>
      <c r="H231" s="12">
        <v>0</v>
      </c>
      <c r="I231" s="12">
        <v>0</v>
      </c>
      <c r="J231" s="12" t="s">
        <v>23</v>
      </c>
      <c r="K231" s="19">
        <v>45098</v>
      </c>
      <c r="L231" s="19">
        <v>45099</v>
      </c>
      <c r="M231" s="19">
        <v>45099</v>
      </c>
      <c r="N231" s="12" t="s">
        <v>53</v>
      </c>
      <c r="O231" s="12" t="s">
        <v>46</v>
      </c>
      <c r="P231" s="12" t="s">
        <v>47</v>
      </c>
      <c r="Q231" s="2">
        <f t="shared" si="3"/>
        <v>1</v>
      </c>
    </row>
    <row r="232" spans="1:17" x14ac:dyDescent="0.25">
      <c r="A232" s="12" t="s">
        <v>757</v>
      </c>
      <c r="B232" s="12" t="s">
        <v>758</v>
      </c>
      <c r="C232" s="12" t="s">
        <v>30</v>
      </c>
      <c r="D232" s="12" t="s">
        <v>150</v>
      </c>
      <c r="E232" s="12" t="s">
        <v>212</v>
      </c>
      <c r="F232" s="12">
        <v>35.880000000000003</v>
      </c>
      <c r="G232" s="12" t="s">
        <v>206</v>
      </c>
      <c r="H232" s="12">
        <v>100</v>
      </c>
      <c r="I232" s="12">
        <v>35.880000000000003</v>
      </c>
      <c r="J232" s="12" t="s">
        <v>23</v>
      </c>
      <c r="K232" s="19">
        <v>45103</v>
      </c>
      <c r="L232" s="19">
        <v>45107</v>
      </c>
      <c r="M232" s="19">
        <v>45107</v>
      </c>
      <c r="N232" s="12" t="s">
        <v>220</v>
      </c>
      <c r="O232" s="12" t="s">
        <v>40</v>
      </c>
      <c r="P232" s="12" t="s">
        <v>34</v>
      </c>
      <c r="Q232" s="2">
        <f t="shared" si="3"/>
        <v>1</v>
      </c>
    </row>
    <row r="233" spans="1:17" x14ac:dyDescent="0.25">
      <c r="A233" s="12" t="s">
        <v>760</v>
      </c>
      <c r="B233" s="12" t="s">
        <v>761</v>
      </c>
      <c r="C233" s="12" t="s">
        <v>19</v>
      </c>
      <c r="D233" s="12" t="s">
        <v>150</v>
      </c>
      <c r="E233" s="12" t="s">
        <v>205</v>
      </c>
      <c r="F233" s="12">
        <v>331.536</v>
      </c>
      <c r="G233" s="12" t="s">
        <v>206</v>
      </c>
      <c r="H233" s="12">
        <v>80</v>
      </c>
      <c r="I233" s="12">
        <v>265.22880000000004</v>
      </c>
      <c r="J233" s="12" t="s">
        <v>23</v>
      </c>
      <c r="K233" s="19">
        <v>45104</v>
      </c>
      <c r="L233" s="19">
        <v>45111</v>
      </c>
      <c r="M233" s="19">
        <v>45111</v>
      </c>
      <c r="N233" s="12" t="s">
        <v>213</v>
      </c>
      <c r="O233" s="12" t="s">
        <v>82</v>
      </c>
      <c r="P233" s="12" t="s">
        <v>47</v>
      </c>
      <c r="Q233" s="2">
        <f t="shared" si="3"/>
        <v>1</v>
      </c>
    </row>
    <row r="234" spans="1:17" x14ac:dyDescent="0.25">
      <c r="A234" s="12" t="s">
        <v>762</v>
      </c>
      <c r="B234" s="12" t="s">
        <v>763</v>
      </c>
      <c r="C234" s="12" t="s">
        <v>19</v>
      </c>
      <c r="D234" s="12" t="s">
        <v>51</v>
      </c>
      <c r="E234" s="12" t="s">
        <v>212</v>
      </c>
      <c r="F234" s="12">
        <v>35.56</v>
      </c>
      <c r="G234" s="12" t="s">
        <v>206</v>
      </c>
      <c r="H234" s="12">
        <v>100</v>
      </c>
      <c r="I234" s="12">
        <v>35.56</v>
      </c>
      <c r="J234" s="12" t="s">
        <v>23</v>
      </c>
      <c r="K234" s="19">
        <v>45104</v>
      </c>
      <c r="L234" s="19">
        <v>45111</v>
      </c>
      <c r="M234" s="19">
        <v>45111</v>
      </c>
      <c r="N234" s="12" t="s">
        <v>248</v>
      </c>
      <c r="O234" s="12" t="s">
        <v>82</v>
      </c>
      <c r="P234" s="12" t="s">
        <v>47</v>
      </c>
      <c r="Q234" s="2">
        <f t="shared" si="3"/>
        <v>1</v>
      </c>
    </row>
    <row r="235" spans="1:17" x14ac:dyDescent="0.25">
      <c r="A235" s="12" t="s">
        <v>765</v>
      </c>
      <c r="B235" s="12" t="s">
        <v>766</v>
      </c>
      <c r="C235" s="12" t="s">
        <v>30</v>
      </c>
      <c r="D235" s="12" t="s">
        <v>370</v>
      </c>
      <c r="E235" s="12" t="s">
        <v>205</v>
      </c>
      <c r="F235" s="12">
        <v>4.9800000000000004</v>
      </c>
      <c r="G235" s="12" t="s">
        <v>206</v>
      </c>
      <c r="H235" s="12">
        <v>80</v>
      </c>
      <c r="I235" s="12">
        <v>3.9840000000000004</v>
      </c>
      <c r="J235" s="12" t="s">
        <v>23</v>
      </c>
      <c r="K235" s="19">
        <v>45110</v>
      </c>
      <c r="L235" s="19">
        <v>45115</v>
      </c>
      <c r="M235" s="19">
        <v>45115</v>
      </c>
      <c r="N235" s="12" t="s">
        <v>220</v>
      </c>
      <c r="O235" s="12" t="s">
        <v>25</v>
      </c>
      <c r="P235" s="12" t="s">
        <v>26</v>
      </c>
      <c r="Q235" s="2">
        <f t="shared" si="3"/>
        <v>1</v>
      </c>
    </row>
    <row r="236" spans="1:17" x14ac:dyDescent="0.25">
      <c r="A236" s="12" t="s">
        <v>768</v>
      </c>
      <c r="B236" s="12" t="s">
        <v>769</v>
      </c>
      <c r="C236" s="12" t="s">
        <v>19</v>
      </c>
      <c r="D236" s="12" t="s">
        <v>51</v>
      </c>
      <c r="E236" s="12" t="s">
        <v>21</v>
      </c>
      <c r="F236" s="12">
        <v>569.90199999999993</v>
      </c>
      <c r="G236" s="12" t="s">
        <v>22</v>
      </c>
      <c r="H236" s="12">
        <v>0</v>
      </c>
      <c r="I236" s="12">
        <v>0</v>
      </c>
      <c r="J236" s="12" t="s">
        <v>23</v>
      </c>
      <c r="K236" s="19">
        <v>45110</v>
      </c>
      <c r="L236" s="19">
        <v>45111</v>
      </c>
      <c r="M236" s="19">
        <v>45111</v>
      </c>
      <c r="N236" s="12" t="s">
        <v>32</v>
      </c>
      <c r="O236" s="12" t="s">
        <v>46</v>
      </c>
      <c r="P236" s="12" t="s">
        <v>47</v>
      </c>
      <c r="Q236" s="2">
        <f t="shared" si="3"/>
        <v>1</v>
      </c>
    </row>
    <row r="237" spans="1:17" x14ac:dyDescent="0.25">
      <c r="A237" s="12" t="s">
        <v>771</v>
      </c>
      <c r="B237" s="12" t="s">
        <v>772</v>
      </c>
      <c r="C237" s="12" t="s">
        <v>30</v>
      </c>
      <c r="D237" s="12" t="s">
        <v>230</v>
      </c>
      <c r="E237" s="12" t="s">
        <v>205</v>
      </c>
      <c r="F237" s="12">
        <v>27.24</v>
      </c>
      <c r="G237" s="12" t="s">
        <v>206</v>
      </c>
      <c r="H237" s="12">
        <v>80</v>
      </c>
      <c r="I237" s="12">
        <v>21.792000000000002</v>
      </c>
      <c r="J237" s="12" t="s">
        <v>23</v>
      </c>
      <c r="K237" s="19">
        <v>45115</v>
      </c>
      <c r="L237" s="19">
        <v>45119</v>
      </c>
      <c r="M237" s="19">
        <v>45119</v>
      </c>
      <c r="N237" s="12" t="s">
        <v>213</v>
      </c>
      <c r="O237" s="12" t="s">
        <v>146</v>
      </c>
      <c r="P237" s="12" t="s">
        <v>73</v>
      </c>
      <c r="Q237" s="2">
        <f t="shared" si="3"/>
        <v>1</v>
      </c>
    </row>
    <row r="238" spans="1:17" x14ac:dyDescent="0.25">
      <c r="A238" s="12" t="s">
        <v>774</v>
      </c>
      <c r="B238" s="12" t="s">
        <v>775</v>
      </c>
      <c r="C238" s="12" t="s">
        <v>19</v>
      </c>
      <c r="D238" s="12" t="s">
        <v>77</v>
      </c>
      <c r="E238" s="12" t="s">
        <v>212</v>
      </c>
      <c r="F238" s="12">
        <v>239.37200000000001</v>
      </c>
      <c r="G238" s="12" t="s">
        <v>206</v>
      </c>
      <c r="H238" s="12">
        <v>100</v>
      </c>
      <c r="I238" s="12">
        <v>239.37200000000001</v>
      </c>
      <c r="J238" s="12" t="s">
        <v>23</v>
      </c>
      <c r="K238" s="19">
        <v>45118</v>
      </c>
      <c r="L238" s="19">
        <v>45119</v>
      </c>
      <c r="M238" s="19">
        <v>45119</v>
      </c>
      <c r="N238" s="12" t="s">
        <v>213</v>
      </c>
      <c r="O238" s="12" t="s">
        <v>97</v>
      </c>
      <c r="P238" s="12" t="s">
        <v>68</v>
      </c>
      <c r="Q238" s="2">
        <f t="shared" si="3"/>
        <v>1</v>
      </c>
    </row>
    <row r="239" spans="1:17" x14ac:dyDescent="0.25">
      <c r="A239" s="12" t="s">
        <v>777</v>
      </c>
      <c r="B239" s="12" t="s">
        <v>778</v>
      </c>
      <c r="C239" s="12" t="s">
        <v>19</v>
      </c>
      <c r="D239" s="12" t="s">
        <v>115</v>
      </c>
      <c r="E239" s="12" t="s">
        <v>205</v>
      </c>
      <c r="F239" s="12">
        <v>60.143999999999998</v>
      </c>
      <c r="G239" s="12" t="s">
        <v>206</v>
      </c>
      <c r="H239" s="12">
        <v>80</v>
      </c>
      <c r="I239" s="12">
        <v>48.115200000000002</v>
      </c>
      <c r="J239" s="12" t="s">
        <v>23</v>
      </c>
      <c r="K239" s="19">
        <v>45122</v>
      </c>
      <c r="L239" s="19">
        <v>45124</v>
      </c>
      <c r="M239" s="19">
        <v>45124</v>
      </c>
      <c r="N239" s="12" t="s">
        <v>234</v>
      </c>
      <c r="O239" s="12" t="s">
        <v>25</v>
      </c>
      <c r="P239" s="12" t="s">
        <v>26</v>
      </c>
      <c r="Q239" s="2">
        <f t="shared" si="3"/>
        <v>1</v>
      </c>
    </row>
    <row r="240" spans="1:17" x14ac:dyDescent="0.25">
      <c r="A240" s="12" t="s">
        <v>780</v>
      </c>
      <c r="B240" s="12" t="s">
        <v>781</v>
      </c>
      <c r="C240" s="12" t="s">
        <v>30</v>
      </c>
      <c r="D240" s="12" t="s">
        <v>164</v>
      </c>
      <c r="E240" s="12" t="s">
        <v>205</v>
      </c>
      <c r="F240" s="12">
        <v>66.539999999999907</v>
      </c>
      <c r="G240" s="12" t="s">
        <v>206</v>
      </c>
      <c r="H240" s="12">
        <v>80</v>
      </c>
      <c r="I240" s="12">
        <v>53.231999999999928</v>
      </c>
      <c r="J240" s="12" t="s">
        <v>23</v>
      </c>
      <c r="K240" s="19">
        <v>45125</v>
      </c>
      <c r="L240" s="19">
        <v>45130</v>
      </c>
      <c r="M240" s="19">
        <v>45130</v>
      </c>
      <c r="N240" s="12" t="s">
        <v>207</v>
      </c>
      <c r="O240" s="12" t="s">
        <v>97</v>
      </c>
      <c r="P240" s="12" t="s">
        <v>68</v>
      </c>
      <c r="Q240" s="2">
        <f t="shared" si="3"/>
        <v>1</v>
      </c>
    </row>
    <row r="241" spans="1:17" x14ac:dyDescent="0.25">
      <c r="A241" s="12" t="s">
        <v>783</v>
      </c>
      <c r="B241" s="12" t="s">
        <v>784</v>
      </c>
      <c r="C241" s="12" t="s">
        <v>19</v>
      </c>
      <c r="D241" s="12" t="s">
        <v>105</v>
      </c>
      <c r="E241" s="12" t="s">
        <v>205</v>
      </c>
      <c r="F241" s="12">
        <v>142.18199999999999</v>
      </c>
      <c r="G241" s="12" t="s">
        <v>206</v>
      </c>
      <c r="H241" s="12">
        <v>80</v>
      </c>
      <c r="I241" s="12">
        <v>113.7456</v>
      </c>
      <c r="J241" s="12" t="s">
        <v>23</v>
      </c>
      <c r="K241" s="19">
        <v>45128</v>
      </c>
      <c r="L241" s="19">
        <v>45131</v>
      </c>
      <c r="M241" s="19">
        <v>45131</v>
      </c>
      <c r="N241" s="12" t="s">
        <v>234</v>
      </c>
      <c r="O241" s="12" t="s">
        <v>67</v>
      </c>
      <c r="P241" s="12" t="s">
        <v>68</v>
      </c>
      <c r="Q241" s="2">
        <f t="shared" si="3"/>
        <v>1</v>
      </c>
    </row>
    <row r="242" spans="1:17" x14ac:dyDescent="0.25">
      <c r="A242" s="12" t="s">
        <v>786</v>
      </c>
      <c r="B242" s="12" t="s">
        <v>787</v>
      </c>
      <c r="C242" s="12" t="s">
        <v>19</v>
      </c>
      <c r="D242" s="12" t="s">
        <v>164</v>
      </c>
      <c r="E242" s="12" t="s">
        <v>212</v>
      </c>
      <c r="F242" s="12">
        <v>45.68</v>
      </c>
      <c r="G242" s="12" t="s">
        <v>206</v>
      </c>
      <c r="H242" s="12">
        <v>100</v>
      </c>
      <c r="I242" s="12">
        <v>45.68</v>
      </c>
      <c r="J242" s="12" t="s">
        <v>23</v>
      </c>
      <c r="K242" s="19">
        <v>45129</v>
      </c>
      <c r="L242" s="19">
        <v>45131</v>
      </c>
      <c r="M242" s="19">
        <v>45131</v>
      </c>
      <c r="N242" s="12" t="s">
        <v>207</v>
      </c>
      <c r="O242" s="12" t="s">
        <v>82</v>
      </c>
      <c r="P242" s="12" t="s">
        <v>47</v>
      </c>
      <c r="Q242" s="2">
        <f t="shared" si="3"/>
        <v>1</v>
      </c>
    </row>
    <row r="243" spans="1:17" x14ac:dyDescent="0.25">
      <c r="A243" s="12" t="s">
        <v>789</v>
      </c>
      <c r="B243" s="12" t="s">
        <v>790</v>
      </c>
      <c r="C243" s="12" t="s">
        <v>30</v>
      </c>
      <c r="D243" s="12" t="s">
        <v>38</v>
      </c>
      <c r="E243" s="12" t="s">
        <v>212</v>
      </c>
      <c r="F243" s="12">
        <v>479.72</v>
      </c>
      <c r="G243" s="12" t="s">
        <v>206</v>
      </c>
      <c r="H243" s="12">
        <v>100</v>
      </c>
      <c r="I243" s="12">
        <v>479.72</v>
      </c>
      <c r="J243" s="12" t="s">
        <v>23</v>
      </c>
      <c r="K243" s="19">
        <v>45138</v>
      </c>
      <c r="L243" s="19">
        <v>45141</v>
      </c>
      <c r="M243" s="19">
        <v>45141</v>
      </c>
      <c r="N243" s="12" t="s">
        <v>234</v>
      </c>
      <c r="O243" s="12" t="s">
        <v>146</v>
      </c>
      <c r="P243" s="12" t="s">
        <v>73</v>
      </c>
      <c r="Q243" s="2">
        <f t="shared" si="3"/>
        <v>1</v>
      </c>
    </row>
    <row r="244" spans="1:17" x14ac:dyDescent="0.25">
      <c r="A244" s="12" t="s">
        <v>792</v>
      </c>
      <c r="B244" s="12" t="s">
        <v>793</v>
      </c>
      <c r="C244" s="12" t="s">
        <v>19</v>
      </c>
      <c r="D244" s="12" t="s">
        <v>115</v>
      </c>
      <c r="E244" s="12" t="s">
        <v>212</v>
      </c>
      <c r="F244" s="12">
        <v>3.5639999999999898</v>
      </c>
      <c r="G244" s="12" t="s">
        <v>206</v>
      </c>
      <c r="H244" s="12">
        <v>100</v>
      </c>
      <c r="I244" s="12">
        <v>3.5639999999999898</v>
      </c>
      <c r="J244" s="12" t="s">
        <v>23</v>
      </c>
      <c r="K244" s="19">
        <v>45138</v>
      </c>
      <c r="L244" s="19">
        <v>45143</v>
      </c>
      <c r="M244" s="19">
        <v>45143</v>
      </c>
      <c r="N244" s="12" t="s">
        <v>207</v>
      </c>
      <c r="O244" s="12" t="s">
        <v>146</v>
      </c>
      <c r="P244" s="12" t="s">
        <v>73</v>
      </c>
      <c r="Q244" s="2">
        <f t="shared" si="3"/>
        <v>1</v>
      </c>
    </row>
    <row r="245" spans="1:17" x14ac:dyDescent="0.25">
      <c r="A245" s="12" t="s">
        <v>795</v>
      </c>
      <c r="B245" s="12" t="s">
        <v>796</v>
      </c>
      <c r="C245" s="12" t="s">
        <v>30</v>
      </c>
      <c r="D245" s="12" t="s">
        <v>44</v>
      </c>
      <c r="E245" s="12" t="s">
        <v>205</v>
      </c>
      <c r="F245" s="12">
        <v>119.976</v>
      </c>
      <c r="G245" s="12" t="s">
        <v>206</v>
      </c>
      <c r="H245" s="12">
        <v>80</v>
      </c>
      <c r="I245" s="12">
        <v>95.980800000000002</v>
      </c>
      <c r="J245" s="12" t="s">
        <v>23</v>
      </c>
      <c r="K245" s="19">
        <v>45143</v>
      </c>
      <c r="L245" s="19">
        <v>45144</v>
      </c>
      <c r="M245" s="19">
        <v>45144</v>
      </c>
      <c r="N245" s="12" t="s">
        <v>234</v>
      </c>
      <c r="O245" s="12" t="s">
        <v>33</v>
      </c>
      <c r="P245" s="12" t="s">
        <v>34</v>
      </c>
      <c r="Q245" s="2">
        <f t="shared" si="3"/>
        <v>1</v>
      </c>
    </row>
    <row r="246" spans="1:17" x14ac:dyDescent="0.25">
      <c r="A246" s="12" t="s">
        <v>798</v>
      </c>
      <c r="B246" s="12" t="s">
        <v>799</v>
      </c>
      <c r="C246" s="12" t="s">
        <v>19</v>
      </c>
      <c r="D246" s="12" t="s">
        <v>150</v>
      </c>
      <c r="E246" s="12" t="s">
        <v>205</v>
      </c>
      <c r="F246" s="12">
        <v>37.299999999999997</v>
      </c>
      <c r="G246" s="12" t="s">
        <v>206</v>
      </c>
      <c r="H246" s="12">
        <v>80</v>
      </c>
      <c r="I246" s="12">
        <v>29.84</v>
      </c>
      <c r="J246" s="12" t="s">
        <v>23</v>
      </c>
      <c r="K246" s="19">
        <v>45145</v>
      </c>
      <c r="L246" s="19">
        <v>45146</v>
      </c>
      <c r="M246" s="19">
        <v>45146</v>
      </c>
      <c r="N246" s="12" t="s">
        <v>248</v>
      </c>
      <c r="O246" s="12" t="s">
        <v>97</v>
      </c>
      <c r="P246" s="12" t="s">
        <v>68</v>
      </c>
      <c r="Q246" s="2">
        <f t="shared" si="3"/>
        <v>1</v>
      </c>
    </row>
    <row r="247" spans="1:17" x14ac:dyDescent="0.25">
      <c r="A247" s="12" t="s">
        <v>801</v>
      </c>
      <c r="B247" s="12" t="s">
        <v>802</v>
      </c>
      <c r="C247" s="12" t="s">
        <v>19</v>
      </c>
      <c r="D247" s="12" t="s">
        <v>62</v>
      </c>
      <c r="E247" s="12" t="s">
        <v>205</v>
      </c>
      <c r="F247" s="12">
        <v>81.959999999999894</v>
      </c>
      <c r="G247" s="12" t="s">
        <v>206</v>
      </c>
      <c r="H247" s="12">
        <v>80</v>
      </c>
      <c r="I247" s="12">
        <v>65.567999999999913</v>
      </c>
      <c r="J247" s="12" t="s">
        <v>23</v>
      </c>
      <c r="K247" s="19">
        <v>45146</v>
      </c>
      <c r="L247" s="19">
        <v>45150</v>
      </c>
      <c r="M247" s="19">
        <v>45150</v>
      </c>
      <c r="N247" s="12" t="s">
        <v>238</v>
      </c>
      <c r="O247" s="12" t="s">
        <v>67</v>
      </c>
      <c r="P247" s="12" t="s">
        <v>68</v>
      </c>
      <c r="Q247" s="2">
        <f t="shared" si="3"/>
        <v>1</v>
      </c>
    </row>
    <row r="248" spans="1:17" x14ac:dyDescent="0.25">
      <c r="A248" s="12" t="s">
        <v>804</v>
      </c>
      <c r="B248" s="12" t="s">
        <v>805</v>
      </c>
      <c r="C248" s="12" t="s">
        <v>30</v>
      </c>
      <c r="D248" s="12" t="s">
        <v>58</v>
      </c>
      <c r="E248" s="12" t="s">
        <v>205</v>
      </c>
      <c r="F248" s="12">
        <v>83.36</v>
      </c>
      <c r="G248" s="12" t="s">
        <v>206</v>
      </c>
      <c r="H248" s="12">
        <v>80</v>
      </c>
      <c r="I248" s="12">
        <v>66.688000000000002</v>
      </c>
      <c r="J248" s="12" t="s">
        <v>23</v>
      </c>
      <c r="K248" s="19">
        <v>45147</v>
      </c>
      <c r="L248" s="19">
        <v>45152</v>
      </c>
      <c r="M248" s="19">
        <v>45152</v>
      </c>
      <c r="N248" s="12" t="s">
        <v>207</v>
      </c>
      <c r="O248" s="12" t="s">
        <v>46</v>
      </c>
      <c r="P248" s="12" t="s">
        <v>47</v>
      </c>
      <c r="Q248" s="2">
        <f t="shared" si="3"/>
        <v>1</v>
      </c>
    </row>
    <row r="249" spans="1:17" x14ac:dyDescent="0.25">
      <c r="A249" s="12" t="s">
        <v>807</v>
      </c>
      <c r="B249" s="12" t="s">
        <v>808</v>
      </c>
      <c r="C249" s="12" t="s">
        <v>30</v>
      </c>
      <c r="D249" s="12" t="s">
        <v>211</v>
      </c>
      <c r="E249" s="12" t="s">
        <v>212</v>
      </c>
      <c r="F249" s="12">
        <v>451.15199999999902</v>
      </c>
      <c r="G249" s="12" t="s">
        <v>206</v>
      </c>
      <c r="H249" s="12">
        <v>100</v>
      </c>
      <c r="I249" s="12">
        <v>451.15199999999902</v>
      </c>
      <c r="J249" s="12" t="s">
        <v>23</v>
      </c>
      <c r="K249" s="19">
        <v>45151</v>
      </c>
      <c r="L249" s="19">
        <v>45155</v>
      </c>
      <c r="M249" s="19">
        <v>45155</v>
      </c>
      <c r="N249" s="12" t="s">
        <v>238</v>
      </c>
      <c r="O249" s="12" t="s">
        <v>97</v>
      </c>
      <c r="P249" s="12" t="s">
        <v>68</v>
      </c>
      <c r="Q249" s="2">
        <f t="shared" si="3"/>
        <v>1</v>
      </c>
    </row>
    <row r="250" spans="1:17" x14ac:dyDescent="0.25">
      <c r="A250" s="12" t="s">
        <v>809</v>
      </c>
      <c r="B250" s="12" t="s">
        <v>810</v>
      </c>
      <c r="C250" s="12" t="s">
        <v>30</v>
      </c>
      <c r="D250" s="12" t="s">
        <v>86</v>
      </c>
      <c r="E250" s="12" t="s">
        <v>21</v>
      </c>
      <c r="F250" s="12">
        <v>125.91999999999999</v>
      </c>
      <c r="G250" s="12" t="s">
        <v>22</v>
      </c>
      <c r="H250" s="12">
        <v>0</v>
      </c>
      <c r="I250" s="12">
        <v>0</v>
      </c>
      <c r="J250" s="12" t="s">
        <v>23</v>
      </c>
      <c r="K250" s="19">
        <v>45152</v>
      </c>
      <c r="L250" s="19">
        <v>45155</v>
      </c>
      <c r="M250" s="19">
        <v>45155</v>
      </c>
      <c r="N250" s="12" t="s">
        <v>24</v>
      </c>
      <c r="O250" s="12" t="s">
        <v>97</v>
      </c>
      <c r="P250" s="12" t="s">
        <v>68</v>
      </c>
      <c r="Q250" s="2">
        <f t="shared" si="3"/>
        <v>1</v>
      </c>
    </row>
    <row r="251" spans="1:17" x14ac:dyDescent="0.25">
      <c r="A251" s="12" t="s">
        <v>812</v>
      </c>
      <c r="B251" s="12" t="s">
        <v>813</v>
      </c>
      <c r="C251" s="12" t="s">
        <v>30</v>
      </c>
      <c r="D251" s="12" t="s">
        <v>96</v>
      </c>
      <c r="E251" s="12" t="s">
        <v>205</v>
      </c>
      <c r="F251" s="12">
        <v>20.82</v>
      </c>
      <c r="G251" s="12" t="s">
        <v>206</v>
      </c>
      <c r="H251" s="12">
        <v>80</v>
      </c>
      <c r="I251" s="12">
        <v>16.656000000000002</v>
      </c>
      <c r="J251" s="12" t="s">
        <v>23</v>
      </c>
      <c r="K251" s="19">
        <v>45157</v>
      </c>
      <c r="L251" s="19">
        <v>45163</v>
      </c>
      <c r="M251" s="19">
        <v>45163</v>
      </c>
      <c r="N251" s="12" t="s">
        <v>238</v>
      </c>
      <c r="O251" s="12" t="s">
        <v>82</v>
      </c>
      <c r="P251" s="12" t="s">
        <v>47</v>
      </c>
      <c r="Q251" s="2">
        <f t="shared" si="3"/>
        <v>1</v>
      </c>
    </row>
    <row r="252" spans="1:17" x14ac:dyDescent="0.25">
      <c r="A252" s="12" t="s">
        <v>814</v>
      </c>
      <c r="B252" s="12" t="s">
        <v>815</v>
      </c>
      <c r="C252" s="12" t="s">
        <v>19</v>
      </c>
      <c r="D252" s="12" t="s">
        <v>211</v>
      </c>
      <c r="E252" s="12" t="s">
        <v>21</v>
      </c>
      <c r="F252" s="12">
        <v>85.908000000000001</v>
      </c>
      <c r="G252" s="12" t="s">
        <v>22</v>
      </c>
      <c r="H252" s="12">
        <v>0</v>
      </c>
      <c r="I252" s="12">
        <v>0</v>
      </c>
      <c r="J252" s="12" t="s">
        <v>23</v>
      </c>
      <c r="K252" s="19">
        <v>45157</v>
      </c>
      <c r="L252" s="19">
        <v>45159</v>
      </c>
      <c r="M252" s="19">
        <v>45159</v>
      </c>
      <c r="N252" s="12" t="s">
        <v>53</v>
      </c>
      <c r="O252" s="12" t="s">
        <v>40</v>
      </c>
      <c r="P252" s="12" t="s">
        <v>34</v>
      </c>
      <c r="Q252" s="2">
        <f t="shared" si="3"/>
        <v>1</v>
      </c>
    </row>
    <row r="253" spans="1:17" x14ac:dyDescent="0.25">
      <c r="A253" s="12" t="s">
        <v>817</v>
      </c>
      <c r="B253" s="12" t="s">
        <v>818</v>
      </c>
      <c r="C253" s="12" t="s">
        <v>30</v>
      </c>
      <c r="D253" s="12" t="s">
        <v>345</v>
      </c>
      <c r="E253" s="12" t="s">
        <v>205</v>
      </c>
      <c r="F253" s="12">
        <v>122.92</v>
      </c>
      <c r="G253" s="12" t="s">
        <v>206</v>
      </c>
      <c r="H253" s="12">
        <v>80</v>
      </c>
      <c r="I253" s="12">
        <v>98.336000000000013</v>
      </c>
      <c r="J253" s="12" t="s">
        <v>23</v>
      </c>
      <c r="K253" s="19">
        <v>45161</v>
      </c>
      <c r="L253" s="19">
        <v>45165</v>
      </c>
      <c r="M253" s="19">
        <v>45165</v>
      </c>
      <c r="N253" s="12" t="s">
        <v>238</v>
      </c>
      <c r="O253" s="12" t="s">
        <v>40</v>
      </c>
      <c r="P253" s="12" t="s">
        <v>34</v>
      </c>
      <c r="Q253" s="2">
        <f t="shared" si="3"/>
        <v>1</v>
      </c>
    </row>
    <row r="254" spans="1:17" x14ac:dyDescent="0.25">
      <c r="A254" s="12" t="s">
        <v>820</v>
      </c>
      <c r="B254" s="12" t="s">
        <v>821</v>
      </c>
      <c r="C254" s="12" t="s">
        <v>30</v>
      </c>
      <c r="D254" s="12" t="s">
        <v>86</v>
      </c>
      <c r="E254" s="12" t="s">
        <v>21</v>
      </c>
      <c r="F254" s="12">
        <v>1184.6999999999998</v>
      </c>
      <c r="G254" s="12" t="s">
        <v>22</v>
      </c>
      <c r="H254" s="12">
        <v>0</v>
      </c>
      <c r="I254" s="12">
        <v>0</v>
      </c>
      <c r="J254" s="12" t="s">
        <v>23</v>
      </c>
      <c r="K254" s="19">
        <v>45165</v>
      </c>
      <c r="L254" s="19">
        <v>45167</v>
      </c>
      <c r="M254" s="19">
        <v>45167</v>
      </c>
      <c r="N254" s="12" t="s">
        <v>45</v>
      </c>
      <c r="O254" s="12" t="s">
        <v>82</v>
      </c>
      <c r="P254" s="12" t="s">
        <v>47</v>
      </c>
      <c r="Q254" s="2">
        <f t="shared" si="3"/>
        <v>1</v>
      </c>
    </row>
    <row r="255" spans="1:17" x14ac:dyDescent="0.25">
      <c r="A255" s="12" t="s">
        <v>823</v>
      </c>
      <c r="B255" s="12" t="s">
        <v>824</v>
      </c>
      <c r="C255" s="12" t="s">
        <v>30</v>
      </c>
      <c r="D255" s="12" t="s">
        <v>154</v>
      </c>
      <c r="E255" s="12" t="s">
        <v>205</v>
      </c>
      <c r="F255" s="12">
        <v>23.616</v>
      </c>
      <c r="G255" s="12" t="s">
        <v>206</v>
      </c>
      <c r="H255" s="12">
        <v>80</v>
      </c>
      <c r="I255" s="12">
        <v>18.892800000000001</v>
      </c>
      <c r="J255" s="12" t="s">
        <v>23</v>
      </c>
      <c r="K255" s="19">
        <v>45165</v>
      </c>
      <c r="L255" s="19">
        <v>45168</v>
      </c>
      <c r="M255" s="19">
        <v>45168</v>
      </c>
      <c r="N255" s="12" t="s">
        <v>207</v>
      </c>
      <c r="O255" s="12" t="s">
        <v>25</v>
      </c>
      <c r="P255" s="12" t="s">
        <v>26</v>
      </c>
      <c r="Q255" s="2">
        <f t="shared" si="3"/>
        <v>1</v>
      </c>
    </row>
    <row r="256" spans="1:17" x14ac:dyDescent="0.25">
      <c r="A256" s="12" t="s">
        <v>826</v>
      </c>
      <c r="B256" s="12" t="s">
        <v>827</v>
      </c>
      <c r="C256" s="12" t="s">
        <v>19</v>
      </c>
      <c r="D256" s="12" t="s">
        <v>51</v>
      </c>
      <c r="E256" s="12" t="s">
        <v>212</v>
      </c>
      <c r="F256" s="12">
        <v>12.96</v>
      </c>
      <c r="G256" s="12" t="s">
        <v>206</v>
      </c>
      <c r="H256" s="12">
        <v>100</v>
      </c>
      <c r="I256" s="12">
        <v>12.96</v>
      </c>
      <c r="J256" s="12" t="s">
        <v>23</v>
      </c>
      <c r="K256" s="19">
        <v>45165</v>
      </c>
      <c r="L256" s="19">
        <v>45169</v>
      </c>
      <c r="M256" s="19">
        <v>45169</v>
      </c>
      <c r="N256" s="12" t="s">
        <v>213</v>
      </c>
      <c r="O256" s="12" t="s">
        <v>25</v>
      </c>
      <c r="P256" s="12" t="s">
        <v>26</v>
      </c>
      <c r="Q256" s="2">
        <f t="shared" si="3"/>
        <v>1</v>
      </c>
    </row>
    <row r="257" spans="1:17" x14ac:dyDescent="0.25">
      <c r="A257" s="12" t="s">
        <v>829</v>
      </c>
      <c r="B257" s="12" t="s">
        <v>830</v>
      </c>
      <c r="C257" s="12" t="s">
        <v>30</v>
      </c>
      <c r="D257" s="12" t="s">
        <v>86</v>
      </c>
      <c r="E257" s="12" t="s">
        <v>21</v>
      </c>
      <c r="F257" s="12">
        <v>179.53679999999878</v>
      </c>
      <c r="G257" s="12" t="s">
        <v>22</v>
      </c>
      <c r="H257" s="12">
        <v>0</v>
      </c>
      <c r="I257" s="12">
        <v>0</v>
      </c>
      <c r="J257" s="12" t="s">
        <v>23</v>
      </c>
      <c r="K257" s="19">
        <v>45167</v>
      </c>
      <c r="L257" s="19">
        <v>45170</v>
      </c>
      <c r="M257" s="19">
        <v>45170</v>
      </c>
      <c r="N257" s="12" t="s">
        <v>63</v>
      </c>
      <c r="O257" s="12" t="s">
        <v>82</v>
      </c>
      <c r="P257" s="12" t="s">
        <v>47</v>
      </c>
      <c r="Q257" s="2">
        <f t="shared" si="3"/>
        <v>1</v>
      </c>
    </row>
    <row r="258" spans="1:17" x14ac:dyDescent="0.25">
      <c r="A258" s="12" t="s">
        <v>832</v>
      </c>
      <c r="B258" s="12" t="s">
        <v>833</v>
      </c>
      <c r="C258" s="12" t="s">
        <v>19</v>
      </c>
      <c r="D258" s="12" t="s">
        <v>81</v>
      </c>
      <c r="E258" s="12" t="s">
        <v>212</v>
      </c>
      <c r="F258" s="12">
        <v>389.97</v>
      </c>
      <c r="G258" s="12" t="s">
        <v>206</v>
      </c>
      <c r="H258" s="12">
        <v>100</v>
      </c>
      <c r="I258" s="12">
        <v>389.97</v>
      </c>
      <c r="J258" s="12" t="s">
        <v>23</v>
      </c>
      <c r="K258" s="19">
        <v>45173</v>
      </c>
      <c r="L258" s="19">
        <v>45177</v>
      </c>
      <c r="M258" s="19">
        <v>45177</v>
      </c>
      <c r="N258" s="12" t="s">
        <v>234</v>
      </c>
      <c r="O258" s="12" t="s">
        <v>40</v>
      </c>
      <c r="P258" s="12" t="s">
        <v>34</v>
      </c>
      <c r="Q258" s="2">
        <f t="shared" ref="Q258:Q321" si="4">COUNTIF($A$2:$A$1778,A258)</f>
        <v>1</v>
      </c>
    </row>
    <row r="259" spans="1:17" x14ac:dyDescent="0.25">
      <c r="A259" s="12" t="s">
        <v>835</v>
      </c>
      <c r="B259" s="12" t="s">
        <v>836</v>
      </c>
      <c r="C259" s="12" t="s">
        <v>19</v>
      </c>
      <c r="D259" s="12" t="s">
        <v>105</v>
      </c>
      <c r="E259" s="12" t="s">
        <v>21</v>
      </c>
      <c r="F259" s="12">
        <v>1422.252</v>
      </c>
      <c r="G259" s="12" t="s">
        <v>22</v>
      </c>
      <c r="H259" s="12">
        <v>0</v>
      </c>
      <c r="I259" s="12">
        <v>0</v>
      </c>
      <c r="J259" s="12" t="s">
        <v>23</v>
      </c>
      <c r="K259" s="19">
        <v>45173</v>
      </c>
      <c r="L259" s="19">
        <v>45175</v>
      </c>
      <c r="M259" s="19">
        <v>45175</v>
      </c>
      <c r="N259" s="12" t="s">
        <v>63</v>
      </c>
      <c r="O259" s="12" t="s">
        <v>33</v>
      </c>
      <c r="P259" s="12" t="s">
        <v>34</v>
      </c>
      <c r="Q259" s="2">
        <f t="shared" si="4"/>
        <v>1</v>
      </c>
    </row>
    <row r="260" spans="1:17" x14ac:dyDescent="0.25">
      <c r="A260" s="12" t="s">
        <v>838</v>
      </c>
      <c r="B260" s="12" t="s">
        <v>839</v>
      </c>
      <c r="C260" s="12" t="s">
        <v>19</v>
      </c>
      <c r="D260" s="12" t="s">
        <v>211</v>
      </c>
      <c r="E260" s="12" t="s">
        <v>205</v>
      </c>
      <c r="F260" s="12">
        <v>115.84</v>
      </c>
      <c r="G260" s="12" t="s">
        <v>206</v>
      </c>
      <c r="H260" s="12">
        <v>80</v>
      </c>
      <c r="I260" s="12">
        <v>92.672000000000011</v>
      </c>
      <c r="J260" s="12" t="s">
        <v>23</v>
      </c>
      <c r="K260" s="19">
        <v>45174</v>
      </c>
      <c r="L260" s="19">
        <v>45179</v>
      </c>
      <c r="M260" s="19">
        <v>45179</v>
      </c>
      <c r="N260" s="12" t="s">
        <v>234</v>
      </c>
      <c r="O260" s="12" t="s">
        <v>67</v>
      </c>
      <c r="P260" s="12" t="s">
        <v>68</v>
      </c>
      <c r="Q260" s="2">
        <f t="shared" si="4"/>
        <v>1</v>
      </c>
    </row>
    <row r="261" spans="1:17" x14ac:dyDescent="0.25">
      <c r="A261" s="12" t="s">
        <v>841</v>
      </c>
      <c r="B261" s="12" t="s">
        <v>842</v>
      </c>
      <c r="C261" s="12" t="s">
        <v>19</v>
      </c>
      <c r="D261" s="12" t="s">
        <v>345</v>
      </c>
      <c r="E261" s="12" t="s">
        <v>205</v>
      </c>
      <c r="F261" s="12">
        <v>18.192</v>
      </c>
      <c r="G261" s="12" t="s">
        <v>206</v>
      </c>
      <c r="H261" s="12">
        <v>80</v>
      </c>
      <c r="I261" s="12">
        <v>14.553600000000001</v>
      </c>
      <c r="J261" s="12" t="s">
        <v>23</v>
      </c>
      <c r="K261" s="19">
        <v>45175</v>
      </c>
      <c r="L261" s="19">
        <v>45177</v>
      </c>
      <c r="M261" s="19">
        <v>45177</v>
      </c>
      <c r="N261" s="12" t="s">
        <v>234</v>
      </c>
      <c r="O261" s="12" t="s">
        <v>46</v>
      </c>
      <c r="P261" s="12" t="s">
        <v>47</v>
      </c>
      <c r="Q261" s="2">
        <f t="shared" si="4"/>
        <v>1</v>
      </c>
    </row>
    <row r="262" spans="1:17" x14ac:dyDescent="0.25">
      <c r="A262" s="12" t="s">
        <v>844</v>
      </c>
      <c r="B262" s="12" t="s">
        <v>845</v>
      </c>
      <c r="C262" s="12" t="s">
        <v>19</v>
      </c>
      <c r="D262" s="12" t="s">
        <v>44</v>
      </c>
      <c r="E262" s="12" t="s">
        <v>212</v>
      </c>
      <c r="F262" s="12">
        <v>21.92</v>
      </c>
      <c r="G262" s="12" t="s">
        <v>206</v>
      </c>
      <c r="H262" s="12">
        <v>100</v>
      </c>
      <c r="I262" s="12">
        <v>21.92</v>
      </c>
      <c r="J262" s="12" t="s">
        <v>23</v>
      </c>
      <c r="K262" s="19">
        <v>45175</v>
      </c>
      <c r="L262" s="19">
        <v>45177</v>
      </c>
      <c r="M262" s="19">
        <v>45177</v>
      </c>
      <c r="N262" s="12" t="s">
        <v>238</v>
      </c>
      <c r="O262" s="12" t="s">
        <v>72</v>
      </c>
      <c r="P262" s="12" t="s">
        <v>73</v>
      </c>
      <c r="Q262" s="2">
        <f t="shared" si="4"/>
        <v>1</v>
      </c>
    </row>
    <row r="263" spans="1:17" x14ac:dyDescent="0.25">
      <c r="A263" s="12" t="s">
        <v>847</v>
      </c>
      <c r="B263" s="12" t="s">
        <v>848</v>
      </c>
      <c r="C263" s="12" t="s">
        <v>30</v>
      </c>
      <c r="D263" s="12" t="s">
        <v>31</v>
      </c>
      <c r="E263" s="12" t="s">
        <v>205</v>
      </c>
      <c r="F263" s="12">
        <v>405.86</v>
      </c>
      <c r="G263" s="12" t="s">
        <v>206</v>
      </c>
      <c r="H263" s="12">
        <v>80</v>
      </c>
      <c r="I263" s="12">
        <v>324.68800000000005</v>
      </c>
      <c r="J263" s="12" t="s">
        <v>23</v>
      </c>
      <c r="K263" s="19">
        <v>45178</v>
      </c>
      <c r="L263" s="19">
        <v>45178</v>
      </c>
      <c r="M263" s="19">
        <v>45178</v>
      </c>
      <c r="N263" s="12" t="s">
        <v>248</v>
      </c>
      <c r="O263" s="12" t="s">
        <v>67</v>
      </c>
      <c r="P263" s="12" t="s">
        <v>68</v>
      </c>
      <c r="Q263" s="2">
        <f t="shared" si="4"/>
        <v>1</v>
      </c>
    </row>
    <row r="264" spans="1:17" x14ac:dyDescent="0.25">
      <c r="A264" s="12" t="s">
        <v>850</v>
      </c>
      <c r="B264" s="12" t="s">
        <v>851</v>
      </c>
      <c r="C264" s="12" t="s">
        <v>30</v>
      </c>
      <c r="D264" s="12" t="s">
        <v>164</v>
      </c>
      <c r="E264" s="12" t="s">
        <v>205</v>
      </c>
      <c r="F264" s="12">
        <v>968.74400000000003</v>
      </c>
      <c r="G264" s="12" t="s">
        <v>206</v>
      </c>
      <c r="H264" s="12">
        <v>80</v>
      </c>
      <c r="I264" s="12">
        <v>774.99520000000007</v>
      </c>
      <c r="J264" s="12" t="s">
        <v>23</v>
      </c>
      <c r="K264" s="19">
        <v>45178</v>
      </c>
      <c r="L264" s="19">
        <v>45180</v>
      </c>
      <c r="M264" s="19">
        <v>45180</v>
      </c>
      <c r="N264" s="12" t="s">
        <v>248</v>
      </c>
      <c r="O264" s="12" t="s">
        <v>82</v>
      </c>
      <c r="P264" s="12" t="s">
        <v>47</v>
      </c>
      <c r="Q264" s="2">
        <f t="shared" si="4"/>
        <v>1</v>
      </c>
    </row>
    <row r="265" spans="1:17" x14ac:dyDescent="0.25">
      <c r="A265" s="12" t="s">
        <v>853</v>
      </c>
      <c r="B265" s="12" t="s">
        <v>854</v>
      </c>
      <c r="C265" s="12" t="s">
        <v>30</v>
      </c>
      <c r="D265" s="12" t="s">
        <v>115</v>
      </c>
      <c r="E265" s="12" t="s">
        <v>212</v>
      </c>
      <c r="F265" s="12">
        <v>15.26</v>
      </c>
      <c r="G265" s="12" t="s">
        <v>206</v>
      </c>
      <c r="H265" s="12">
        <v>100</v>
      </c>
      <c r="I265" s="12">
        <v>15.26</v>
      </c>
      <c r="J265" s="12" t="s">
        <v>23</v>
      </c>
      <c r="K265" s="19">
        <v>45180</v>
      </c>
      <c r="L265" s="19">
        <v>45182</v>
      </c>
      <c r="M265" s="19">
        <v>45182</v>
      </c>
      <c r="N265" s="12" t="s">
        <v>220</v>
      </c>
      <c r="O265" s="12" t="s">
        <v>67</v>
      </c>
      <c r="P265" s="12" t="s">
        <v>68</v>
      </c>
      <c r="Q265" s="2">
        <f t="shared" si="4"/>
        <v>1</v>
      </c>
    </row>
    <row r="266" spans="1:17" x14ac:dyDescent="0.25">
      <c r="A266" s="12" t="s">
        <v>856</v>
      </c>
      <c r="B266" s="12" t="s">
        <v>857</v>
      </c>
      <c r="C266" s="12" t="s">
        <v>19</v>
      </c>
      <c r="D266" s="12" t="s">
        <v>96</v>
      </c>
      <c r="E266" s="12" t="s">
        <v>205</v>
      </c>
      <c r="F266" s="12">
        <v>1029.95</v>
      </c>
      <c r="G266" s="12" t="s">
        <v>206</v>
      </c>
      <c r="H266" s="12">
        <v>80</v>
      </c>
      <c r="I266" s="12">
        <v>823.96</v>
      </c>
      <c r="J266" s="12" t="s">
        <v>23</v>
      </c>
      <c r="K266" s="19">
        <v>45181</v>
      </c>
      <c r="L266" s="19">
        <v>45187</v>
      </c>
      <c r="M266" s="19">
        <v>45187</v>
      </c>
      <c r="N266" s="12" t="s">
        <v>220</v>
      </c>
      <c r="O266" s="12" t="s">
        <v>46</v>
      </c>
      <c r="P266" s="12" t="s">
        <v>47</v>
      </c>
      <c r="Q266" s="2">
        <f t="shared" si="4"/>
        <v>1</v>
      </c>
    </row>
    <row r="267" spans="1:17" x14ac:dyDescent="0.25">
      <c r="A267" s="12" t="s">
        <v>859</v>
      </c>
      <c r="B267" s="12" t="s">
        <v>860</v>
      </c>
      <c r="C267" s="12" t="s">
        <v>19</v>
      </c>
      <c r="D267" s="12" t="s">
        <v>20</v>
      </c>
      <c r="E267" s="12" t="s">
        <v>212</v>
      </c>
      <c r="F267" s="12">
        <v>65.34</v>
      </c>
      <c r="G267" s="12" t="s">
        <v>206</v>
      </c>
      <c r="H267" s="12">
        <v>100</v>
      </c>
      <c r="I267" s="12">
        <v>65.34</v>
      </c>
      <c r="J267" s="12" t="s">
        <v>23</v>
      </c>
      <c r="K267" s="19">
        <v>45182</v>
      </c>
      <c r="L267" s="19">
        <v>45186</v>
      </c>
      <c r="M267" s="19">
        <v>45186</v>
      </c>
      <c r="N267" s="12" t="s">
        <v>238</v>
      </c>
      <c r="O267" s="12" t="s">
        <v>72</v>
      </c>
      <c r="P267" s="12" t="s">
        <v>73</v>
      </c>
      <c r="Q267" s="2">
        <f t="shared" si="4"/>
        <v>1</v>
      </c>
    </row>
    <row r="268" spans="1:17" x14ac:dyDescent="0.25">
      <c r="A268" s="12" t="s">
        <v>862</v>
      </c>
      <c r="B268" s="12" t="s">
        <v>863</v>
      </c>
      <c r="C268" s="12" t="s">
        <v>19</v>
      </c>
      <c r="D268" s="12" t="s">
        <v>211</v>
      </c>
      <c r="E268" s="12" t="s">
        <v>205</v>
      </c>
      <c r="F268" s="12">
        <v>2003.52</v>
      </c>
      <c r="G268" s="12" t="s">
        <v>206</v>
      </c>
      <c r="H268" s="12">
        <v>80</v>
      </c>
      <c r="I268" s="12">
        <v>1602.816</v>
      </c>
      <c r="J268" s="12" t="s">
        <v>23</v>
      </c>
      <c r="K268" s="19">
        <v>45186</v>
      </c>
      <c r="L268" s="19">
        <v>45188</v>
      </c>
      <c r="M268" s="19">
        <v>45188</v>
      </c>
      <c r="N268" s="12" t="s">
        <v>248</v>
      </c>
      <c r="O268" s="12" t="s">
        <v>82</v>
      </c>
      <c r="P268" s="12" t="s">
        <v>47</v>
      </c>
      <c r="Q268" s="2">
        <f t="shared" si="4"/>
        <v>1</v>
      </c>
    </row>
    <row r="269" spans="1:17" x14ac:dyDescent="0.25">
      <c r="A269" s="12" t="s">
        <v>865</v>
      </c>
      <c r="B269" s="12" t="s">
        <v>866</v>
      </c>
      <c r="C269" s="12" t="s">
        <v>19</v>
      </c>
      <c r="D269" s="12" t="s">
        <v>154</v>
      </c>
      <c r="E269" s="12" t="s">
        <v>212</v>
      </c>
      <c r="F269" s="12">
        <v>9892.74</v>
      </c>
      <c r="G269" s="12" t="s">
        <v>206</v>
      </c>
      <c r="H269" s="12">
        <v>100</v>
      </c>
      <c r="I269" s="12">
        <v>9892.74</v>
      </c>
      <c r="J269" s="12" t="s">
        <v>23</v>
      </c>
      <c r="K269" s="19">
        <v>45187</v>
      </c>
      <c r="L269" s="19">
        <v>45193</v>
      </c>
      <c r="M269" s="19">
        <v>45193</v>
      </c>
      <c r="N269" s="12" t="s">
        <v>238</v>
      </c>
      <c r="O269" s="12" t="s">
        <v>72</v>
      </c>
      <c r="P269" s="12" t="s">
        <v>73</v>
      </c>
      <c r="Q269" s="2">
        <f t="shared" si="4"/>
        <v>1</v>
      </c>
    </row>
    <row r="270" spans="1:17" x14ac:dyDescent="0.25">
      <c r="A270" s="12" t="s">
        <v>867</v>
      </c>
      <c r="B270" s="12" t="s">
        <v>868</v>
      </c>
      <c r="C270" s="12" t="s">
        <v>19</v>
      </c>
      <c r="D270" s="12" t="s">
        <v>51</v>
      </c>
      <c r="E270" s="12" t="s">
        <v>212</v>
      </c>
      <c r="F270" s="12">
        <v>18.84</v>
      </c>
      <c r="G270" s="12" t="s">
        <v>206</v>
      </c>
      <c r="H270" s="12">
        <v>100</v>
      </c>
      <c r="I270" s="12">
        <v>18.84</v>
      </c>
      <c r="J270" s="12" t="s">
        <v>23</v>
      </c>
      <c r="K270" s="19">
        <v>45187</v>
      </c>
      <c r="L270" s="19">
        <v>45193</v>
      </c>
      <c r="M270" s="19">
        <v>45193</v>
      </c>
      <c r="N270" s="12" t="s">
        <v>213</v>
      </c>
      <c r="O270" s="12" t="s">
        <v>33</v>
      </c>
      <c r="P270" s="12" t="s">
        <v>34</v>
      </c>
      <c r="Q270" s="2">
        <f t="shared" si="4"/>
        <v>1</v>
      </c>
    </row>
    <row r="271" spans="1:17" x14ac:dyDescent="0.25">
      <c r="A271" s="12" t="s">
        <v>870</v>
      </c>
      <c r="B271" s="12" t="s">
        <v>871</v>
      </c>
      <c r="C271" s="12" t="s">
        <v>30</v>
      </c>
      <c r="D271" s="12" t="s">
        <v>186</v>
      </c>
      <c r="E271" s="12" t="s">
        <v>21</v>
      </c>
      <c r="F271" s="12">
        <v>107.396</v>
      </c>
      <c r="G271" s="12" t="s">
        <v>22</v>
      </c>
      <c r="H271" s="12">
        <v>0</v>
      </c>
      <c r="I271" s="12">
        <v>0</v>
      </c>
      <c r="J271" s="12" t="s">
        <v>23</v>
      </c>
      <c r="K271" s="19">
        <v>45188</v>
      </c>
      <c r="L271" s="19">
        <v>45190</v>
      </c>
      <c r="M271" s="19">
        <v>45190</v>
      </c>
      <c r="N271" s="12" t="s">
        <v>45</v>
      </c>
      <c r="O271" s="12" t="s">
        <v>33</v>
      </c>
      <c r="P271" s="12" t="s">
        <v>34</v>
      </c>
      <c r="Q271" s="2">
        <f t="shared" si="4"/>
        <v>1</v>
      </c>
    </row>
    <row r="272" spans="1:17" x14ac:dyDescent="0.25">
      <c r="A272" s="12" t="s">
        <v>872</v>
      </c>
      <c r="B272" s="12" t="s">
        <v>873</v>
      </c>
      <c r="C272" s="12" t="s">
        <v>19</v>
      </c>
      <c r="D272" s="12" t="s">
        <v>139</v>
      </c>
      <c r="E272" s="12" t="s">
        <v>21</v>
      </c>
      <c r="F272" s="12">
        <v>2545.12</v>
      </c>
      <c r="G272" s="12" t="s">
        <v>22</v>
      </c>
      <c r="H272" s="12">
        <v>0</v>
      </c>
      <c r="I272" s="12">
        <v>0</v>
      </c>
      <c r="J272" s="12" t="s">
        <v>23</v>
      </c>
      <c r="K272" s="19">
        <v>45189</v>
      </c>
      <c r="L272" s="19">
        <v>45191</v>
      </c>
      <c r="M272" s="19">
        <v>45191</v>
      </c>
      <c r="N272" s="12" t="s">
        <v>39</v>
      </c>
      <c r="O272" s="12" t="s">
        <v>40</v>
      </c>
      <c r="P272" s="12" t="s">
        <v>34</v>
      </c>
      <c r="Q272" s="2">
        <f t="shared" si="4"/>
        <v>1</v>
      </c>
    </row>
    <row r="273" spans="1:17" x14ac:dyDescent="0.25">
      <c r="A273" s="12" t="s">
        <v>874</v>
      </c>
      <c r="B273" s="12" t="s">
        <v>875</v>
      </c>
      <c r="C273" s="12" t="s">
        <v>19</v>
      </c>
      <c r="D273" s="12" t="s">
        <v>115</v>
      </c>
      <c r="E273" s="12" t="s">
        <v>205</v>
      </c>
      <c r="F273" s="12">
        <v>31.32</v>
      </c>
      <c r="G273" s="12" t="s">
        <v>206</v>
      </c>
      <c r="H273" s="12">
        <v>80</v>
      </c>
      <c r="I273" s="12">
        <v>25.056000000000001</v>
      </c>
      <c r="J273" s="12" t="s">
        <v>23</v>
      </c>
      <c r="K273" s="19">
        <v>45189</v>
      </c>
      <c r="L273" s="19">
        <v>45193</v>
      </c>
      <c r="M273" s="19">
        <v>45193</v>
      </c>
      <c r="N273" s="12" t="s">
        <v>213</v>
      </c>
      <c r="O273" s="12" t="s">
        <v>33</v>
      </c>
      <c r="P273" s="12" t="s">
        <v>34</v>
      </c>
      <c r="Q273" s="2">
        <f t="shared" si="4"/>
        <v>1</v>
      </c>
    </row>
    <row r="274" spans="1:17" x14ac:dyDescent="0.25">
      <c r="A274" s="12" t="s">
        <v>877</v>
      </c>
      <c r="B274" s="12" t="s">
        <v>878</v>
      </c>
      <c r="C274" s="12" t="s">
        <v>30</v>
      </c>
      <c r="D274" s="12" t="s">
        <v>230</v>
      </c>
      <c r="E274" s="12" t="s">
        <v>212</v>
      </c>
      <c r="F274" s="12">
        <v>7.968</v>
      </c>
      <c r="G274" s="12" t="s">
        <v>206</v>
      </c>
      <c r="H274" s="12">
        <v>100</v>
      </c>
      <c r="I274" s="12">
        <v>7.968</v>
      </c>
      <c r="J274" s="12" t="s">
        <v>23</v>
      </c>
      <c r="K274" s="19">
        <v>45190</v>
      </c>
      <c r="L274" s="19">
        <v>45194</v>
      </c>
      <c r="M274" s="19">
        <v>45194</v>
      </c>
      <c r="N274" s="12" t="s">
        <v>234</v>
      </c>
      <c r="O274" s="12" t="s">
        <v>67</v>
      </c>
      <c r="P274" s="12" t="s">
        <v>68</v>
      </c>
      <c r="Q274" s="2">
        <f t="shared" si="4"/>
        <v>1</v>
      </c>
    </row>
    <row r="275" spans="1:17" x14ac:dyDescent="0.25">
      <c r="A275" s="12" t="s">
        <v>880</v>
      </c>
      <c r="B275" s="12" t="s">
        <v>881</v>
      </c>
      <c r="C275" s="12" t="s">
        <v>30</v>
      </c>
      <c r="D275" s="12" t="s">
        <v>139</v>
      </c>
      <c r="E275" s="12" t="s">
        <v>205</v>
      </c>
      <c r="F275" s="12">
        <v>227.28</v>
      </c>
      <c r="G275" s="12" t="s">
        <v>206</v>
      </c>
      <c r="H275" s="12">
        <v>80</v>
      </c>
      <c r="I275" s="12">
        <v>181.82400000000001</v>
      </c>
      <c r="J275" s="12" t="s">
        <v>23</v>
      </c>
      <c r="K275" s="19">
        <v>45192</v>
      </c>
      <c r="L275" s="19">
        <v>45198</v>
      </c>
      <c r="M275" s="19">
        <v>45198</v>
      </c>
      <c r="N275" s="12" t="s">
        <v>248</v>
      </c>
      <c r="O275" s="12" t="s">
        <v>33</v>
      </c>
      <c r="P275" s="12" t="s">
        <v>34</v>
      </c>
      <c r="Q275" s="2">
        <f t="shared" si="4"/>
        <v>1</v>
      </c>
    </row>
    <row r="276" spans="1:17" x14ac:dyDescent="0.25">
      <c r="A276" s="12" t="s">
        <v>883</v>
      </c>
      <c r="B276" s="12" t="s">
        <v>884</v>
      </c>
      <c r="C276" s="12" t="s">
        <v>19</v>
      </c>
      <c r="D276" s="12" t="s">
        <v>139</v>
      </c>
      <c r="E276" s="12" t="s">
        <v>205</v>
      </c>
      <c r="F276" s="12">
        <v>1747.25</v>
      </c>
      <c r="G276" s="12" t="s">
        <v>206</v>
      </c>
      <c r="H276" s="12">
        <v>80</v>
      </c>
      <c r="I276" s="12">
        <v>1397.8000000000002</v>
      </c>
      <c r="J276" s="12" t="s">
        <v>23</v>
      </c>
      <c r="K276" s="19">
        <v>45192</v>
      </c>
      <c r="L276" s="19">
        <v>45195</v>
      </c>
      <c r="M276" s="19">
        <v>45195</v>
      </c>
      <c r="N276" s="12" t="s">
        <v>238</v>
      </c>
      <c r="O276" s="12" t="s">
        <v>40</v>
      </c>
      <c r="P276" s="12" t="s">
        <v>34</v>
      </c>
      <c r="Q276" s="2">
        <f t="shared" si="4"/>
        <v>1</v>
      </c>
    </row>
    <row r="277" spans="1:17" x14ac:dyDescent="0.25">
      <c r="A277" s="12" t="s">
        <v>886</v>
      </c>
      <c r="B277" s="12" t="s">
        <v>887</v>
      </c>
      <c r="C277" s="12" t="s">
        <v>19</v>
      </c>
      <c r="D277" s="12" t="s">
        <v>96</v>
      </c>
      <c r="E277" s="12" t="s">
        <v>205</v>
      </c>
      <c r="F277" s="12">
        <v>47.9</v>
      </c>
      <c r="G277" s="12" t="s">
        <v>206</v>
      </c>
      <c r="H277" s="12">
        <v>80</v>
      </c>
      <c r="I277" s="12">
        <v>38.32</v>
      </c>
      <c r="J277" s="12" t="s">
        <v>23</v>
      </c>
      <c r="K277" s="19">
        <v>45192</v>
      </c>
      <c r="L277" s="19">
        <v>45197</v>
      </c>
      <c r="M277" s="19">
        <v>45197</v>
      </c>
      <c r="N277" s="12" t="s">
        <v>213</v>
      </c>
      <c r="O277" s="12" t="s">
        <v>72</v>
      </c>
      <c r="P277" s="12" t="s">
        <v>73</v>
      </c>
      <c r="Q277" s="2">
        <f t="shared" si="4"/>
        <v>1</v>
      </c>
    </row>
    <row r="278" spans="1:17" x14ac:dyDescent="0.25">
      <c r="A278" s="12" t="s">
        <v>889</v>
      </c>
      <c r="B278" s="12" t="s">
        <v>890</v>
      </c>
      <c r="C278" s="12" t="s">
        <v>30</v>
      </c>
      <c r="D278" s="12" t="s">
        <v>154</v>
      </c>
      <c r="E278" s="12" t="s">
        <v>205</v>
      </c>
      <c r="F278" s="12">
        <v>7.4</v>
      </c>
      <c r="G278" s="12" t="s">
        <v>206</v>
      </c>
      <c r="H278" s="12">
        <v>80</v>
      </c>
      <c r="I278" s="12">
        <v>5.9200000000000008</v>
      </c>
      <c r="J278" s="12" t="s">
        <v>23</v>
      </c>
      <c r="K278" s="19">
        <v>45192</v>
      </c>
      <c r="L278" s="19">
        <v>45198</v>
      </c>
      <c r="M278" s="19">
        <v>45198</v>
      </c>
      <c r="N278" s="12" t="s">
        <v>207</v>
      </c>
      <c r="O278" s="12" t="s">
        <v>25</v>
      </c>
      <c r="P278" s="12" t="s">
        <v>26</v>
      </c>
      <c r="Q278" s="2">
        <f t="shared" si="4"/>
        <v>1</v>
      </c>
    </row>
    <row r="279" spans="1:17" x14ac:dyDescent="0.25">
      <c r="A279" s="12" t="s">
        <v>892</v>
      </c>
      <c r="B279" s="12" t="s">
        <v>893</v>
      </c>
      <c r="C279" s="12" t="s">
        <v>30</v>
      </c>
      <c r="D279" s="12" t="s">
        <v>164</v>
      </c>
      <c r="E279" s="12" t="s">
        <v>21</v>
      </c>
      <c r="F279" s="12">
        <v>22.979999999999997</v>
      </c>
      <c r="G279" s="12" t="s">
        <v>22</v>
      </c>
      <c r="H279" s="12">
        <v>0</v>
      </c>
      <c r="I279" s="12">
        <v>0</v>
      </c>
      <c r="J279" s="12" t="s">
        <v>23</v>
      </c>
      <c r="K279" s="19">
        <v>45193</v>
      </c>
      <c r="L279" s="19">
        <v>45196</v>
      </c>
      <c r="M279" s="19">
        <v>45196</v>
      </c>
      <c r="N279" s="12" t="s">
        <v>45</v>
      </c>
      <c r="O279" s="12" t="s">
        <v>40</v>
      </c>
      <c r="P279" s="12" t="s">
        <v>34</v>
      </c>
      <c r="Q279" s="2">
        <f t="shared" si="4"/>
        <v>1</v>
      </c>
    </row>
    <row r="280" spans="1:17" x14ac:dyDescent="0.25">
      <c r="A280" s="12" t="s">
        <v>895</v>
      </c>
      <c r="B280" s="12" t="s">
        <v>896</v>
      </c>
      <c r="C280" s="12" t="s">
        <v>19</v>
      </c>
      <c r="D280" s="12" t="s">
        <v>62</v>
      </c>
      <c r="E280" s="12" t="s">
        <v>212</v>
      </c>
      <c r="F280" s="12">
        <v>68.459999999999994</v>
      </c>
      <c r="G280" s="12" t="s">
        <v>206</v>
      </c>
      <c r="H280" s="12">
        <v>100</v>
      </c>
      <c r="I280" s="12">
        <v>68.459999999999994</v>
      </c>
      <c r="J280" s="12" t="s">
        <v>23</v>
      </c>
      <c r="K280" s="19">
        <v>45193</v>
      </c>
      <c r="L280" s="19">
        <v>45196</v>
      </c>
      <c r="M280" s="19">
        <v>45196</v>
      </c>
      <c r="N280" s="12" t="s">
        <v>207</v>
      </c>
      <c r="O280" s="12" t="s">
        <v>97</v>
      </c>
      <c r="P280" s="12" t="s">
        <v>68</v>
      </c>
      <c r="Q280" s="2">
        <f t="shared" si="4"/>
        <v>1</v>
      </c>
    </row>
    <row r="281" spans="1:17" x14ac:dyDescent="0.25">
      <c r="A281" s="12" t="s">
        <v>898</v>
      </c>
      <c r="B281" s="12" t="s">
        <v>899</v>
      </c>
      <c r="C281" s="12" t="s">
        <v>30</v>
      </c>
      <c r="D281" s="12" t="s">
        <v>31</v>
      </c>
      <c r="E281" s="12" t="s">
        <v>205</v>
      </c>
      <c r="F281" s="12">
        <v>2.48</v>
      </c>
      <c r="G281" s="12" t="s">
        <v>206</v>
      </c>
      <c r="H281" s="12">
        <v>80</v>
      </c>
      <c r="I281" s="12">
        <v>1.984</v>
      </c>
      <c r="J281" s="12" t="s">
        <v>23</v>
      </c>
      <c r="K281" s="19">
        <v>45194</v>
      </c>
      <c r="L281" s="19">
        <v>45196</v>
      </c>
      <c r="M281" s="19">
        <v>45196</v>
      </c>
      <c r="N281" s="12" t="s">
        <v>213</v>
      </c>
      <c r="O281" s="12" t="s">
        <v>146</v>
      </c>
      <c r="P281" s="12" t="s">
        <v>73</v>
      </c>
      <c r="Q281" s="2">
        <f t="shared" si="4"/>
        <v>1</v>
      </c>
    </row>
    <row r="282" spans="1:17" x14ac:dyDescent="0.25">
      <c r="A282" s="12" t="s">
        <v>900</v>
      </c>
      <c r="B282" s="12" t="s">
        <v>901</v>
      </c>
      <c r="C282" s="12" t="s">
        <v>30</v>
      </c>
      <c r="D282" s="12" t="s">
        <v>211</v>
      </c>
      <c r="E282" s="12" t="s">
        <v>212</v>
      </c>
      <c r="F282" s="12">
        <v>13.904</v>
      </c>
      <c r="G282" s="12" t="s">
        <v>206</v>
      </c>
      <c r="H282" s="12">
        <v>100</v>
      </c>
      <c r="I282" s="12">
        <v>13.904</v>
      </c>
      <c r="J282" s="12" t="s">
        <v>23</v>
      </c>
      <c r="K282" s="19">
        <v>45194</v>
      </c>
      <c r="L282" s="19">
        <v>45198</v>
      </c>
      <c r="M282" s="19">
        <v>45198</v>
      </c>
      <c r="N282" s="12" t="s">
        <v>248</v>
      </c>
      <c r="O282" s="12" t="s">
        <v>40</v>
      </c>
      <c r="P282" s="12" t="s">
        <v>34</v>
      </c>
      <c r="Q282" s="2">
        <f t="shared" si="4"/>
        <v>1</v>
      </c>
    </row>
    <row r="283" spans="1:17" x14ac:dyDescent="0.25">
      <c r="A283" s="12" t="s">
        <v>902</v>
      </c>
      <c r="B283" s="12" t="s">
        <v>903</v>
      </c>
      <c r="C283" s="12" t="s">
        <v>30</v>
      </c>
      <c r="D283" s="12" t="s">
        <v>81</v>
      </c>
      <c r="E283" s="12" t="s">
        <v>205</v>
      </c>
      <c r="F283" s="12">
        <v>12.736000000000001</v>
      </c>
      <c r="G283" s="12" t="s">
        <v>206</v>
      </c>
      <c r="H283" s="12">
        <v>80</v>
      </c>
      <c r="I283" s="12">
        <v>10.188800000000001</v>
      </c>
      <c r="J283" s="12" t="s">
        <v>23</v>
      </c>
      <c r="K283" s="19">
        <v>45196</v>
      </c>
      <c r="L283" s="19">
        <v>45200</v>
      </c>
      <c r="M283" s="19">
        <v>45200</v>
      </c>
      <c r="N283" s="12" t="s">
        <v>207</v>
      </c>
      <c r="O283" s="12" t="s">
        <v>146</v>
      </c>
      <c r="P283" s="12" t="s">
        <v>73</v>
      </c>
      <c r="Q283" s="2">
        <f t="shared" si="4"/>
        <v>1</v>
      </c>
    </row>
    <row r="284" spans="1:17" x14ac:dyDescent="0.25">
      <c r="A284" s="12" t="s">
        <v>905</v>
      </c>
      <c r="B284" s="12" t="s">
        <v>906</v>
      </c>
      <c r="C284" s="12" t="s">
        <v>30</v>
      </c>
      <c r="D284" s="12" t="s">
        <v>370</v>
      </c>
      <c r="E284" s="12" t="s">
        <v>212</v>
      </c>
      <c r="F284" s="12">
        <v>9.7799999999999994</v>
      </c>
      <c r="G284" s="12" t="s">
        <v>206</v>
      </c>
      <c r="H284" s="12">
        <v>100</v>
      </c>
      <c r="I284" s="12">
        <v>9.7799999999999994</v>
      </c>
      <c r="J284" s="12" t="s">
        <v>23</v>
      </c>
      <c r="K284" s="19">
        <v>45196</v>
      </c>
      <c r="L284" s="19">
        <v>45201</v>
      </c>
      <c r="M284" s="19">
        <v>45201</v>
      </c>
      <c r="N284" s="12" t="s">
        <v>238</v>
      </c>
      <c r="O284" s="12" t="s">
        <v>33</v>
      </c>
      <c r="P284" s="12" t="s">
        <v>34</v>
      </c>
      <c r="Q284" s="2">
        <f t="shared" si="4"/>
        <v>1</v>
      </c>
    </row>
    <row r="285" spans="1:17" x14ac:dyDescent="0.25">
      <c r="A285" s="12" t="s">
        <v>908</v>
      </c>
      <c r="B285" s="12" t="s">
        <v>909</v>
      </c>
      <c r="C285" s="12" t="s">
        <v>30</v>
      </c>
      <c r="D285" s="12" t="s">
        <v>154</v>
      </c>
      <c r="E285" s="12" t="s">
        <v>205</v>
      </c>
      <c r="F285" s="12">
        <v>12.7</v>
      </c>
      <c r="G285" s="12" t="s">
        <v>206</v>
      </c>
      <c r="H285" s="12">
        <v>80</v>
      </c>
      <c r="I285" s="12">
        <v>10.16</v>
      </c>
      <c r="J285" s="12" t="s">
        <v>23</v>
      </c>
      <c r="K285" s="19">
        <v>45197</v>
      </c>
      <c r="L285" s="19">
        <v>45202</v>
      </c>
      <c r="M285" s="19">
        <v>45202</v>
      </c>
      <c r="N285" s="12" t="s">
        <v>207</v>
      </c>
      <c r="O285" s="12" t="s">
        <v>46</v>
      </c>
      <c r="P285" s="12" t="s">
        <v>47</v>
      </c>
      <c r="Q285" s="2">
        <f t="shared" si="4"/>
        <v>1</v>
      </c>
    </row>
    <row r="286" spans="1:17" x14ac:dyDescent="0.25">
      <c r="A286" s="12" t="s">
        <v>910</v>
      </c>
      <c r="B286" s="12" t="s">
        <v>911</v>
      </c>
      <c r="C286" s="12" t="s">
        <v>30</v>
      </c>
      <c r="D286" s="12" t="s">
        <v>51</v>
      </c>
      <c r="E286" s="12" t="s">
        <v>205</v>
      </c>
      <c r="F286" s="12">
        <v>154.9</v>
      </c>
      <c r="G286" s="12" t="s">
        <v>206</v>
      </c>
      <c r="H286" s="12">
        <v>80</v>
      </c>
      <c r="I286" s="12">
        <v>123.92000000000002</v>
      </c>
      <c r="J286" s="12" t="s">
        <v>23</v>
      </c>
      <c r="K286" s="19">
        <v>45198</v>
      </c>
      <c r="L286" s="19">
        <v>45201</v>
      </c>
      <c r="M286" s="19">
        <v>45201</v>
      </c>
      <c r="N286" s="12" t="s">
        <v>213</v>
      </c>
      <c r="O286" s="12" t="s">
        <v>54</v>
      </c>
      <c r="P286" s="12" t="s">
        <v>26</v>
      </c>
      <c r="Q286" s="2">
        <f t="shared" si="4"/>
        <v>1</v>
      </c>
    </row>
    <row r="287" spans="1:17" x14ac:dyDescent="0.25">
      <c r="A287" s="12" t="s">
        <v>913</v>
      </c>
      <c r="B287" s="12" t="s">
        <v>914</v>
      </c>
      <c r="C287" s="12" t="s">
        <v>19</v>
      </c>
      <c r="D287" s="12" t="s">
        <v>230</v>
      </c>
      <c r="E287" s="12" t="s">
        <v>205</v>
      </c>
      <c r="F287" s="12">
        <v>359.976</v>
      </c>
      <c r="G287" s="12" t="s">
        <v>206</v>
      </c>
      <c r="H287" s="12">
        <v>80</v>
      </c>
      <c r="I287" s="12">
        <v>287.98079999999999</v>
      </c>
      <c r="J287" s="12" t="s">
        <v>23</v>
      </c>
      <c r="K287" s="19">
        <v>45199</v>
      </c>
      <c r="L287" s="19">
        <v>45200</v>
      </c>
      <c r="M287" s="19">
        <v>45200</v>
      </c>
      <c r="N287" s="12" t="s">
        <v>220</v>
      </c>
      <c r="O287" s="12" t="s">
        <v>33</v>
      </c>
      <c r="P287" s="12" t="s">
        <v>34</v>
      </c>
      <c r="Q287" s="2">
        <f t="shared" si="4"/>
        <v>1</v>
      </c>
    </row>
    <row r="288" spans="1:17" x14ac:dyDescent="0.25">
      <c r="A288" s="12" t="s">
        <v>916</v>
      </c>
      <c r="B288" s="12" t="s">
        <v>917</v>
      </c>
      <c r="C288" s="12" t="s">
        <v>30</v>
      </c>
      <c r="D288" s="12" t="s">
        <v>164</v>
      </c>
      <c r="E288" s="12" t="s">
        <v>212</v>
      </c>
      <c r="F288" s="12">
        <v>1126.02</v>
      </c>
      <c r="G288" s="12" t="s">
        <v>206</v>
      </c>
      <c r="H288" s="12">
        <v>100</v>
      </c>
      <c r="I288" s="12">
        <v>1126.02</v>
      </c>
      <c r="J288" s="12" t="s">
        <v>23</v>
      </c>
      <c r="K288" s="19">
        <v>45200</v>
      </c>
      <c r="L288" s="19">
        <v>45203</v>
      </c>
      <c r="M288" s="19">
        <v>45203</v>
      </c>
      <c r="N288" s="12" t="s">
        <v>213</v>
      </c>
      <c r="O288" s="12" t="s">
        <v>25</v>
      </c>
      <c r="P288" s="12" t="s">
        <v>26</v>
      </c>
      <c r="Q288" s="2">
        <f t="shared" si="4"/>
        <v>1</v>
      </c>
    </row>
    <row r="289" spans="1:17" x14ac:dyDescent="0.25">
      <c r="A289" s="12" t="s">
        <v>918</v>
      </c>
      <c r="B289" s="12" t="s">
        <v>919</v>
      </c>
      <c r="C289" s="12" t="s">
        <v>30</v>
      </c>
      <c r="D289" s="12" t="s">
        <v>324</v>
      </c>
      <c r="E289" s="12" t="s">
        <v>205</v>
      </c>
      <c r="F289" s="12">
        <v>6.48</v>
      </c>
      <c r="G289" s="12" t="s">
        <v>206</v>
      </c>
      <c r="H289" s="12">
        <v>80</v>
      </c>
      <c r="I289" s="12">
        <v>5.1840000000000011</v>
      </c>
      <c r="J289" s="12" t="s">
        <v>23</v>
      </c>
      <c r="K289" s="19">
        <v>45201</v>
      </c>
      <c r="L289" s="19">
        <v>45202</v>
      </c>
      <c r="M289" s="19">
        <v>45202</v>
      </c>
      <c r="N289" s="12" t="s">
        <v>248</v>
      </c>
      <c r="O289" s="12" t="s">
        <v>72</v>
      </c>
      <c r="P289" s="12" t="s">
        <v>73</v>
      </c>
      <c r="Q289" s="2">
        <f t="shared" si="4"/>
        <v>1</v>
      </c>
    </row>
    <row r="290" spans="1:17" x14ac:dyDescent="0.25">
      <c r="A290" s="12" t="s">
        <v>921</v>
      </c>
      <c r="B290" s="12" t="s">
        <v>922</v>
      </c>
      <c r="C290" s="12" t="s">
        <v>30</v>
      </c>
      <c r="D290" s="12" t="s">
        <v>58</v>
      </c>
      <c r="E290" s="12" t="s">
        <v>212</v>
      </c>
      <c r="F290" s="12">
        <v>37.74</v>
      </c>
      <c r="G290" s="12" t="s">
        <v>206</v>
      </c>
      <c r="H290" s="12">
        <v>100</v>
      </c>
      <c r="I290" s="12">
        <v>37.74</v>
      </c>
      <c r="J290" s="12" t="s">
        <v>23</v>
      </c>
      <c r="K290" s="19">
        <v>45203</v>
      </c>
      <c r="L290" s="19">
        <v>45206</v>
      </c>
      <c r="M290" s="19">
        <v>45206</v>
      </c>
      <c r="N290" s="12" t="s">
        <v>248</v>
      </c>
      <c r="O290" s="12" t="s">
        <v>40</v>
      </c>
      <c r="P290" s="12" t="s">
        <v>34</v>
      </c>
      <c r="Q290" s="2">
        <f t="shared" si="4"/>
        <v>1</v>
      </c>
    </row>
    <row r="291" spans="1:17" x14ac:dyDescent="0.25">
      <c r="A291" s="12" t="s">
        <v>924</v>
      </c>
      <c r="B291" s="12" t="s">
        <v>925</v>
      </c>
      <c r="C291" s="12" t="s">
        <v>30</v>
      </c>
      <c r="D291" s="12" t="s">
        <v>38</v>
      </c>
      <c r="E291" s="12" t="s">
        <v>212</v>
      </c>
      <c r="F291" s="12">
        <v>15.47</v>
      </c>
      <c r="G291" s="12" t="s">
        <v>206</v>
      </c>
      <c r="H291" s="12">
        <v>100</v>
      </c>
      <c r="I291" s="12">
        <v>15.47</v>
      </c>
      <c r="J291" s="12" t="s">
        <v>23</v>
      </c>
      <c r="K291" s="19">
        <v>45203</v>
      </c>
      <c r="L291" s="19">
        <v>45208</v>
      </c>
      <c r="M291" s="19">
        <v>45208</v>
      </c>
      <c r="N291" s="12" t="s">
        <v>238</v>
      </c>
      <c r="O291" s="12" t="s">
        <v>72</v>
      </c>
      <c r="P291" s="12" t="s">
        <v>73</v>
      </c>
      <c r="Q291" s="2">
        <f t="shared" si="4"/>
        <v>1</v>
      </c>
    </row>
    <row r="292" spans="1:17" x14ac:dyDescent="0.25">
      <c r="A292" s="12" t="s">
        <v>927</v>
      </c>
      <c r="B292" s="12" t="s">
        <v>928</v>
      </c>
      <c r="C292" s="12" t="s">
        <v>30</v>
      </c>
      <c r="D292" s="12" t="s">
        <v>62</v>
      </c>
      <c r="E292" s="12" t="s">
        <v>205</v>
      </c>
      <c r="F292" s="12">
        <v>107.982</v>
      </c>
      <c r="G292" s="12" t="s">
        <v>206</v>
      </c>
      <c r="H292" s="12">
        <v>80</v>
      </c>
      <c r="I292" s="12">
        <v>86.385600000000011</v>
      </c>
      <c r="J292" s="12" t="s">
        <v>23</v>
      </c>
      <c r="K292" s="19">
        <v>45203</v>
      </c>
      <c r="L292" s="19">
        <v>45207</v>
      </c>
      <c r="M292" s="19">
        <v>45207</v>
      </c>
      <c r="N292" s="12" t="s">
        <v>248</v>
      </c>
      <c r="O292" s="12" t="s">
        <v>146</v>
      </c>
      <c r="P292" s="12" t="s">
        <v>73</v>
      </c>
      <c r="Q292" s="2">
        <f t="shared" si="4"/>
        <v>1</v>
      </c>
    </row>
    <row r="293" spans="1:17" x14ac:dyDescent="0.25">
      <c r="A293" s="12" t="s">
        <v>930</v>
      </c>
      <c r="B293" s="12" t="s">
        <v>931</v>
      </c>
      <c r="C293" s="12" t="s">
        <v>30</v>
      </c>
      <c r="D293" s="12" t="s">
        <v>20</v>
      </c>
      <c r="E293" s="12" t="s">
        <v>205</v>
      </c>
      <c r="F293" s="12">
        <v>449.91</v>
      </c>
      <c r="G293" s="12" t="s">
        <v>206</v>
      </c>
      <c r="H293" s="12">
        <v>80</v>
      </c>
      <c r="I293" s="12">
        <v>359.92800000000005</v>
      </c>
      <c r="J293" s="12" t="s">
        <v>23</v>
      </c>
      <c r="K293" s="19">
        <v>45204</v>
      </c>
      <c r="L293" s="19">
        <v>45209</v>
      </c>
      <c r="M293" s="19">
        <v>45209</v>
      </c>
      <c r="N293" s="12" t="s">
        <v>213</v>
      </c>
      <c r="O293" s="12" t="s">
        <v>46</v>
      </c>
      <c r="P293" s="12" t="s">
        <v>47</v>
      </c>
      <c r="Q293" s="2">
        <f t="shared" si="4"/>
        <v>1</v>
      </c>
    </row>
    <row r="294" spans="1:17" x14ac:dyDescent="0.25">
      <c r="A294" s="12" t="s">
        <v>932</v>
      </c>
      <c r="B294" s="12" t="s">
        <v>933</v>
      </c>
      <c r="C294" s="12" t="s">
        <v>30</v>
      </c>
      <c r="D294" s="12" t="s">
        <v>164</v>
      </c>
      <c r="E294" s="12" t="s">
        <v>205</v>
      </c>
      <c r="F294" s="12">
        <v>5.1840000000000002</v>
      </c>
      <c r="G294" s="12" t="s">
        <v>206</v>
      </c>
      <c r="H294" s="12">
        <v>80</v>
      </c>
      <c r="I294" s="12">
        <v>4.1472000000000007</v>
      </c>
      <c r="J294" s="12" t="s">
        <v>23</v>
      </c>
      <c r="K294" s="19">
        <v>45207</v>
      </c>
      <c r="L294" s="19">
        <v>45210</v>
      </c>
      <c r="M294" s="19">
        <v>45210</v>
      </c>
      <c r="N294" s="12" t="s">
        <v>207</v>
      </c>
      <c r="O294" s="12" t="s">
        <v>72</v>
      </c>
      <c r="P294" s="12" t="s">
        <v>73</v>
      </c>
      <c r="Q294" s="2">
        <f t="shared" si="4"/>
        <v>1</v>
      </c>
    </row>
    <row r="295" spans="1:17" x14ac:dyDescent="0.25">
      <c r="A295" s="12" t="s">
        <v>935</v>
      </c>
      <c r="B295" s="12" t="s">
        <v>936</v>
      </c>
      <c r="C295" s="12" t="s">
        <v>19</v>
      </c>
      <c r="D295" s="12" t="s">
        <v>58</v>
      </c>
      <c r="E295" s="12" t="s">
        <v>21</v>
      </c>
      <c r="F295" s="12">
        <v>30.3919999999999</v>
      </c>
      <c r="G295" s="12" t="s">
        <v>22</v>
      </c>
      <c r="H295" s="12">
        <v>0</v>
      </c>
      <c r="I295" s="12">
        <v>0</v>
      </c>
      <c r="J295" s="12" t="s">
        <v>23</v>
      </c>
      <c r="K295" s="19">
        <v>45210</v>
      </c>
      <c r="L295" s="19">
        <v>45212</v>
      </c>
      <c r="M295" s="19">
        <v>45212</v>
      </c>
      <c r="N295" s="12" t="s">
        <v>32</v>
      </c>
      <c r="O295" s="12" t="s">
        <v>33</v>
      </c>
      <c r="P295" s="12" t="s">
        <v>34</v>
      </c>
      <c r="Q295" s="2">
        <f t="shared" si="4"/>
        <v>1</v>
      </c>
    </row>
    <row r="296" spans="1:17" x14ac:dyDescent="0.25">
      <c r="A296" s="12" t="s">
        <v>938</v>
      </c>
      <c r="B296" s="12" t="s">
        <v>939</v>
      </c>
      <c r="C296" s="12" t="s">
        <v>30</v>
      </c>
      <c r="D296" s="12" t="s">
        <v>370</v>
      </c>
      <c r="E296" s="12" t="s">
        <v>212</v>
      </c>
      <c r="F296" s="12">
        <v>240.78399999999999</v>
      </c>
      <c r="G296" s="12" t="s">
        <v>206</v>
      </c>
      <c r="H296" s="12">
        <v>100</v>
      </c>
      <c r="I296" s="12">
        <v>240.78399999999999</v>
      </c>
      <c r="J296" s="12" t="s">
        <v>23</v>
      </c>
      <c r="K296" s="19">
        <v>45214</v>
      </c>
      <c r="L296" s="19">
        <v>45219</v>
      </c>
      <c r="M296" s="19">
        <v>45219</v>
      </c>
      <c r="N296" s="12" t="s">
        <v>213</v>
      </c>
      <c r="O296" s="12" t="s">
        <v>54</v>
      </c>
      <c r="P296" s="12" t="s">
        <v>26</v>
      </c>
      <c r="Q296" s="2">
        <f t="shared" si="4"/>
        <v>1</v>
      </c>
    </row>
    <row r="297" spans="1:17" x14ac:dyDescent="0.25">
      <c r="A297" s="12" t="s">
        <v>941</v>
      </c>
      <c r="B297" s="12" t="s">
        <v>942</v>
      </c>
      <c r="C297" s="12" t="s">
        <v>19</v>
      </c>
      <c r="D297" s="12" t="s">
        <v>96</v>
      </c>
      <c r="E297" s="12" t="s">
        <v>212</v>
      </c>
      <c r="F297" s="12">
        <v>227.46</v>
      </c>
      <c r="G297" s="12" t="s">
        <v>206</v>
      </c>
      <c r="H297" s="12">
        <v>100</v>
      </c>
      <c r="I297" s="12">
        <v>227.46</v>
      </c>
      <c r="J297" s="12" t="s">
        <v>23</v>
      </c>
      <c r="K297" s="19">
        <v>45214</v>
      </c>
      <c r="L297" s="19">
        <v>45218</v>
      </c>
      <c r="M297" s="19">
        <v>45218</v>
      </c>
      <c r="N297" s="12" t="s">
        <v>248</v>
      </c>
      <c r="O297" s="12" t="s">
        <v>146</v>
      </c>
      <c r="P297" s="12" t="s">
        <v>73</v>
      </c>
      <c r="Q297" s="2">
        <f t="shared" si="4"/>
        <v>1</v>
      </c>
    </row>
    <row r="298" spans="1:17" x14ac:dyDescent="0.25">
      <c r="A298" s="12" t="s">
        <v>944</v>
      </c>
      <c r="B298" s="12" t="s">
        <v>945</v>
      </c>
      <c r="C298" s="12" t="s">
        <v>30</v>
      </c>
      <c r="D298" s="12" t="s">
        <v>77</v>
      </c>
      <c r="E298" s="12" t="s">
        <v>21</v>
      </c>
      <c r="F298" s="12">
        <v>436.96000000000004</v>
      </c>
      <c r="G298" s="12" t="s">
        <v>22</v>
      </c>
      <c r="H298" s="12">
        <v>0</v>
      </c>
      <c r="I298" s="12">
        <v>0</v>
      </c>
      <c r="J298" s="12" t="s">
        <v>23</v>
      </c>
      <c r="K298" s="19">
        <v>45217</v>
      </c>
      <c r="L298" s="19">
        <v>45220</v>
      </c>
      <c r="M298" s="19">
        <v>45220</v>
      </c>
      <c r="N298" s="12" t="s">
        <v>39</v>
      </c>
      <c r="O298" s="12" t="s">
        <v>72</v>
      </c>
      <c r="P298" s="12" t="s">
        <v>73</v>
      </c>
      <c r="Q298" s="2">
        <f t="shared" si="4"/>
        <v>1</v>
      </c>
    </row>
    <row r="299" spans="1:17" x14ac:dyDescent="0.25">
      <c r="A299" s="12" t="s">
        <v>947</v>
      </c>
      <c r="B299" s="12" t="s">
        <v>948</v>
      </c>
      <c r="C299" s="12" t="s">
        <v>19</v>
      </c>
      <c r="D299" s="12" t="s">
        <v>51</v>
      </c>
      <c r="E299" s="12" t="s">
        <v>205</v>
      </c>
      <c r="F299" s="12">
        <v>10.71</v>
      </c>
      <c r="G299" s="12" t="s">
        <v>206</v>
      </c>
      <c r="H299" s="12">
        <v>80</v>
      </c>
      <c r="I299" s="12">
        <v>8.5680000000000014</v>
      </c>
      <c r="J299" s="12" t="s">
        <v>23</v>
      </c>
      <c r="K299" s="19">
        <v>45218</v>
      </c>
      <c r="L299" s="19">
        <v>45222</v>
      </c>
      <c r="M299" s="19">
        <v>45222</v>
      </c>
      <c r="N299" s="12" t="s">
        <v>234</v>
      </c>
      <c r="O299" s="12" t="s">
        <v>25</v>
      </c>
      <c r="P299" s="12" t="s">
        <v>26</v>
      </c>
      <c r="Q299" s="2">
        <f t="shared" si="4"/>
        <v>1</v>
      </c>
    </row>
    <row r="300" spans="1:17" x14ac:dyDescent="0.25">
      <c r="A300" s="12" t="s">
        <v>950</v>
      </c>
      <c r="B300" s="12" t="s">
        <v>951</v>
      </c>
      <c r="C300" s="12" t="s">
        <v>30</v>
      </c>
      <c r="D300" s="12" t="s">
        <v>81</v>
      </c>
      <c r="E300" s="12" t="s">
        <v>212</v>
      </c>
      <c r="F300" s="12">
        <v>9.82</v>
      </c>
      <c r="G300" s="12" t="s">
        <v>206</v>
      </c>
      <c r="H300" s="12">
        <v>100</v>
      </c>
      <c r="I300" s="12">
        <v>9.82</v>
      </c>
      <c r="J300" s="12" t="s">
        <v>23</v>
      </c>
      <c r="K300" s="19">
        <v>45220</v>
      </c>
      <c r="L300" s="19">
        <v>45223</v>
      </c>
      <c r="M300" s="19">
        <v>45223</v>
      </c>
      <c r="N300" s="12" t="s">
        <v>248</v>
      </c>
      <c r="O300" s="12" t="s">
        <v>46</v>
      </c>
      <c r="P300" s="12" t="s">
        <v>47</v>
      </c>
      <c r="Q300" s="2">
        <f t="shared" si="4"/>
        <v>1</v>
      </c>
    </row>
    <row r="301" spans="1:17" x14ac:dyDescent="0.25">
      <c r="A301" s="12" t="s">
        <v>953</v>
      </c>
      <c r="B301" s="12" t="s">
        <v>954</v>
      </c>
      <c r="C301" s="12" t="s">
        <v>19</v>
      </c>
      <c r="D301" s="12" t="s">
        <v>86</v>
      </c>
      <c r="E301" s="12" t="s">
        <v>205</v>
      </c>
      <c r="F301" s="12">
        <v>11.22</v>
      </c>
      <c r="G301" s="12" t="s">
        <v>206</v>
      </c>
      <c r="H301" s="12">
        <v>80</v>
      </c>
      <c r="I301" s="12">
        <v>8.9760000000000009</v>
      </c>
      <c r="J301" s="12" t="s">
        <v>23</v>
      </c>
      <c r="K301" s="19">
        <v>45220</v>
      </c>
      <c r="L301" s="19">
        <v>45225</v>
      </c>
      <c r="M301" s="19">
        <v>45225</v>
      </c>
      <c r="N301" s="12" t="s">
        <v>234</v>
      </c>
      <c r="O301" s="12" t="s">
        <v>82</v>
      </c>
      <c r="P301" s="12" t="s">
        <v>47</v>
      </c>
      <c r="Q301" s="2">
        <f t="shared" si="4"/>
        <v>1</v>
      </c>
    </row>
    <row r="302" spans="1:17" x14ac:dyDescent="0.25">
      <c r="A302" s="12" t="s">
        <v>956</v>
      </c>
      <c r="B302" s="12" t="s">
        <v>957</v>
      </c>
      <c r="C302" s="12" t="s">
        <v>30</v>
      </c>
      <c r="D302" s="12" t="s">
        <v>126</v>
      </c>
      <c r="E302" s="12" t="s">
        <v>212</v>
      </c>
      <c r="F302" s="12">
        <v>356.79</v>
      </c>
      <c r="G302" s="12" t="s">
        <v>206</v>
      </c>
      <c r="H302" s="12">
        <v>100</v>
      </c>
      <c r="I302" s="12">
        <v>356.79</v>
      </c>
      <c r="J302" s="12" t="s">
        <v>23</v>
      </c>
      <c r="K302" s="19">
        <v>45222</v>
      </c>
      <c r="L302" s="19">
        <v>45224</v>
      </c>
      <c r="M302" s="19">
        <v>45224</v>
      </c>
      <c r="N302" s="12" t="s">
        <v>248</v>
      </c>
      <c r="O302" s="12" t="s">
        <v>146</v>
      </c>
      <c r="P302" s="12" t="s">
        <v>73</v>
      </c>
      <c r="Q302" s="2">
        <f t="shared" si="4"/>
        <v>1</v>
      </c>
    </row>
    <row r="303" spans="1:17" x14ac:dyDescent="0.25">
      <c r="A303" s="12" t="s">
        <v>959</v>
      </c>
      <c r="B303" s="12" t="s">
        <v>960</v>
      </c>
      <c r="C303" s="12" t="s">
        <v>30</v>
      </c>
      <c r="D303" s="12" t="s">
        <v>31</v>
      </c>
      <c r="E303" s="12" t="s">
        <v>212</v>
      </c>
      <c r="F303" s="12">
        <v>103.5</v>
      </c>
      <c r="G303" s="12" t="s">
        <v>206</v>
      </c>
      <c r="H303" s="12">
        <v>100</v>
      </c>
      <c r="I303" s="12">
        <v>103.5</v>
      </c>
      <c r="J303" s="12" t="s">
        <v>23</v>
      </c>
      <c r="K303" s="19">
        <v>45224</v>
      </c>
      <c r="L303" s="19">
        <v>45231</v>
      </c>
      <c r="M303" s="19">
        <v>45231</v>
      </c>
      <c r="N303" s="12" t="s">
        <v>207</v>
      </c>
      <c r="O303" s="12" t="s">
        <v>72</v>
      </c>
      <c r="P303" s="12" t="s">
        <v>73</v>
      </c>
      <c r="Q303" s="2">
        <f t="shared" si="4"/>
        <v>1</v>
      </c>
    </row>
    <row r="304" spans="1:17" x14ac:dyDescent="0.25">
      <c r="A304" s="12" t="s">
        <v>962</v>
      </c>
      <c r="B304" s="12" t="s">
        <v>963</v>
      </c>
      <c r="C304" s="12" t="s">
        <v>19</v>
      </c>
      <c r="D304" s="12" t="s">
        <v>230</v>
      </c>
      <c r="E304" s="12" t="s">
        <v>205</v>
      </c>
      <c r="F304" s="12">
        <v>29.6</v>
      </c>
      <c r="G304" s="12" t="s">
        <v>206</v>
      </c>
      <c r="H304" s="12">
        <v>80</v>
      </c>
      <c r="I304" s="12">
        <v>23.680000000000003</v>
      </c>
      <c r="J304" s="12" t="s">
        <v>23</v>
      </c>
      <c r="K304" s="19">
        <v>45224</v>
      </c>
      <c r="L304" s="19">
        <v>45228</v>
      </c>
      <c r="M304" s="19">
        <v>45228</v>
      </c>
      <c r="N304" s="12" t="s">
        <v>248</v>
      </c>
      <c r="O304" s="12" t="s">
        <v>33</v>
      </c>
      <c r="P304" s="12" t="s">
        <v>34</v>
      </c>
      <c r="Q304" s="2">
        <f t="shared" si="4"/>
        <v>1</v>
      </c>
    </row>
    <row r="305" spans="1:17" x14ac:dyDescent="0.25">
      <c r="A305" s="12" t="s">
        <v>965</v>
      </c>
      <c r="B305" s="12" t="s">
        <v>966</v>
      </c>
      <c r="C305" s="12" t="s">
        <v>19</v>
      </c>
      <c r="D305" s="12" t="s">
        <v>44</v>
      </c>
      <c r="E305" s="12" t="s">
        <v>212</v>
      </c>
      <c r="F305" s="12">
        <v>99.98</v>
      </c>
      <c r="G305" s="12" t="s">
        <v>206</v>
      </c>
      <c r="H305" s="12">
        <v>100</v>
      </c>
      <c r="I305" s="12">
        <v>99.98</v>
      </c>
      <c r="J305" s="12" t="s">
        <v>23</v>
      </c>
      <c r="K305" s="19">
        <v>45225</v>
      </c>
      <c r="L305" s="19">
        <v>45228</v>
      </c>
      <c r="M305" s="19">
        <v>45228</v>
      </c>
      <c r="N305" s="12" t="s">
        <v>220</v>
      </c>
      <c r="O305" s="12" t="s">
        <v>97</v>
      </c>
      <c r="P305" s="12" t="s">
        <v>68</v>
      </c>
      <c r="Q305" s="2">
        <f t="shared" si="4"/>
        <v>1</v>
      </c>
    </row>
    <row r="306" spans="1:17" x14ac:dyDescent="0.25">
      <c r="A306" s="12" t="s">
        <v>968</v>
      </c>
      <c r="B306" s="12" t="s">
        <v>969</v>
      </c>
      <c r="C306" s="12" t="s">
        <v>30</v>
      </c>
      <c r="D306" s="12" t="s">
        <v>31</v>
      </c>
      <c r="E306" s="12" t="s">
        <v>205</v>
      </c>
      <c r="F306" s="12">
        <v>6.6959999999999997</v>
      </c>
      <c r="G306" s="12" t="s">
        <v>206</v>
      </c>
      <c r="H306" s="12">
        <v>80</v>
      </c>
      <c r="I306" s="12">
        <v>5.3567999999999998</v>
      </c>
      <c r="J306" s="12" t="s">
        <v>23</v>
      </c>
      <c r="K306" s="19">
        <v>45228</v>
      </c>
      <c r="L306" s="19">
        <v>45232</v>
      </c>
      <c r="M306" s="19">
        <v>45232</v>
      </c>
      <c r="N306" s="12" t="s">
        <v>238</v>
      </c>
      <c r="O306" s="12" t="s">
        <v>82</v>
      </c>
      <c r="P306" s="12" t="s">
        <v>47</v>
      </c>
      <c r="Q306" s="2">
        <f t="shared" si="4"/>
        <v>1</v>
      </c>
    </row>
    <row r="307" spans="1:17" x14ac:dyDescent="0.25">
      <c r="A307" s="12" t="s">
        <v>971</v>
      </c>
      <c r="B307" s="12" t="s">
        <v>972</v>
      </c>
      <c r="C307" s="12" t="s">
        <v>30</v>
      </c>
      <c r="D307" s="12" t="s">
        <v>154</v>
      </c>
      <c r="E307" s="12" t="s">
        <v>205</v>
      </c>
      <c r="F307" s="12">
        <v>171.2</v>
      </c>
      <c r="G307" s="12" t="s">
        <v>206</v>
      </c>
      <c r="H307" s="12">
        <v>80</v>
      </c>
      <c r="I307" s="12">
        <v>136.96</v>
      </c>
      <c r="J307" s="12" t="s">
        <v>23</v>
      </c>
      <c r="K307" s="19">
        <v>45228</v>
      </c>
      <c r="L307" s="19">
        <v>45233</v>
      </c>
      <c r="M307" s="19">
        <v>45233</v>
      </c>
      <c r="N307" s="12" t="s">
        <v>220</v>
      </c>
      <c r="O307" s="12" t="s">
        <v>33</v>
      </c>
      <c r="P307" s="12" t="s">
        <v>34</v>
      </c>
      <c r="Q307" s="2">
        <f t="shared" si="4"/>
        <v>1</v>
      </c>
    </row>
    <row r="308" spans="1:17" x14ac:dyDescent="0.25">
      <c r="A308" s="12" t="s">
        <v>974</v>
      </c>
      <c r="B308" s="12" t="s">
        <v>975</v>
      </c>
      <c r="C308" s="12" t="s">
        <v>30</v>
      </c>
      <c r="D308" s="12" t="s">
        <v>31</v>
      </c>
      <c r="E308" s="12" t="s">
        <v>205</v>
      </c>
      <c r="F308" s="12">
        <v>299.89999999999998</v>
      </c>
      <c r="G308" s="12" t="s">
        <v>206</v>
      </c>
      <c r="H308" s="12">
        <v>80</v>
      </c>
      <c r="I308" s="12">
        <v>239.92</v>
      </c>
      <c r="J308" s="12" t="s">
        <v>23</v>
      </c>
      <c r="K308" s="19">
        <v>45231</v>
      </c>
      <c r="L308" s="19">
        <v>45235</v>
      </c>
      <c r="M308" s="19">
        <v>45235</v>
      </c>
      <c r="N308" s="12" t="s">
        <v>213</v>
      </c>
      <c r="O308" s="12" t="s">
        <v>146</v>
      </c>
      <c r="P308" s="12" t="s">
        <v>73</v>
      </c>
      <c r="Q308" s="2">
        <f t="shared" si="4"/>
        <v>1</v>
      </c>
    </row>
    <row r="309" spans="1:17" x14ac:dyDescent="0.25">
      <c r="A309" s="12" t="s">
        <v>977</v>
      </c>
      <c r="B309" s="12" t="s">
        <v>978</v>
      </c>
      <c r="C309" s="12" t="s">
        <v>19</v>
      </c>
      <c r="D309" s="12" t="s">
        <v>324</v>
      </c>
      <c r="E309" s="12" t="s">
        <v>205</v>
      </c>
      <c r="F309" s="12">
        <v>214.95</v>
      </c>
      <c r="G309" s="12" t="s">
        <v>206</v>
      </c>
      <c r="H309" s="12">
        <v>80</v>
      </c>
      <c r="I309" s="12">
        <v>171.96</v>
      </c>
      <c r="J309" s="12" t="s">
        <v>23</v>
      </c>
      <c r="K309" s="19">
        <v>45232</v>
      </c>
      <c r="L309" s="19">
        <v>45235</v>
      </c>
      <c r="M309" s="19">
        <v>45235</v>
      </c>
      <c r="N309" s="12" t="s">
        <v>248</v>
      </c>
      <c r="O309" s="12" t="s">
        <v>97</v>
      </c>
      <c r="P309" s="12" t="s">
        <v>68</v>
      </c>
      <c r="Q309" s="2">
        <f t="shared" si="4"/>
        <v>1</v>
      </c>
    </row>
    <row r="310" spans="1:17" x14ac:dyDescent="0.25">
      <c r="A310" s="12" t="s">
        <v>980</v>
      </c>
      <c r="B310" s="12" t="s">
        <v>981</v>
      </c>
      <c r="C310" s="12" t="s">
        <v>30</v>
      </c>
      <c r="D310" s="12" t="s">
        <v>211</v>
      </c>
      <c r="E310" s="12" t="s">
        <v>205</v>
      </c>
      <c r="F310" s="12">
        <v>13.7759999999999</v>
      </c>
      <c r="G310" s="12" t="s">
        <v>206</v>
      </c>
      <c r="H310" s="12">
        <v>80</v>
      </c>
      <c r="I310" s="12">
        <v>11.020799999999921</v>
      </c>
      <c r="J310" s="12" t="s">
        <v>23</v>
      </c>
      <c r="K310" s="19">
        <v>45232</v>
      </c>
      <c r="L310" s="19">
        <v>45238</v>
      </c>
      <c r="M310" s="19">
        <v>45238</v>
      </c>
      <c r="N310" s="12" t="s">
        <v>234</v>
      </c>
      <c r="O310" s="12" t="s">
        <v>33</v>
      </c>
      <c r="P310" s="12" t="s">
        <v>34</v>
      </c>
      <c r="Q310" s="2">
        <f t="shared" si="4"/>
        <v>1</v>
      </c>
    </row>
    <row r="311" spans="1:17" x14ac:dyDescent="0.25">
      <c r="A311" s="12" t="s">
        <v>983</v>
      </c>
      <c r="B311" s="12" t="s">
        <v>984</v>
      </c>
      <c r="C311" s="12" t="s">
        <v>19</v>
      </c>
      <c r="D311" s="12" t="s">
        <v>81</v>
      </c>
      <c r="E311" s="12" t="s">
        <v>212</v>
      </c>
      <c r="F311" s="12">
        <v>82.524000000000001</v>
      </c>
      <c r="G311" s="12" t="s">
        <v>206</v>
      </c>
      <c r="H311" s="12">
        <v>100</v>
      </c>
      <c r="I311" s="12">
        <v>82.524000000000001</v>
      </c>
      <c r="J311" s="12" t="s">
        <v>23</v>
      </c>
      <c r="K311" s="19">
        <v>45236</v>
      </c>
      <c r="L311" s="19">
        <v>45240</v>
      </c>
      <c r="M311" s="19">
        <v>45240</v>
      </c>
      <c r="N311" s="12" t="s">
        <v>213</v>
      </c>
      <c r="O311" s="12" t="s">
        <v>146</v>
      </c>
      <c r="P311" s="12" t="s">
        <v>73</v>
      </c>
      <c r="Q311" s="2">
        <f t="shared" si="4"/>
        <v>1</v>
      </c>
    </row>
    <row r="312" spans="1:17" x14ac:dyDescent="0.25">
      <c r="A312" s="12" t="s">
        <v>986</v>
      </c>
      <c r="B312" s="12" t="s">
        <v>987</v>
      </c>
      <c r="C312" s="12" t="s">
        <v>19</v>
      </c>
      <c r="D312" s="12" t="s">
        <v>105</v>
      </c>
      <c r="E312" s="12" t="s">
        <v>21</v>
      </c>
      <c r="F312" s="12">
        <v>1120.73</v>
      </c>
      <c r="G312" s="12" t="s">
        <v>22</v>
      </c>
      <c r="H312" s="12">
        <v>0</v>
      </c>
      <c r="I312" s="12">
        <v>0</v>
      </c>
      <c r="J312" s="12" t="s">
        <v>23</v>
      </c>
      <c r="K312" s="19">
        <v>45236</v>
      </c>
      <c r="L312" s="19">
        <v>45238</v>
      </c>
      <c r="M312" s="19">
        <v>45238</v>
      </c>
      <c r="N312" s="12" t="s">
        <v>53</v>
      </c>
      <c r="O312" s="12" t="s">
        <v>146</v>
      </c>
      <c r="P312" s="12" t="s">
        <v>73</v>
      </c>
      <c r="Q312" s="2">
        <f t="shared" si="4"/>
        <v>1</v>
      </c>
    </row>
    <row r="313" spans="1:17" x14ac:dyDescent="0.25">
      <c r="A313" s="12" t="s">
        <v>989</v>
      </c>
      <c r="B313" s="12" t="s">
        <v>990</v>
      </c>
      <c r="C313" s="12" t="s">
        <v>30</v>
      </c>
      <c r="D313" s="12" t="s">
        <v>186</v>
      </c>
      <c r="E313" s="12" t="s">
        <v>205</v>
      </c>
      <c r="F313" s="12">
        <v>22.14</v>
      </c>
      <c r="G313" s="12" t="s">
        <v>206</v>
      </c>
      <c r="H313" s="12">
        <v>80</v>
      </c>
      <c r="I313" s="12">
        <v>17.712</v>
      </c>
      <c r="J313" s="12" t="s">
        <v>23</v>
      </c>
      <c r="K313" s="19">
        <v>45237</v>
      </c>
      <c r="L313" s="19">
        <v>45241</v>
      </c>
      <c r="M313" s="19">
        <v>45241</v>
      </c>
      <c r="N313" s="12" t="s">
        <v>234</v>
      </c>
      <c r="O313" s="12" t="s">
        <v>146</v>
      </c>
      <c r="P313" s="12" t="s">
        <v>73</v>
      </c>
      <c r="Q313" s="2">
        <f t="shared" si="4"/>
        <v>1</v>
      </c>
    </row>
    <row r="314" spans="1:17" x14ac:dyDescent="0.25">
      <c r="A314" s="12" t="s">
        <v>992</v>
      </c>
      <c r="B314" s="12" t="s">
        <v>993</v>
      </c>
      <c r="C314" s="12" t="s">
        <v>30</v>
      </c>
      <c r="D314" s="12" t="s">
        <v>81</v>
      </c>
      <c r="E314" s="12" t="s">
        <v>994</v>
      </c>
      <c r="F314" s="12">
        <v>29.52</v>
      </c>
      <c r="G314" s="12" t="s">
        <v>995</v>
      </c>
      <c r="H314" s="12">
        <v>15</v>
      </c>
      <c r="I314" s="12">
        <v>4.4279999999999999</v>
      </c>
      <c r="J314" s="12" t="s">
        <v>23</v>
      </c>
      <c r="K314" s="19">
        <v>45238</v>
      </c>
      <c r="L314" s="19">
        <v>45244</v>
      </c>
      <c r="M314" s="19"/>
      <c r="N314" s="12"/>
      <c r="O314" s="12" t="s">
        <v>82</v>
      </c>
      <c r="P314" s="12" t="s">
        <v>47</v>
      </c>
      <c r="Q314" s="2">
        <f t="shared" si="4"/>
        <v>1</v>
      </c>
    </row>
    <row r="315" spans="1:17" x14ac:dyDescent="0.25">
      <c r="A315" s="12" t="s">
        <v>997</v>
      </c>
      <c r="B315" s="12" t="s">
        <v>998</v>
      </c>
      <c r="C315" s="12" t="s">
        <v>30</v>
      </c>
      <c r="D315" s="12" t="s">
        <v>126</v>
      </c>
      <c r="E315" s="12" t="s">
        <v>212</v>
      </c>
      <c r="F315" s="12">
        <v>56.28</v>
      </c>
      <c r="G315" s="12" t="s">
        <v>206</v>
      </c>
      <c r="H315" s="12">
        <v>100</v>
      </c>
      <c r="I315" s="12">
        <v>56.28</v>
      </c>
      <c r="J315" s="12" t="s">
        <v>23</v>
      </c>
      <c r="K315" s="19">
        <v>45238</v>
      </c>
      <c r="L315" s="19">
        <v>45243</v>
      </c>
      <c r="M315" s="19">
        <v>45243</v>
      </c>
      <c r="N315" s="12" t="s">
        <v>220</v>
      </c>
      <c r="O315" s="12" t="s">
        <v>72</v>
      </c>
      <c r="P315" s="12" t="s">
        <v>73</v>
      </c>
      <c r="Q315" s="2">
        <f t="shared" si="4"/>
        <v>1</v>
      </c>
    </row>
    <row r="316" spans="1:17" x14ac:dyDescent="0.25">
      <c r="A316" s="12" t="s">
        <v>1000</v>
      </c>
      <c r="B316" s="12" t="s">
        <v>1001</v>
      </c>
      <c r="C316" s="12" t="s">
        <v>30</v>
      </c>
      <c r="D316" s="12" t="s">
        <v>51</v>
      </c>
      <c r="E316" s="12" t="s">
        <v>1002</v>
      </c>
      <c r="F316" s="12">
        <v>13.272</v>
      </c>
      <c r="G316" s="12" t="s">
        <v>995</v>
      </c>
      <c r="H316" s="12">
        <v>40</v>
      </c>
      <c r="I316" s="12">
        <v>5.3088000000000006</v>
      </c>
      <c r="J316" s="12" t="s">
        <v>23</v>
      </c>
      <c r="K316" s="19">
        <v>45238</v>
      </c>
      <c r="L316" s="19">
        <v>45243</v>
      </c>
      <c r="M316" s="19"/>
      <c r="N316" s="12"/>
      <c r="O316" s="12" t="s">
        <v>33</v>
      </c>
      <c r="P316" s="12" t="s">
        <v>34</v>
      </c>
      <c r="Q316" s="2">
        <f t="shared" si="4"/>
        <v>1</v>
      </c>
    </row>
    <row r="317" spans="1:17" x14ac:dyDescent="0.25">
      <c r="A317" s="12" t="s">
        <v>1004</v>
      </c>
      <c r="B317" s="12" t="s">
        <v>1005</v>
      </c>
      <c r="C317" s="12" t="s">
        <v>19</v>
      </c>
      <c r="D317" s="12" t="s">
        <v>345</v>
      </c>
      <c r="E317" s="12" t="s">
        <v>1006</v>
      </c>
      <c r="F317" s="12">
        <v>9.1839999999999993</v>
      </c>
      <c r="G317" s="12" t="s">
        <v>995</v>
      </c>
      <c r="H317" s="12">
        <v>0</v>
      </c>
      <c r="I317" s="12">
        <v>0</v>
      </c>
      <c r="J317" s="12" t="s">
        <v>23</v>
      </c>
      <c r="K317" s="19">
        <v>45241</v>
      </c>
      <c r="L317" s="19">
        <v>45246</v>
      </c>
      <c r="M317" s="19"/>
      <c r="N317" s="12"/>
      <c r="O317" s="12" t="s">
        <v>72</v>
      </c>
      <c r="P317" s="12" t="s">
        <v>73</v>
      </c>
      <c r="Q317" s="2">
        <f t="shared" si="4"/>
        <v>1</v>
      </c>
    </row>
    <row r="318" spans="1:17" x14ac:dyDescent="0.25">
      <c r="A318" s="12" t="s">
        <v>1008</v>
      </c>
      <c r="B318" s="12" t="s">
        <v>1009</v>
      </c>
      <c r="C318" s="12" t="s">
        <v>19</v>
      </c>
      <c r="D318" s="12" t="s">
        <v>230</v>
      </c>
      <c r="E318" s="12" t="s">
        <v>1002</v>
      </c>
      <c r="F318" s="12">
        <v>144.78399999999999</v>
      </c>
      <c r="G318" s="12" t="s">
        <v>995</v>
      </c>
      <c r="H318" s="12">
        <v>40</v>
      </c>
      <c r="I318" s="12">
        <v>57.913600000000002</v>
      </c>
      <c r="J318" s="12" t="s">
        <v>23</v>
      </c>
      <c r="K318" s="19">
        <v>45244</v>
      </c>
      <c r="L318" s="19">
        <v>45248</v>
      </c>
      <c r="M318" s="19"/>
      <c r="N318" s="12"/>
      <c r="O318" s="12" t="s">
        <v>72</v>
      </c>
      <c r="P318" s="12" t="s">
        <v>73</v>
      </c>
      <c r="Q318" s="2">
        <f t="shared" si="4"/>
        <v>1</v>
      </c>
    </row>
    <row r="319" spans="1:17" x14ac:dyDescent="0.25">
      <c r="A319" s="12" t="s">
        <v>1011</v>
      </c>
      <c r="B319" s="12" t="s">
        <v>1012</v>
      </c>
      <c r="C319" s="12" t="s">
        <v>30</v>
      </c>
      <c r="D319" s="12" t="s">
        <v>154</v>
      </c>
      <c r="E319" s="12" t="s">
        <v>994</v>
      </c>
      <c r="F319" s="12">
        <v>40.08</v>
      </c>
      <c r="G319" s="12" t="s">
        <v>995</v>
      </c>
      <c r="H319" s="12">
        <v>40</v>
      </c>
      <c r="I319" s="12">
        <v>16.032</v>
      </c>
      <c r="J319" s="12" t="s">
        <v>23</v>
      </c>
      <c r="K319" s="19">
        <v>45244</v>
      </c>
      <c r="L319" s="19">
        <v>45248</v>
      </c>
      <c r="M319" s="19"/>
      <c r="N319" s="12"/>
      <c r="O319" s="12" t="s">
        <v>82</v>
      </c>
      <c r="P319" s="12" t="s">
        <v>47</v>
      </c>
      <c r="Q319" s="2">
        <f t="shared" si="4"/>
        <v>1</v>
      </c>
    </row>
    <row r="320" spans="1:17" x14ac:dyDescent="0.25">
      <c r="A320" s="12" t="s">
        <v>1014</v>
      </c>
      <c r="B320" s="12" t="s">
        <v>1015</v>
      </c>
      <c r="C320" s="12" t="s">
        <v>30</v>
      </c>
      <c r="D320" s="12" t="s">
        <v>31</v>
      </c>
      <c r="E320" s="12" t="s">
        <v>994</v>
      </c>
      <c r="F320" s="12">
        <v>273.56799999999998</v>
      </c>
      <c r="G320" s="12" t="s">
        <v>995</v>
      </c>
      <c r="H320" s="12">
        <v>15</v>
      </c>
      <c r="I320" s="12">
        <v>41.035199999999996</v>
      </c>
      <c r="J320" s="12" t="s">
        <v>23</v>
      </c>
      <c r="K320" s="19">
        <v>45245</v>
      </c>
      <c r="L320" s="19">
        <v>45249</v>
      </c>
      <c r="M320" s="19"/>
      <c r="N320" s="12"/>
      <c r="O320" s="12" t="s">
        <v>82</v>
      </c>
      <c r="P320" s="12" t="s">
        <v>47</v>
      </c>
      <c r="Q320" s="2">
        <f t="shared" si="4"/>
        <v>1</v>
      </c>
    </row>
    <row r="321" spans="1:17" x14ac:dyDescent="0.25">
      <c r="A321" s="12" t="s">
        <v>1016</v>
      </c>
      <c r="B321" s="12" t="s">
        <v>1017</v>
      </c>
      <c r="C321" s="12" t="s">
        <v>19</v>
      </c>
      <c r="D321" s="12" t="s">
        <v>44</v>
      </c>
      <c r="E321" s="12" t="s">
        <v>994</v>
      </c>
      <c r="F321" s="12">
        <v>397.6</v>
      </c>
      <c r="G321" s="12" t="s">
        <v>995</v>
      </c>
      <c r="H321" s="12">
        <v>15</v>
      </c>
      <c r="I321" s="12">
        <v>59.64</v>
      </c>
      <c r="J321" s="12" t="s">
        <v>23</v>
      </c>
      <c r="K321" s="19">
        <v>45245</v>
      </c>
      <c r="L321" s="19">
        <v>45249</v>
      </c>
      <c r="M321" s="19"/>
      <c r="N321" s="12"/>
      <c r="O321" s="12" t="s">
        <v>40</v>
      </c>
      <c r="P321" s="12" t="s">
        <v>34</v>
      </c>
      <c r="Q321" s="2">
        <f t="shared" si="4"/>
        <v>1</v>
      </c>
    </row>
    <row r="322" spans="1:17" x14ac:dyDescent="0.25">
      <c r="A322" s="12" t="s">
        <v>1019</v>
      </c>
      <c r="B322" s="12" t="s">
        <v>1020</v>
      </c>
      <c r="C322" s="12" t="s">
        <v>19</v>
      </c>
      <c r="D322" s="12" t="s">
        <v>62</v>
      </c>
      <c r="E322" s="12" t="s">
        <v>1002</v>
      </c>
      <c r="F322" s="12">
        <v>6.8479999999999999</v>
      </c>
      <c r="G322" s="12" t="s">
        <v>995</v>
      </c>
      <c r="H322" s="12">
        <v>40</v>
      </c>
      <c r="I322" s="12">
        <v>2.7392000000000003</v>
      </c>
      <c r="J322" s="12" t="s">
        <v>23</v>
      </c>
      <c r="K322" s="19">
        <v>45245</v>
      </c>
      <c r="L322" s="19">
        <v>45246</v>
      </c>
      <c r="M322" s="19"/>
      <c r="N322" s="12"/>
      <c r="O322" s="12" t="s">
        <v>97</v>
      </c>
      <c r="P322" s="12" t="s">
        <v>68</v>
      </c>
      <c r="Q322" s="2">
        <f t="shared" ref="Q322:Q385" si="5">COUNTIF($A$2:$A$1778,A322)</f>
        <v>1</v>
      </c>
    </row>
    <row r="323" spans="1:17" x14ac:dyDescent="0.25">
      <c r="A323" s="12" t="s">
        <v>1022</v>
      </c>
      <c r="B323" s="12" t="s">
        <v>1023</v>
      </c>
      <c r="C323" s="12" t="s">
        <v>19</v>
      </c>
      <c r="D323" s="12" t="s">
        <v>230</v>
      </c>
      <c r="E323" s="12" t="s">
        <v>994</v>
      </c>
      <c r="F323" s="12">
        <v>29.97</v>
      </c>
      <c r="G323" s="12" t="s">
        <v>995</v>
      </c>
      <c r="H323" s="12">
        <v>15</v>
      </c>
      <c r="I323" s="12">
        <v>4.4954999999999998</v>
      </c>
      <c r="J323" s="12" t="s">
        <v>23</v>
      </c>
      <c r="K323" s="19">
        <v>45246</v>
      </c>
      <c r="L323" s="19">
        <v>45250</v>
      </c>
      <c r="M323" s="19"/>
      <c r="N323" s="12"/>
      <c r="O323" s="12" t="s">
        <v>82</v>
      </c>
      <c r="P323" s="12" t="s">
        <v>47</v>
      </c>
      <c r="Q323" s="2">
        <f t="shared" si="5"/>
        <v>1</v>
      </c>
    </row>
    <row r="324" spans="1:17" x14ac:dyDescent="0.25">
      <c r="A324" s="12" t="s">
        <v>1025</v>
      </c>
      <c r="B324" s="12" t="s">
        <v>1026</v>
      </c>
      <c r="C324" s="12" t="s">
        <v>19</v>
      </c>
      <c r="D324" s="12" t="s">
        <v>38</v>
      </c>
      <c r="E324" s="12" t="s">
        <v>1002</v>
      </c>
      <c r="F324" s="12">
        <v>16.559999999999999</v>
      </c>
      <c r="G324" s="12" t="s">
        <v>995</v>
      </c>
      <c r="H324" s="12">
        <v>40</v>
      </c>
      <c r="I324" s="12">
        <v>6.6239999999999997</v>
      </c>
      <c r="J324" s="12" t="s">
        <v>23</v>
      </c>
      <c r="K324" s="19">
        <v>45247</v>
      </c>
      <c r="L324" s="19">
        <v>45251</v>
      </c>
      <c r="M324" s="19"/>
      <c r="N324" s="12"/>
      <c r="O324" s="12" t="s">
        <v>82</v>
      </c>
      <c r="P324" s="12" t="s">
        <v>47</v>
      </c>
      <c r="Q324" s="2">
        <f t="shared" si="5"/>
        <v>1</v>
      </c>
    </row>
    <row r="325" spans="1:17" x14ac:dyDescent="0.25">
      <c r="A325" s="12" t="s">
        <v>1028</v>
      </c>
      <c r="B325" s="12" t="s">
        <v>1029</v>
      </c>
      <c r="C325" s="12" t="s">
        <v>19</v>
      </c>
      <c r="D325" s="12" t="s">
        <v>96</v>
      </c>
      <c r="E325" s="12" t="s">
        <v>1006</v>
      </c>
      <c r="F325" s="12">
        <v>26.064</v>
      </c>
      <c r="G325" s="12" t="s">
        <v>995</v>
      </c>
      <c r="H325" s="12">
        <v>0</v>
      </c>
      <c r="I325" s="12">
        <v>0</v>
      </c>
      <c r="J325" s="12" t="s">
        <v>23</v>
      </c>
      <c r="K325" s="19">
        <v>45249</v>
      </c>
      <c r="L325" s="19">
        <v>45253</v>
      </c>
      <c r="M325" s="19"/>
      <c r="N325" s="12"/>
      <c r="O325" s="12" t="s">
        <v>33</v>
      </c>
      <c r="P325" s="12" t="s">
        <v>34</v>
      </c>
      <c r="Q325" s="2">
        <f t="shared" si="5"/>
        <v>1</v>
      </c>
    </row>
    <row r="326" spans="1:17" x14ac:dyDescent="0.25">
      <c r="A326" s="12" t="s">
        <v>1030</v>
      </c>
      <c r="B326" s="12" t="s">
        <v>1031</v>
      </c>
      <c r="C326" s="12" t="s">
        <v>19</v>
      </c>
      <c r="D326" s="12" t="s">
        <v>44</v>
      </c>
      <c r="E326" s="12" t="s">
        <v>994</v>
      </c>
      <c r="F326" s="12">
        <v>39.979999999999997</v>
      </c>
      <c r="G326" s="12" t="s">
        <v>995</v>
      </c>
      <c r="H326" s="12">
        <v>40</v>
      </c>
      <c r="I326" s="12">
        <v>15.991999999999999</v>
      </c>
      <c r="J326" s="12" t="s">
        <v>23</v>
      </c>
      <c r="K326" s="19">
        <v>45249</v>
      </c>
      <c r="L326" s="19">
        <v>45254</v>
      </c>
      <c r="M326" s="19"/>
      <c r="N326" s="12"/>
      <c r="O326" s="12" t="s">
        <v>33</v>
      </c>
      <c r="P326" s="12" t="s">
        <v>34</v>
      </c>
      <c r="Q326" s="2">
        <f t="shared" si="5"/>
        <v>1</v>
      </c>
    </row>
    <row r="327" spans="1:17" x14ac:dyDescent="0.25">
      <c r="A327" s="12" t="s">
        <v>1033</v>
      </c>
      <c r="B327" s="12" t="s">
        <v>1034</v>
      </c>
      <c r="C327" s="12" t="s">
        <v>19</v>
      </c>
      <c r="D327" s="12" t="s">
        <v>230</v>
      </c>
      <c r="E327" s="12" t="s">
        <v>994</v>
      </c>
      <c r="F327" s="12">
        <v>1159.056</v>
      </c>
      <c r="G327" s="12" t="s">
        <v>995</v>
      </c>
      <c r="H327" s="12">
        <v>15</v>
      </c>
      <c r="I327" s="12">
        <v>173.85839999999999</v>
      </c>
      <c r="J327" s="12" t="s">
        <v>23</v>
      </c>
      <c r="K327" s="19">
        <v>45249</v>
      </c>
      <c r="L327" s="19">
        <v>45254</v>
      </c>
      <c r="M327" s="19"/>
      <c r="N327" s="12"/>
      <c r="O327" s="12" t="s">
        <v>25</v>
      </c>
      <c r="P327" s="12" t="s">
        <v>26</v>
      </c>
      <c r="Q327" s="2">
        <f t="shared" si="5"/>
        <v>1</v>
      </c>
    </row>
    <row r="328" spans="1:17" x14ac:dyDescent="0.25">
      <c r="A328" s="12" t="s">
        <v>1036</v>
      </c>
      <c r="B328" s="12" t="s">
        <v>1037</v>
      </c>
      <c r="C328" s="12" t="s">
        <v>30</v>
      </c>
      <c r="D328" s="12" t="s">
        <v>154</v>
      </c>
      <c r="E328" s="12" t="s">
        <v>994</v>
      </c>
      <c r="F328" s="12">
        <v>92.52</v>
      </c>
      <c r="G328" s="12" t="s">
        <v>995</v>
      </c>
      <c r="H328" s="12">
        <v>15</v>
      </c>
      <c r="I328" s="12">
        <v>13.877999999999998</v>
      </c>
      <c r="J328" s="12" t="s">
        <v>23</v>
      </c>
      <c r="K328" s="19">
        <v>45251</v>
      </c>
      <c r="L328" s="19">
        <v>45255</v>
      </c>
      <c r="M328" s="19"/>
      <c r="N328" s="12"/>
      <c r="O328" s="12" t="s">
        <v>97</v>
      </c>
      <c r="P328" s="12" t="s">
        <v>68</v>
      </c>
      <c r="Q328" s="2">
        <f t="shared" si="5"/>
        <v>1</v>
      </c>
    </row>
    <row r="329" spans="1:17" x14ac:dyDescent="0.25">
      <c r="A329" s="12" t="s">
        <v>1039</v>
      </c>
      <c r="B329" s="12" t="s">
        <v>1040</v>
      </c>
      <c r="C329" s="12" t="s">
        <v>30</v>
      </c>
      <c r="D329" s="12" t="s">
        <v>150</v>
      </c>
      <c r="E329" s="12" t="s">
        <v>994</v>
      </c>
      <c r="F329" s="12">
        <v>119.04</v>
      </c>
      <c r="G329" s="12" t="s">
        <v>995</v>
      </c>
      <c r="H329" s="12">
        <v>40</v>
      </c>
      <c r="I329" s="12">
        <v>47.616000000000007</v>
      </c>
      <c r="J329" s="12" t="s">
        <v>23</v>
      </c>
      <c r="K329" s="19">
        <v>45255</v>
      </c>
      <c r="L329" s="19">
        <v>45258</v>
      </c>
      <c r="M329" s="19"/>
      <c r="N329" s="12"/>
      <c r="O329" s="12" t="s">
        <v>146</v>
      </c>
      <c r="P329" s="12" t="s">
        <v>73</v>
      </c>
      <c r="Q329" s="2">
        <f t="shared" si="5"/>
        <v>1</v>
      </c>
    </row>
    <row r="330" spans="1:17" x14ac:dyDescent="0.25">
      <c r="A330" s="12" t="s">
        <v>1042</v>
      </c>
      <c r="B330" s="12" t="s">
        <v>1043</v>
      </c>
      <c r="C330" s="12" t="s">
        <v>30</v>
      </c>
      <c r="D330" s="12" t="s">
        <v>164</v>
      </c>
      <c r="E330" s="12" t="s">
        <v>21</v>
      </c>
      <c r="F330" s="12">
        <v>123.65600000000002</v>
      </c>
      <c r="G330" s="12" t="s">
        <v>22</v>
      </c>
      <c r="H330" s="12">
        <v>0</v>
      </c>
      <c r="I330" s="12">
        <v>0</v>
      </c>
      <c r="J330" s="12" t="s">
        <v>23</v>
      </c>
      <c r="K330" s="19">
        <v>45255</v>
      </c>
      <c r="L330" s="19">
        <v>45257</v>
      </c>
      <c r="M330" s="19">
        <v>45257</v>
      </c>
      <c r="N330" s="12" t="s">
        <v>53</v>
      </c>
      <c r="O330" s="12" t="s">
        <v>54</v>
      </c>
      <c r="P330" s="12" t="s">
        <v>26</v>
      </c>
      <c r="Q330" s="2">
        <f t="shared" si="5"/>
        <v>1</v>
      </c>
    </row>
    <row r="331" spans="1:17" x14ac:dyDescent="0.25">
      <c r="A331" s="12" t="s">
        <v>1045</v>
      </c>
      <c r="B331" s="12" t="s">
        <v>1046</v>
      </c>
      <c r="C331" s="12" t="s">
        <v>19</v>
      </c>
      <c r="D331" s="12" t="s">
        <v>211</v>
      </c>
      <c r="E331" s="12" t="s">
        <v>1006</v>
      </c>
      <c r="F331" s="12">
        <v>209.97900000000001</v>
      </c>
      <c r="G331" s="12" t="s">
        <v>995</v>
      </c>
      <c r="H331" s="12">
        <v>0</v>
      </c>
      <c r="I331" s="12">
        <v>0</v>
      </c>
      <c r="J331" s="12" t="s">
        <v>23</v>
      </c>
      <c r="K331" s="19">
        <v>45256</v>
      </c>
      <c r="L331" s="19">
        <v>45261</v>
      </c>
      <c r="M331" s="19"/>
      <c r="N331" s="12"/>
      <c r="O331" s="12" t="s">
        <v>25</v>
      </c>
      <c r="P331" s="12" t="s">
        <v>26</v>
      </c>
      <c r="Q331" s="2">
        <f t="shared" si="5"/>
        <v>1</v>
      </c>
    </row>
    <row r="332" spans="1:17" x14ac:dyDescent="0.25">
      <c r="A332" s="12" t="s">
        <v>1048</v>
      </c>
      <c r="B332" s="12" t="s">
        <v>1049</v>
      </c>
      <c r="C332" s="12" t="s">
        <v>19</v>
      </c>
      <c r="D332" s="12" t="s">
        <v>154</v>
      </c>
      <c r="E332" s="12" t="s">
        <v>1006</v>
      </c>
      <c r="F332" s="12">
        <v>299.52</v>
      </c>
      <c r="G332" s="12" t="s">
        <v>995</v>
      </c>
      <c r="H332" s="12">
        <v>0</v>
      </c>
      <c r="I332" s="12">
        <v>0</v>
      </c>
      <c r="J332" s="12" t="s">
        <v>23</v>
      </c>
      <c r="K332" s="19">
        <v>45257</v>
      </c>
      <c r="L332" s="19">
        <v>45263</v>
      </c>
      <c r="M332" s="19"/>
      <c r="N332" s="12"/>
      <c r="O332" s="12" t="s">
        <v>82</v>
      </c>
      <c r="P332" s="12" t="s">
        <v>47</v>
      </c>
      <c r="Q332" s="2">
        <f t="shared" si="5"/>
        <v>1</v>
      </c>
    </row>
    <row r="333" spans="1:17" x14ac:dyDescent="0.25">
      <c r="A333" s="12" t="s">
        <v>1051</v>
      </c>
      <c r="B333" s="12" t="s">
        <v>1052</v>
      </c>
      <c r="C333" s="12" t="s">
        <v>30</v>
      </c>
      <c r="D333" s="12" t="s">
        <v>51</v>
      </c>
      <c r="E333" s="12" t="s">
        <v>1002</v>
      </c>
      <c r="F333" s="12">
        <v>38.015999999999998</v>
      </c>
      <c r="G333" s="12" t="s">
        <v>995</v>
      </c>
      <c r="H333" s="12">
        <v>40</v>
      </c>
      <c r="I333" s="12">
        <v>15.2064</v>
      </c>
      <c r="J333" s="12" t="s">
        <v>23</v>
      </c>
      <c r="K333" s="19">
        <v>45257</v>
      </c>
      <c r="L333" s="19">
        <v>45262</v>
      </c>
      <c r="M333" s="19"/>
      <c r="N333" s="12"/>
      <c r="O333" s="12" t="s">
        <v>40</v>
      </c>
      <c r="P333" s="12" t="s">
        <v>34</v>
      </c>
      <c r="Q333" s="2">
        <f t="shared" si="5"/>
        <v>1</v>
      </c>
    </row>
    <row r="334" spans="1:17" x14ac:dyDescent="0.25">
      <c r="A334" s="12" t="s">
        <v>1054</v>
      </c>
      <c r="B334" s="12" t="s">
        <v>1055</v>
      </c>
      <c r="C334" s="12" t="s">
        <v>19</v>
      </c>
      <c r="D334" s="12" t="s">
        <v>31</v>
      </c>
      <c r="E334" s="12" t="s">
        <v>21</v>
      </c>
      <c r="F334" s="12">
        <v>345.46999999999997</v>
      </c>
      <c r="G334" s="12" t="s">
        <v>22</v>
      </c>
      <c r="H334" s="12">
        <v>0</v>
      </c>
      <c r="I334" s="12">
        <v>0</v>
      </c>
      <c r="J334" s="12" t="s">
        <v>23</v>
      </c>
      <c r="K334" s="19">
        <v>45258</v>
      </c>
      <c r="L334" s="19">
        <v>45261</v>
      </c>
      <c r="M334" s="19">
        <v>45261</v>
      </c>
      <c r="N334" s="12" t="s">
        <v>39</v>
      </c>
      <c r="O334" s="12" t="s">
        <v>67</v>
      </c>
      <c r="P334" s="12" t="s">
        <v>68</v>
      </c>
      <c r="Q334" s="2">
        <f t="shared" si="5"/>
        <v>1</v>
      </c>
    </row>
    <row r="335" spans="1:17" x14ac:dyDescent="0.25">
      <c r="A335" s="12" t="s">
        <v>1057</v>
      </c>
      <c r="B335" s="12" t="s">
        <v>1058</v>
      </c>
      <c r="C335" s="12" t="s">
        <v>30</v>
      </c>
      <c r="D335" s="12" t="s">
        <v>164</v>
      </c>
      <c r="E335" s="12" t="s">
        <v>994</v>
      </c>
      <c r="F335" s="12">
        <v>8.5440000000000005</v>
      </c>
      <c r="G335" s="12" t="s">
        <v>995</v>
      </c>
      <c r="H335" s="12">
        <v>15</v>
      </c>
      <c r="I335" s="12">
        <v>1.2816000000000001</v>
      </c>
      <c r="J335" s="12" t="s">
        <v>23</v>
      </c>
      <c r="K335" s="19">
        <v>45258</v>
      </c>
      <c r="L335" s="19">
        <v>45262</v>
      </c>
      <c r="M335" s="19"/>
      <c r="N335" s="12"/>
      <c r="O335" s="12" t="s">
        <v>97</v>
      </c>
      <c r="P335" s="12" t="s">
        <v>68</v>
      </c>
      <c r="Q335" s="2">
        <f t="shared" si="5"/>
        <v>1</v>
      </c>
    </row>
    <row r="336" spans="1:17" x14ac:dyDescent="0.25">
      <c r="A336" s="12" t="s">
        <v>1060</v>
      </c>
      <c r="B336" s="12" t="s">
        <v>1061</v>
      </c>
      <c r="C336" s="12" t="s">
        <v>19</v>
      </c>
      <c r="D336" s="12" t="s">
        <v>62</v>
      </c>
      <c r="E336" s="12" t="s">
        <v>21</v>
      </c>
      <c r="F336" s="12">
        <v>186.95</v>
      </c>
      <c r="G336" s="12" t="s">
        <v>22</v>
      </c>
      <c r="H336" s="12">
        <v>0</v>
      </c>
      <c r="I336" s="12">
        <v>0</v>
      </c>
      <c r="J336" s="12" t="s">
        <v>23</v>
      </c>
      <c r="K336" s="19">
        <v>45258</v>
      </c>
      <c r="L336" s="19">
        <v>45261</v>
      </c>
      <c r="M336" s="19">
        <v>45261</v>
      </c>
      <c r="N336" s="12" t="s">
        <v>24</v>
      </c>
      <c r="O336" s="12" t="s">
        <v>54</v>
      </c>
      <c r="P336" s="12" t="s">
        <v>26</v>
      </c>
      <c r="Q336" s="2">
        <f t="shared" si="5"/>
        <v>1</v>
      </c>
    </row>
    <row r="337" spans="1:17" x14ac:dyDescent="0.25">
      <c r="A337" s="12" t="s">
        <v>1063</v>
      </c>
      <c r="B337" s="12" t="s">
        <v>1064</v>
      </c>
      <c r="C337" s="12" t="s">
        <v>19</v>
      </c>
      <c r="D337" s="12" t="s">
        <v>44</v>
      </c>
      <c r="E337" s="12" t="s">
        <v>1006</v>
      </c>
      <c r="F337" s="12">
        <v>17.088000000000001</v>
      </c>
      <c r="G337" s="12" t="s">
        <v>995</v>
      </c>
      <c r="H337" s="12">
        <v>0</v>
      </c>
      <c r="I337" s="12">
        <v>0</v>
      </c>
      <c r="J337" s="12" t="s">
        <v>23</v>
      </c>
      <c r="K337" s="19">
        <v>45262</v>
      </c>
      <c r="L337" s="19">
        <v>45265</v>
      </c>
      <c r="M337" s="19"/>
      <c r="N337" s="12"/>
      <c r="O337" s="12" t="s">
        <v>25</v>
      </c>
      <c r="P337" s="12" t="s">
        <v>26</v>
      </c>
      <c r="Q337" s="2">
        <f t="shared" si="5"/>
        <v>1</v>
      </c>
    </row>
    <row r="338" spans="1:17" x14ac:dyDescent="0.25">
      <c r="A338" s="12" t="s">
        <v>1066</v>
      </c>
      <c r="B338" s="12" t="s">
        <v>1067</v>
      </c>
      <c r="C338" s="12" t="s">
        <v>30</v>
      </c>
      <c r="D338" s="12" t="s">
        <v>105</v>
      </c>
      <c r="E338" s="12" t="s">
        <v>1006</v>
      </c>
      <c r="F338" s="12">
        <v>385.8</v>
      </c>
      <c r="G338" s="12" t="s">
        <v>995</v>
      </c>
      <c r="H338" s="12">
        <v>0</v>
      </c>
      <c r="I338" s="12">
        <v>0</v>
      </c>
      <c r="J338" s="12" t="s">
        <v>23</v>
      </c>
      <c r="K338" s="19">
        <v>45262</v>
      </c>
      <c r="L338" s="19">
        <v>45266</v>
      </c>
      <c r="M338" s="19"/>
      <c r="N338" s="12"/>
      <c r="O338" s="12" t="s">
        <v>72</v>
      </c>
      <c r="P338" s="12" t="s">
        <v>73</v>
      </c>
      <c r="Q338" s="2">
        <f t="shared" si="5"/>
        <v>1</v>
      </c>
    </row>
    <row r="339" spans="1:17" x14ac:dyDescent="0.25">
      <c r="A339" s="12" t="s">
        <v>1069</v>
      </c>
      <c r="B339" s="12" t="s">
        <v>1070</v>
      </c>
      <c r="C339" s="12" t="s">
        <v>19</v>
      </c>
      <c r="D339" s="12" t="s">
        <v>31</v>
      </c>
      <c r="E339" s="12" t="s">
        <v>1006</v>
      </c>
      <c r="F339" s="12">
        <v>20.736000000000001</v>
      </c>
      <c r="G339" s="12" t="s">
        <v>995</v>
      </c>
      <c r="H339" s="12">
        <v>0</v>
      </c>
      <c r="I339" s="12">
        <v>0</v>
      </c>
      <c r="J339" s="12" t="s">
        <v>23</v>
      </c>
      <c r="K339" s="19">
        <v>45266</v>
      </c>
      <c r="L339" s="19">
        <v>45267</v>
      </c>
      <c r="M339" s="19"/>
      <c r="N339" s="12"/>
      <c r="O339" s="12" t="s">
        <v>67</v>
      </c>
      <c r="P339" s="12" t="s">
        <v>68</v>
      </c>
      <c r="Q339" s="2">
        <f t="shared" si="5"/>
        <v>1</v>
      </c>
    </row>
    <row r="340" spans="1:17" x14ac:dyDescent="0.25">
      <c r="A340" s="12" t="s">
        <v>1072</v>
      </c>
      <c r="B340" s="12" t="s">
        <v>1073</v>
      </c>
      <c r="C340" s="12" t="s">
        <v>30</v>
      </c>
      <c r="D340" s="12" t="s">
        <v>20</v>
      </c>
      <c r="E340" s="12" t="s">
        <v>1002</v>
      </c>
      <c r="F340" s="12">
        <v>199.95</v>
      </c>
      <c r="G340" s="12" t="s">
        <v>995</v>
      </c>
      <c r="H340" s="12">
        <v>40</v>
      </c>
      <c r="I340" s="12">
        <v>79.98</v>
      </c>
      <c r="J340" s="12" t="s">
        <v>23</v>
      </c>
      <c r="K340" s="19">
        <v>45275</v>
      </c>
      <c r="L340" s="19">
        <v>45280</v>
      </c>
      <c r="M340" s="19"/>
      <c r="N340" s="12"/>
      <c r="O340" s="12" t="s">
        <v>33</v>
      </c>
      <c r="P340" s="12" t="s">
        <v>34</v>
      </c>
      <c r="Q340" s="2">
        <f t="shared" si="5"/>
        <v>1</v>
      </c>
    </row>
    <row r="341" spans="1:17" x14ac:dyDescent="0.25">
      <c r="A341" s="12" t="s">
        <v>1075</v>
      </c>
      <c r="B341" s="12" t="s">
        <v>1076</v>
      </c>
      <c r="C341" s="12" t="s">
        <v>19</v>
      </c>
      <c r="D341" s="12" t="s">
        <v>105</v>
      </c>
      <c r="E341" s="12" t="s">
        <v>1006</v>
      </c>
      <c r="F341" s="12">
        <v>219.84</v>
      </c>
      <c r="G341" s="12" t="s">
        <v>995</v>
      </c>
      <c r="H341" s="12">
        <v>0</v>
      </c>
      <c r="I341" s="12">
        <v>0</v>
      </c>
      <c r="J341" s="12" t="s">
        <v>23</v>
      </c>
      <c r="K341" s="19">
        <v>45276</v>
      </c>
      <c r="L341" s="19">
        <v>45283</v>
      </c>
      <c r="M341" s="19"/>
      <c r="N341" s="12"/>
      <c r="O341" s="12" t="s">
        <v>46</v>
      </c>
      <c r="P341" s="12" t="s">
        <v>47</v>
      </c>
      <c r="Q341" s="2">
        <f t="shared" si="5"/>
        <v>1</v>
      </c>
    </row>
    <row r="342" spans="1:17" x14ac:dyDescent="0.25">
      <c r="A342" s="12" t="s">
        <v>1078</v>
      </c>
      <c r="B342" s="12" t="s">
        <v>1079</v>
      </c>
      <c r="C342" s="12" t="s">
        <v>19</v>
      </c>
      <c r="D342" s="12" t="s">
        <v>44</v>
      </c>
      <c r="E342" s="12" t="s">
        <v>1006</v>
      </c>
      <c r="F342" s="12">
        <v>251.64</v>
      </c>
      <c r="G342" s="12" t="s">
        <v>995</v>
      </c>
      <c r="H342" s="12">
        <v>0</v>
      </c>
      <c r="I342" s="12">
        <v>0</v>
      </c>
      <c r="J342" s="12" t="s">
        <v>23</v>
      </c>
      <c r="K342" s="19">
        <v>45277</v>
      </c>
      <c r="L342" s="19">
        <v>45284</v>
      </c>
      <c r="M342" s="19"/>
      <c r="N342" s="12"/>
      <c r="O342" s="12" t="s">
        <v>33</v>
      </c>
      <c r="P342" s="12" t="s">
        <v>34</v>
      </c>
      <c r="Q342" s="2">
        <f t="shared" si="5"/>
        <v>1</v>
      </c>
    </row>
    <row r="343" spans="1:17" x14ac:dyDescent="0.25">
      <c r="A343" s="12" t="s">
        <v>1081</v>
      </c>
      <c r="B343" s="12" t="s">
        <v>1082</v>
      </c>
      <c r="C343" s="12" t="s">
        <v>19</v>
      </c>
      <c r="D343" s="12" t="s">
        <v>230</v>
      </c>
      <c r="E343" s="12" t="s">
        <v>994</v>
      </c>
      <c r="F343" s="12">
        <v>842.94</v>
      </c>
      <c r="G343" s="12" t="s">
        <v>995</v>
      </c>
      <c r="H343" s="12">
        <v>40</v>
      </c>
      <c r="I343" s="12">
        <v>337.17600000000004</v>
      </c>
      <c r="J343" s="12" t="s">
        <v>23</v>
      </c>
      <c r="K343" s="19">
        <v>45278</v>
      </c>
      <c r="L343" s="19">
        <v>45282</v>
      </c>
      <c r="M343" s="19"/>
      <c r="N343" s="12"/>
      <c r="O343" s="12" t="s">
        <v>67</v>
      </c>
      <c r="P343" s="12" t="s">
        <v>68</v>
      </c>
      <c r="Q343" s="2">
        <f t="shared" si="5"/>
        <v>1</v>
      </c>
    </row>
    <row r="344" spans="1:17" x14ac:dyDescent="0.25">
      <c r="A344" s="12" t="s">
        <v>1083</v>
      </c>
      <c r="B344" s="12" t="s">
        <v>1084</v>
      </c>
      <c r="C344" s="12" t="s">
        <v>19</v>
      </c>
      <c r="D344" s="12" t="s">
        <v>20</v>
      </c>
      <c r="E344" s="12" t="s">
        <v>1002</v>
      </c>
      <c r="F344" s="12">
        <v>243.92</v>
      </c>
      <c r="G344" s="12" t="s">
        <v>995</v>
      </c>
      <c r="H344" s="12">
        <v>40</v>
      </c>
      <c r="I344" s="12">
        <v>97.567999999999998</v>
      </c>
      <c r="J344" s="12" t="s">
        <v>23</v>
      </c>
      <c r="K344" s="19">
        <v>45279</v>
      </c>
      <c r="L344" s="19">
        <v>45281</v>
      </c>
      <c r="M344" s="19"/>
      <c r="N344" s="12"/>
      <c r="O344" s="12" t="s">
        <v>146</v>
      </c>
      <c r="P344" s="12" t="s">
        <v>73</v>
      </c>
      <c r="Q344" s="2">
        <f t="shared" si="5"/>
        <v>1</v>
      </c>
    </row>
    <row r="345" spans="1:17" x14ac:dyDescent="0.25">
      <c r="A345" s="12" t="s">
        <v>1086</v>
      </c>
      <c r="B345" s="12" t="s">
        <v>1087</v>
      </c>
      <c r="C345" s="12" t="s">
        <v>19</v>
      </c>
      <c r="D345" s="12" t="s">
        <v>31</v>
      </c>
      <c r="E345" s="12" t="s">
        <v>1006</v>
      </c>
      <c r="F345" s="12">
        <v>19.760000000000002</v>
      </c>
      <c r="G345" s="12" t="s">
        <v>995</v>
      </c>
      <c r="H345" s="12">
        <v>0</v>
      </c>
      <c r="I345" s="12">
        <v>0</v>
      </c>
      <c r="J345" s="12" t="s">
        <v>23</v>
      </c>
      <c r="K345" s="19">
        <v>45283</v>
      </c>
      <c r="L345" s="19">
        <v>45287</v>
      </c>
      <c r="M345" s="19"/>
      <c r="N345" s="12"/>
      <c r="O345" s="12" t="s">
        <v>25</v>
      </c>
      <c r="P345" s="12" t="s">
        <v>26</v>
      </c>
      <c r="Q345" s="2">
        <f t="shared" si="5"/>
        <v>1</v>
      </c>
    </row>
    <row r="346" spans="1:17" x14ac:dyDescent="0.25">
      <c r="A346" s="12" t="s">
        <v>1089</v>
      </c>
      <c r="B346" s="12" t="s">
        <v>1090</v>
      </c>
      <c r="C346" s="12" t="s">
        <v>30</v>
      </c>
      <c r="D346" s="12" t="s">
        <v>58</v>
      </c>
      <c r="E346" s="12" t="s">
        <v>994</v>
      </c>
      <c r="F346" s="12">
        <v>19.440000000000001</v>
      </c>
      <c r="G346" s="12" t="s">
        <v>995</v>
      </c>
      <c r="H346" s="12">
        <v>15</v>
      </c>
      <c r="I346" s="12">
        <v>2.9159999999999999</v>
      </c>
      <c r="J346" s="12" t="s">
        <v>23</v>
      </c>
      <c r="K346" s="19">
        <v>45285</v>
      </c>
      <c r="L346" s="19">
        <v>45286</v>
      </c>
      <c r="M346" s="19"/>
      <c r="N346" s="12"/>
      <c r="O346" s="12" t="s">
        <v>33</v>
      </c>
      <c r="P346" s="12" t="s">
        <v>34</v>
      </c>
      <c r="Q346" s="2">
        <f t="shared" si="5"/>
        <v>1</v>
      </c>
    </row>
    <row r="347" spans="1:17" x14ac:dyDescent="0.25">
      <c r="A347" s="12" t="s">
        <v>1092</v>
      </c>
      <c r="B347" s="12" t="s">
        <v>1093</v>
      </c>
      <c r="C347" s="12" t="s">
        <v>19</v>
      </c>
      <c r="D347" s="12" t="s">
        <v>324</v>
      </c>
      <c r="E347" s="12" t="s">
        <v>994</v>
      </c>
      <c r="F347" s="12">
        <v>11.76</v>
      </c>
      <c r="G347" s="12" t="s">
        <v>995</v>
      </c>
      <c r="H347" s="12">
        <v>40</v>
      </c>
      <c r="I347" s="12">
        <v>4.7039999999999997</v>
      </c>
      <c r="J347" s="12" t="s">
        <v>23</v>
      </c>
      <c r="K347" s="19">
        <v>45286</v>
      </c>
      <c r="L347" s="19">
        <v>45293</v>
      </c>
      <c r="M347" s="19"/>
      <c r="N347" s="12"/>
      <c r="O347" s="12" t="s">
        <v>46</v>
      </c>
      <c r="P347" s="12" t="s">
        <v>47</v>
      </c>
      <c r="Q347" s="2">
        <f t="shared" si="5"/>
        <v>1</v>
      </c>
    </row>
    <row r="348" spans="1:17" x14ac:dyDescent="0.25">
      <c r="A348" s="12" t="s">
        <v>1095</v>
      </c>
      <c r="B348" s="12" t="s">
        <v>1096</v>
      </c>
      <c r="C348" s="12" t="s">
        <v>19</v>
      </c>
      <c r="D348" s="12" t="s">
        <v>126</v>
      </c>
      <c r="E348" s="12" t="s">
        <v>1002</v>
      </c>
      <c r="F348" s="12">
        <v>171.28800000000001</v>
      </c>
      <c r="G348" s="12" t="s">
        <v>995</v>
      </c>
      <c r="H348" s="12">
        <v>40</v>
      </c>
      <c r="I348" s="12">
        <v>68.515200000000007</v>
      </c>
      <c r="J348" s="12" t="s">
        <v>23</v>
      </c>
      <c r="K348" s="19">
        <v>45286</v>
      </c>
      <c r="L348" s="19">
        <v>45289</v>
      </c>
      <c r="M348" s="19"/>
      <c r="N348" s="12"/>
      <c r="O348" s="12" t="s">
        <v>82</v>
      </c>
      <c r="P348" s="12" t="s">
        <v>47</v>
      </c>
      <c r="Q348" s="2">
        <f t="shared" si="5"/>
        <v>1</v>
      </c>
    </row>
    <row r="349" spans="1:17" x14ac:dyDescent="0.25">
      <c r="A349" s="12" t="s">
        <v>1097</v>
      </c>
      <c r="B349" s="12" t="s">
        <v>1098</v>
      </c>
      <c r="C349" s="12" t="s">
        <v>30</v>
      </c>
      <c r="D349" s="12" t="s">
        <v>230</v>
      </c>
      <c r="E349" s="12" t="s">
        <v>1006</v>
      </c>
      <c r="F349" s="12">
        <v>18.936</v>
      </c>
      <c r="G349" s="12" t="s">
        <v>995</v>
      </c>
      <c r="H349" s="12">
        <v>0</v>
      </c>
      <c r="I349" s="12">
        <v>0</v>
      </c>
      <c r="J349" s="12" t="s">
        <v>23</v>
      </c>
      <c r="K349" s="19">
        <v>45287</v>
      </c>
      <c r="L349" s="19">
        <v>45291</v>
      </c>
      <c r="M349" s="19"/>
      <c r="N349" s="12"/>
      <c r="O349" s="12" t="s">
        <v>72</v>
      </c>
      <c r="P349" s="12" t="s">
        <v>73</v>
      </c>
      <c r="Q349" s="2">
        <f t="shared" si="5"/>
        <v>1</v>
      </c>
    </row>
    <row r="350" spans="1:17" x14ac:dyDescent="0.25">
      <c r="A350" s="12" t="s">
        <v>1099</v>
      </c>
      <c r="B350" s="12" t="s">
        <v>1100</v>
      </c>
      <c r="C350" s="12" t="s">
        <v>30</v>
      </c>
      <c r="D350" s="12" t="s">
        <v>96</v>
      </c>
      <c r="E350" s="12" t="s">
        <v>994</v>
      </c>
      <c r="F350" s="12">
        <v>40</v>
      </c>
      <c r="G350" s="12" t="s">
        <v>995</v>
      </c>
      <c r="H350" s="12">
        <v>40</v>
      </c>
      <c r="I350" s="12">
        <v>16</v>
      </c>
      <c r="J350" s="12" t="s">
        <v>23</v>
      </c>
      <c r="K350" s="19">
        <v>45287</v>
      </c>
      <c r="L350" s="19">
        <v>45288</v>
      </c>
      <c r="M350" s="19"/>
      <c r="N350" s="12"/>
      <c r="O350" s="12" t="s">
        <v>54</v>
      </c>
      <c r="P350" s="12" t="s">
        <v>26</v>
      </c>
      <c r="Q350" s="2">
        <f t="shared" si="5"/>
        <v>1</v>
      </c>
    </row>
    <row r="351" spans="1:17" x14ac:dyDescent="0.25">
      <c r="A351" s="12" t="s">
        <v>1102</v>
      </c>
      <c r="B351" s="12" t="s">
        <v>1103</v>
      </c>
      <c r="C351" s="12" t="s">
        <v>19</v>
      </c>
      <c r="D351" s="12" t="s">
        <v>44</v>
      </c>
      <c r="E351" s="12" t="s">
        <v>1002</v>
      </c>
      <c r="F351" s="12">
        <v>45.887999999999998</v>
      </c>
      <c r="G351" s="12" t="s">
        <v>995</v>
      </c>
      <c r="H351" s="12">
        <v>40</v>
      </c>
      <c r="I351" s="12">
        <v>18.3552</v>
      </c>
      <c r="J351" s="12" t="s">
        <v>23</v>
      </c>
      <c r="K351" s="19">
        <v>45287</v>
      </c>
      <c r="L351" s="19">
        <v>45294</v>
      </c>
      <c r="M351" s="19"/>
      <c r="N351" s="12"/>
      <c r="O351" s="12" t="s">
        <v>25</v>
      </c>
      <c r="P351" s="12" t="s">
        <v>26</v>
      </c>
      <c r="Q351" s="2">
        <f t="shared" si="5"/>
        <v>1</v>
      </c>
    </row>
    <row r="352" spans="1:17" x14ac:dyDescent="0.25">
      <c r="A352" s="12" t="s">
        <v>1105</v>
      </c>
      <c r="B352" s="12" t="s">
        <v>1106</v>
      </c>
      <c r="C352" s="12" t="s">
        <v>30</v>
      </c>
      <c r="D352" s="12" t="s">
        <v>31</v>
      </c>
      <c r="E352" s="12" t="s">
        <v>1002</v>
      </c>
      <c r="F352" s="12">
        <v>40.99</v>
      </c>
      <c r="G352" s="12" t="s">
        <v>995</v>
      </c>
      <c r="H352" s="12">
        <v>40</v>
      </c>
      <c r="I352" s="12">
        <v>16.396000000000001</v>
      </c>
      <c r="J352" s="12" t="s">
        <v>23</v>
      </c>
      <c r="K352" s="19">
        <v>45288</v>
      </c>
      <c r="L352" s="19">
        <v>45291</v>
      </c>
      <c r="M352" s="19"/>
      <c r="N352" s="12"/>
      <c r="O352" s="12" t="s">
        <v>40</v>
      </c>
      <c r="P352" s="12" t="s">
        <v>34</v>
      </c>
      <c r="Q352" s="2">
        <f t="shared" si="5"/>
        <v>1</v>
      </c>
    </row>
    <row r="353" spans="1:17" x14ac:dyDescent="0.25">
      <c r="A353" s="12" t="s">
        <v>1108</v>
      </c>
      <c r="B353" s="12" t="s">
        <v>1109</v>
      </c>
      <c r="C353" s="12" t="s">
        <v>19</v>
      </c>
      <c r="D353" s="12" t="s">
        <v>31</v>
      </c>
      <c r="E353" s="12" t="s">
        <v>994</v>
      </c>
      <c r="F353" s="12">
        <v>145.85</v>
      </c>
      <c r="G353" s="12" t="s">
        <v>995</v>
      </c>
      <c r="H353" s="12">
        <v>15</v>
      </c>
      <c r="I353" s="12">
        <v>21.877499999999998</v>
      </c>
      <c r="J353" s="12" t="s">
        <v>23</v>
      </c>
      <c r="K353" s="19">
        <v>45290</v>
      </c>
      <c r="L353" s="19">
        <v>45294</v>
      </c>
      <c r="M353" s="19"/>
      <c r="N353" s="12"/>
      <c r="O353" s="12" t="s">
        <v>146</v>
      </c>
      <c r="P353" s="12" t="s">
        <v>73</v>
      </c>
      <c r="Q353" s="2">
        <f t="shared" si="5"/>
        <v>1</v>
      </c>
    </row>
    <row r="354" spans="1:17" x14ac:dyDescent="0.25">
      <c r="A354" s="12" t="s">
        <v>1111</v>
      </c>
      <c r="B354" s="12" t="s">
        <v>1112</v>
      </c>
      <c r="C354" s="12" t="s">
        <v>19</v>
      </c>
      <c r="D354" s="12" t="s">
        <v>77</v>
      </c>
      <c r="E354" s="12" t="s">
        <v>1002</v>
      </c>
      <c r="F354" s="12">
        <v>24.84</v>
      </c>
      <c r="G354" s="12" t="s">
        <v>995</v>
      </c>
      <c r="H354" s="12">
        <v>40</v>
      </c>
      <c r="I354" s="12">
        <v>9.9359999999999999</v>
      </c>
      <c r="J354" s="12" t="s">
        <v>23</v>
      </c>
      <c r="K354" s="19">
        <v>45291</v>
      </c>
      <c r="L354" s="19">
        <v>45293</v>
      </c>
      <c r="M354" s="19"/>
      <c r="N354" s="12"/>
      <c r="O354" s="12" t="s">
        <v>72</v>
      </c>
      <c r="P354" s="12" t="s">
        <v>73</v>
      </c>
      <c r="Q354" s="2">
        <f t="shared" si="5"/>
        <v>1</v>
      </c>
    </row>
    <row r="355" spans="1:17" x14ac:dyDescent="0.25">
      <c r="A355" s="12" t="s">
        <v>1114</v>
      </c>
      <c r="B355" s="12" t="s">
        <v>1115</v>
      </c>
      <c r="C355" s="12" t="s">
        <v>30</v>
      </c>
      <c r="D355" s="12" t="s">
        <v>150</v>
      </c>
      <c r="E355" s="12" t="s">
        <v>1006</v>
      </c>
      <c r="F355" s="12">
        <v>9.4600000000000009</v>
      </c>
      <c r="G355" s="12" t="s">
        <v>995</v>
      </c>
      <c r="H355" s="12">
        <v>0</v>
      </c>
      <c r="I355" s="12">
        <v>0</v>
      </c>
      <c r="J355" s="12" t="s">
        <v>23</v>
      </c>
      <c r="K355" s="19">
        <v>45291</v>
      </c>
      <c r="L355" s="19">
        <v>45296</v>
      </c>
      <c r="M355" s="19"/>
      <c r="N355" s="12"/>
      <c r="O355" s="12" t="s">
        <v>54</v>
      </c>
      <c r="P355" s="12" t="s">
        <v>26</v>
      </c>
      <c r="Q355" s="2">
        <f t="shared" si="5"/>
        <v>1</v>
      </c>
    </row>
    <row r="356" spans="1:17" x14ac:dyDescent="0.25">
      <c r="A356" s="12" t="s">
        <v>1117</v>
      </c>
      <c r="B356" s="12" t="s">
        <v>1118</v>
      </c>
      <c r="C356" s="12" t="s">
        <v>30</v>
      </c>
      <c r="D356" s="12" t="s">
        <v>154</v>
      </c>
      <c r="E356" s="12" t="s">
        <v>1006</v>
      </c>
      <c r="F356" s="12">
        <v>87.92</v>
      </c>
      <c r="G356" s="12" t="s">
        <v>995</v>
      </c>
      <c r="H356" s="12">
        <v>0</v>
      </c>
      <c r="I356" s="12">
        <v>0</v>
      </c>
      <c r="J356" s="12" t="s">
        <v>23</v>
      </c>
      <c r="K356" s="19">
        <v>45291</v>
      </c>
      <c r="L356" s="19">
        <v>45294</v>
      </c>
      <c r="M356" s="19"/>
      <c r="N356" s="12"/>
      <c r="O356" s="12" t="s">
        <v>72</v>
      </c>
      <c r="P356" s="12" t="s">
        <v>73</v>
      </c>
      <c r="Q356" s="2">
        <f t="shared" si="5"/>
        <v>1</v>
      </c>
    </row>
    <row r="357" spans="1:17" x14ac:dyDescent="0.25">
      <c r="A357" s="12" t="s">
        <v>1120</v>
      </c>
      <c r="B357" s="12" t="s">
        <v>1121</v>
      </c>
      <c r="C357" s="12" t="s">
        <v>30</v>
      </c>
      <c r="D357" s="12" t="s">
        <v>230</v>
      </c>
      <c r="E357" s="12" t="s">
        <v>21</v>
      </c>
      <c r="F357" s="12">
        <v>740.21400000000006</v>
      </c>
      <c r="G357" s="12" t="s">
        <v>22</v>
      </c>
      <c r="H357" s="12">
        <v>0</v>
      </c>
      <c r="I357" s="12">
        <v>0</v>
      </c>
      <c r="J357" s="12" t="s">
        <v>23</v>
      </c>
      <c r="K357" s="19">
        <v>45294</v>
      </c>
      <c r="L357" s="19">
        <v>45296</v>
      </c>
      <c r="M357" s="19">
        <v>45296</v>
      </c>
      <c r="N357" s="12" t="s">
        <v>53</v>
      </c>
      <c r="O357" s="12" t="s">
        <v>146</v>
      </c>
      <c r="P357" s="12" t="s">
        <v>73</v>
      </c>
      <c r="Q357" s="2">
        <f t="shared" si="5"/>
        <v>1</v>
      </c>
    </row>
    <row r="358" spans="1:17" x14ac:dyDescent="0.25">
      <c r="A358" s="12" t="s">
        <v>1123</v>
      </c>
      <c r="B358" s="12" t="s">
        <v>1124</v>
      </c>
      <c r="C358" s="12" t="s">
        <v>30</v>
      </c>
      <c r="D358" s="12" t="s">
        <v>211</v>
      </c>
      <c r="E358" s="12" t="s">
        <v>994</v>
      </c>
      <c r="F358" s="12">
        <v>10.368</v>
      </c>
      <c r="G358" s="12" t="s">
        <v>995</v>
      </c>
      <c r="H358" s="12">
        <v>40</v>
      </c>
      <c r="I358" s="12">
        <v>4.1472000000000007</v>
      </c>
      <c r="J358" s="12" t="s">
        <v>23</v>
      </c>
      <c r="K358" s="19">
        <v>45294</v>
      </c>
      <c r="L358" s="19">
        <v>45296</v>
      </c>
      <c r="M358" s="19"/>
      <c r="N358" s="12"/>
      <c r="O358" s="12" t="s">
        <v>72</v>
      </c>
      <c r="P358" s="12" t="s">
        <v>73</v>
      </c>
      <c r="Q358" s="2">
        <f t="shared" si="5"/>
        <v>1</v>
      </c>
    </row>
    <row r="359" spans="1:17" x14ac:dyDescent="0.25">
      <c r="A359" s="12" t="s">
        <v>4774</v>
      </c>
      <c r="B359" s="12" t="s">
        <v>1121</v>
      </c>
      <c r="C359" s="12" t="s">
        <v>30</v>
      </c>
      <c r="D359" s="12" t="s">
        <v>230</v>
      </c>
      <c r="E359" s="12" t="s">
        <v>21</v>
      </c>
      <c r="F359" s="12">
        <v>740.21400000000006</v>
      </c>
      <c r="G359" s="12" t="s">
        <v>22</v>
      </c>
      <c r="H359" s="12">
        <v>0</v>
      </c>
      <c r="I359" s="12">
        <v>0</v>
      </c>
      <c r="J359" s="12" t="s">
        <v>23</v>
      </c>
      <c r="K359" s="19">
        <v>45294</v>
      </c>
      <c r="L359" s="19">
        <v>45296</v>
      </c>
      <c r="M359" s="19">
        <v>45296</v>
      </c>
      <c r="N359" s="12" t="s">
        <v>53</v>
      </c>
      <c r="O359" s="12" t="s">
        <v>146</v>
      </c>
      <c r="P359" s="12" t="s">
        <v>73</v>
      </c>
      <c r="Q359" s="2">
        <f t="shared" si="5"/>
        <v>8</v>
      </c>
    </row>
    <row r="360" spans="1:17" x14ac:dyDescent="0.25">
      <c r="A360" s="12" t="s">
        <v>4774</v>
      </c>
      <c r="B360" s="12" t="s">
        <v>1124</v>
      </c>
      <c r="C360" s="12" t="s">
        <v>30</v>
      </c>
      <c r="D360" s="12" t="s">
        <v>211</v>
      </c>
      <c r="E360" s="12" t="s">
        <v>994</v>
      </c>
      <c r="F360" s="12">
        <v>10.368</v>
      </c>
      <c r="G360" s="12" t="s">
        <v>995</v>
      </c>
      <c r="H360" s="12">
        <v>40</v>
      </c>
      <c r="I360" s="12">
        <v>4.1472000000000007</v>
      </c>
      <c r="J360" s="12" t="s">
        <v>23</v>
      </c>
      <c r="K360" s="19">
        <v>45294</v>
      </c>
      <c r="L360" s="19">
        <v>45296</v>
      </c>
      <c r="M360" s="19"/>
      <c r="N360" s="12"/>
      <c r="O360" s="12" t="s">
        <v>72</v>
      </c>
      <c r="P360" s="12" t="s">
        <v>73</v>
      </c>
      <c r="Q360" s="2">
        <f t="shared" si="5"/>
        <v>8</v>
      </c>
    </row>
    <row r="361" spans="1:17" x14ac:dyDescent="0.25">
      <c r="A361" s="12" t="s">
        <v>1126</v>
      </c>
      <c r="B361" s="12" t="s">
        <v>1127</v>
      </c>
      <c r="C361" s="12" t="s">
        <v>30</v>
      </c>
      <c r="D361" s="12" t="s">
        <v>211</v>
      </c>
      <c r="E361" s="12" t="s">
        <v>1002</v>
      </c>
      <c r="F361" s="12">
        <v>478.48</v>
      </c>
      <c r="G361" s="12" t="s">
        <v>995</v>
      </c>
      <c r="H361" s="12">
        <v>40</v>
      </c>
      <c r="I361" s="12">
        <v>191.39200000000002</v>
      </c>
      <c r="J361" s="12" t="s">
        <v>23</v>
      </c>
      <c r="K361" s="19">
        <v>45298</v>
      </c>
      <c r="L361" s="19">
        <v>45305</v>
      </c>
      <c r="M361" s="19"/>
      <c r="N361" s="12"/>
      <c r="O361" s="12" t="s">
        <v>40</v>
      </c>
      <c r="P361" s="12" t="s">
        <v>34</v>
      </c>
      <c r="Q361" s="2">
        <f t="shared" si="5"/>
        <v>1</v>
      </c>
    </row>
    <row r="362" spans="1:17" x14ac:dyDescent="0.25">
      <c r="A362" s="12" t="s">
        <v>1129</v>
      </c>
      <c r="B362" s="12" t="s">
        <v>1130</v>
      </c>
      <c r="C362" s="12" t="s">
        <v>30</v>
      </c>
      <c r="D362" s="12" t="s">
        <v>58</v>
      </c>
      <c r="E362" s="12" t="s">
        <v>994</v>
      </c>
      <c r="F362" s="12">
        <v>56.56</v>
      </c>
      <c r="G362" s="12" t="s">
        <v>995</v>
      </c>
      <c r="H362" s="12">
        <v>40</v>
      </c>
      <c r="I362" s="12">
        <v>22.624000000000002</v>
      </c>
      <c r="J362" s="12" t="s">
        <v>23</v>
      </c>
      <c r="K362" s="19">
        <v>45304</v>
      </c>
      <c r="L362" s="19">
        <v>45308</v>
      </c>
      <c r="M362" s="19"/>
      <c r="N362" s="12"/>
      <c r="O362" s="12" t="s">
        <v>146</v>
      </c>
      <c r="P362" s="12" t="s">
        <v>73</v>
      </c>
      <c r="Q362" s="2">
        <f t="shared" si="5"/>
        <v>1</v>
      </c>
    </row>
    <row r="363" spans="1:17" x14ac:dyDescent="0.25">
      <c r="A363" s="12" t="s">
        <v>1132</v>
      </c>
      <c r="B363" s="12" t="s">
        <v>1133</v>
      </c>
      <c r="C363" s="12" t="s">
        <v>30</v>
      </c>
      <c r="D363" s="12" t="s">
        <v>81</v>
      </c>
      <c r="E363" s="12" t="s">
        <v>994</v>
      </c>
      <c r="F363" s="12">
        <v>29.9</v>
      </c>
      <c r="G363" s="12" t="s">
        <v>995</v>
      </c>
      <c r="H363" s="12">
        <v>40</v>
      </c>
      <c r="I363" s="12">
        <v>11.96</v>
      </c>
      <c r="J363" s="12" t="s">
        <v>23</v>
      </c>
      <c r="K363" s="19">
        <v>45307</v>
      </c>
      <c r="L363" s="19">
        <v>45311</v>
      </c>
      <c r="M363" s="19"/>
      <c r="N363" s="12"/>
      <c r="O363" s="12" t="s">
        <v>72</v>
      </c>
      <c r="P363" s="12" t="s">
        <v>73</v>
      </c>
      <c r="Q363" s="2">
        <f t="shared" si="5"/>
        <v>1</v>
      </c>
    </row>
    <row r="364" spans="1:17" x14ac:dyDescent="0.25">
      <c r="A364" s="12" t="s">
        <v>1135</v>
      </c>
      <c r="B364" s="12" t="s">
        <v>1136</v>
      </c>
      <c r="C364" s="12" t="s">
        <v>19</v>
      </c>
      <c r="D364" s="12" t="s">
        <v>164</v>
      </c>
      <c r="E364" s="12" t="s">
        <v>21</v>
      </c>
      <c r="F364" s="12">
        <v>1958.5440000000001</v>
      </c>
      <c r="G364" s="12" t="s">
        <v>22</v>
      </c>
      <c r="H364" s="12">
        <v>0</v>
      </c>
      <c r="I364" s="12">
        <v>0</v>
      </c>
      <c r="J364" s="12" t="s">
        <v>23</v>
      </c>
      <c r="K364" s="19">
        <v>45307</v>
      </c>
      <c r="L364" s="19">
        <v>45310</v>
      </c>
      <c r="M364" s="19">
        <v>45310</v>
      </c>
      <c r="N364" s="12" t="s">
        <v>39</v>
      </c>
      <c r="O364" s="12" t="s">
        <v>67</v>
      </c>
      <c r="P364" s="12" t="s">
        <v>68</v>
      </c>
      <c r="Q364" s="2">
        <f t="shared" si="5"/>
        <v>1</v>
      </c>
    </row>
    <row r="365" spans="1:17" x14ac:dyDescent="0.25">
      <c r="A365" s="12" t="s">
        <v>1138</v>
      </c>
      <c r="B365" s="12" t="s">
        <v>1139</v>
      </c>
      <c r="C365" s="12" t="s">
        <v>30</v>
      </c>
      <c r="D365" s="12" t="s">
        <v>51</v>
      </c>
      <c r="E365" s="12" t="s">
        <v>1006</v>
      </c>
      <c r="F365" s="12">
        <v>11.56</v>
      </c>
      <c r="G365" s="12" t="s">
        <v>995</v>
      </c>
      <c r="H365" s="12">
        <v>0</v>
      </c>
      <c r="I365" s="12">
        <v>0</v>
      </c>
      <c r="J365" s="12" t="s">
        <v>23</v>
      </c>
      <c r="K365" s="19">
        <v>45311</v>
      </c>
      <c r="L365" s="19">
        <v>45315</v>
      </c>
      <c r="M365" s="19"/>
      <c r="N365" s="12"/>
      <c r="O365" s="12" t="s">
        <v>97</v>
      </c>
      <c r="P365" s="12" t="s">
        <v>68</v>
      </c>
      <c r="Q365" s="2">
        <f t="shared" si="5"/>
        <v>1</v>
      </c>
    </row>
    <row r="366" spans="1:17" x14ac:dyDescent="0.25">
      <c r="A366" s="12" t="s">
        <v>1141</v>
      </c>
      <c r="B366" s="12" t="s">
        <v>1142</v>
      </c>
      <c r="C366" s="12" t="s">
        <v>30</v>
      </c>
      <c r="D366" s="12" t="s">
        <v>150</v>
      </c>
      <c r="E366" s="12" t="s">
        <v>1006</v>
      </c>
      <c r="F366" s="12">
        <v>35.06</v>
      </c>
      <c r="G366" s="12" t="s">
        <v>995</v>
      </c>
      <c r="H366" s="12">
        <v>0</v>
      </c>
      <c r="I366" s="12">
        <v>0</v>
      </c>
      <c r="J366" s="12" t="s">
        <v>23</v>
      </c>
      <c r="K366" s="19">
        <v>45313</v>
      </c>
      <c r="L366" s="19">
        <v>45317</v>
      </c>
      <c r="M366" s="19"/>
      <c r="N366" s="12"/>
      <c r="O366" s="12" t="s">
        <v>25</v>
      </c>
      <c r="P366" s="12" t="s">
        <v>26</v>
      </c>
      <c r="Q366" s="2">
        <f t="shared" si="5"/>
        <v>1</v>
      </c>
    </row>
    <row r="367" spans="1:17" x14ac:dyDescent="0.25">
      <c r="A367" s="12" t="s">
        <v>1144</v>
      </c>
      <c r="B367" s="12" t="s">
        <v>1145</v>
      </c>
      <c r="C367" s="12" t="s">
        <v>19</v>
      </c>
      <c r="D367" s="12" t="s">
        <v>115</v>
      </c>
      <c r="E367" s="12" t="s">
        <v>994</v>
      </c>
      <c r="F367" s="12">
        <v>67.144000000000005</v>
      </c>
      <c r="G367" s="12" t="s">
        <v>995</v>
      </c>
      <c r="H367" s="12">
        <v>40</v>
      </c>
      <c r="I367" s="12">
        <v>26.857600000000005</v>
      </c>
      <c r="J367" s="12" t="s">
        <v>23</v>
      </c>
      <c r="K367" s="19">
        <v>45316</v>
      </c>
      <c r="L367" s="19">
        <v>45322</v>
      </c>
      <c r="M367" s="19"/>
      <c r="N367" s="12"/>
      <c r="O367" s="12" t="s">
        <v>25</v>
      </c>
      <c r="P367" s="12" t="s">
        <v>26</v>
      </c>
      <c r="Q367" s="2">
        <f t="shared" si="5"/>
        <v>1</v>
      </c>
    </row>
    <row r="368" spans="1:17" x14ac:dyDescent="0.25">
      <c r="A368" s="12" t="s">
        <v>1147</v>
      </c>
      <c r="B368" s="12" t="s">
        <v>1148</v>
      </c>
      <c r="C368" s="12" t="s">
        <v>19</v>
      </c>
      <c r="D368" s="12" t="s">
        <v>150</v>
      </c>
      <c r="E368" s="12" t="s">
        <v>994</v>
      </c>
      <c r="F368" s="12">
        <v>1013.4880000000001</v>
      </c>
      <c r="G368" s="12" t="s">
        <v>995</v>
      </c>
      <c r="H368" s="12">
        <v>40</v>
      </c>
      <c r="I368" s="12">
        <v>405.39520000000005</v>
      </c>
      <c r="J368" s="12" t="s">
        <v>23</v>
      </c>
      <c r="K368" s="19">
        <v>45318</v>
      </c>
      <c r="L368" s="19">
        <v>45322</v>
      </c>
      <c r="M368" s="19"/>
      <c r="N368" s="12"/>
      <c r="O368" s="12" t="s">
        <v>25</v>
      </c>
      <c r="P368" s="12" t="s">
        <v>26</v>
      </c>
      <c r="Q368" s="2">
        <f t="shared" si="5"/>
        <v>1</v>
      </c>
    </row>
    <row r="369" spans="1:17" x14ac:dyDescent="0.25">
      <c r="A369" s="12" t="s">
        <v>1149</v>
      </c>
      <c r="B369" s="12" t="s">
        <v>1150</v>
      </c>
      <c r="C369" s="12" t="s">
        <v>30</v>
      </c>
      <c r="D369" s="12" t="s">
        <v>139</v>
      </c>
      <c r="E369" s="12" t="s">
        <v>1002</v>
      </c>
      <c r="F369" s="12">
        <v>25.12</v>
      </c>
      <c r="G369" s="12" t="s">
        <v>995</v>
      </c>
      <c r="H369" s="12">
        <v>40</v>
      </c>
      <c r="I369" s="12">
        <v>10.048000000000002</v>
      </c>
      <c r="J369" s="12" t="s">
        <v>23</v>
      </c>
      <c r="K369" s="19">
        <v>45320</v>
      </c>
      <c r="L369" s="19">
        <v>45324</v>
      </c>
      <c r="M369" s="19"/>
      <c r="N369" s="12"/>
      <c r="O369" s="12" t="s">
        <v>72</v>
      </c>
      <c r="P369" s="12" t="s">
        <v>73</v>
      </c>
      <c r="Q369" s="2">
        <f t="shared" si="5"/>
        <v>1</v>
      </c>
    </row>
    <row r="370" spans="1:17" x14ac:dyDescent="0.25">
      <c r="A370" s="12" t="s">
        <v>1152</v>
      </c>
      <c r="B370" s="12" t="s">
        <v>1153</v>
      </c>
      <c r="C370" s="12" t="s">
        <v>19</v>
      </c>
      <c r="D370" s="12" t="s">
        <v>96</v>
      </c>
      <c r="E370" s="12" t="s">
        <v>1002</v>
      </c>
      <c r="F370" s="12">
        <v>18.367999999999999</v>
      </c>
      <c r="G370" s="12" t="s">
        <v>995</v>
      </c>
      <c r="H370" s="12">
        <v>40</v>
      </c>
      <c r="I370" s="12">
        <v>7.3472</v>
      </c>
      <c r="J370" s="12" t="s">
        <v>23</v>
      </c>
      <c r="K370" s="19">
        <v>45329</v>
      </c>
      <c r="L370" s="19">
        <v>45334</v>
      </c>
      <c r="M370" s="19"/>
      <c r="N370" s="12"/>
      <c r="O370" s="12" t="s">
        <v>82</v>
      </c>
      <c r="P370" s="12" t="s">
        <v>47</v>
      </c>
      <c r="Q370" s="2">
        <f t="shared" si="5"/>
        <v>1</v>
      </c>
    </row>
    <row r="371" spans="1:17" x14ac:dyDescent="0.25">
      <c r="A371" s="12" t="s">
        <v>1155</v>
      </c>
      <c r="B371" s="12" t="s">
        <v>1156</v>
      </c>
      <c r="C371" s="12" t="s">
        <v>30</v>
      </c>
      <c r="D371" s="12" t="s">
        <v>51</v>
      </c>
      <c r="E371" s="12" t="s">
        <v>994</v>
      </c>
      <c r="F371" s="12">
        <v>14.8</v>
      </c>
      <c r="G371" s="12" t="s">
        <v>995</v>
      </c>
      <c r="H371" s="12">
        <v>40</v>
      </c>
      <c r="I371" s="12">
        <v>5.9200000000000008</v>
      </c>
      <c r="J371" s="12" t="s">
        <v>23</v>
      </c>
      <c r="K371" s="19">
        <v>45332</v>
      </c>
      <c r="L371" s="19">
        <v>45337</v>
      </c>
      <c r="M371" s="19"/>
      <c r="N371" s="12"/>
      <c r="O371" s="12" t="s">
        <v>46</v>
      </c>
      <c r="P371" s="12" t="s">
        <v>47</v>
      </c>
      <c r="Q371" s="2">
        <f t="shared" si="5"/>
        <v>1</v>
      </c>
    </row>
    <row r="372" spans="1:17" x14ac:dyDescent="0.25">
      <c r="A372" s="12" t="s">
        <v>1157</v>
      </c>
      <c r="B372" s="12" t="s">
        <v>1158</v>
      </c>
      <c r="C372" s="12" t="s">
        <v>30</v>
      </c>
      <c r="D372" s="12" t="s">
        <v>164</v>
      </c>
      <c r="E372" s="12" t="s">
        <v>994</v>
      </c>
      <c r="F372" s="12">
        <v>5.88</v>
      </c>
      <c r="G372" s="12" t="s">
        <v>995</v>
      </c>
      <c r="H372" s="12">
        <v>40</v>
      </c>
      <c r="I372" s="12">
        <v>2.3519999999999999</v>
      </c>
      <c r="J372" s="12" t="s">
        <v>23</v>
      </c>
      <c r="K372" s="19">
        <v>45333</v>
      </c>
      <c r="L372" s="19">
        <v>45337</v>
      </c>
      <c r="M372" s="19"/>
      <c r="N372" s="12"/>
      <c r="O372" s="12" t="s">
        <v>25</v>
      </c>
      <c r="P372" s="12" t="s">
        <v>26</v>
      </c>
      <c r="Q372" s="2">
        <f t="shared" si="5"/>
        <v>1</v>
      </c>
    </row>
    <row r="373" spans="1:17" x14ac:dyDescent="0.25">
      <c r="A373" s="12" t="s">
        <v>1160</v>
      </c>
      <c r="B373" s="12" t="s">
        <v>1161</v>
      </c>
      <c r="C373" s="12" t="s">
        <v>19</v>
      </c>
      <c r="D373" s="12" t="s">
        <v>86</v>
      </c>
      <c r="E373" s="12" t="s">
        <v>1006</v>
      </c>
      <c r="F373" s="12">
        <v>3.5640000000000001</v>
      </c>
      <c r="G373" s="12" t="s">
        <v>995</v>
      </c>
      <c r="H373" s="12">
        <v>0</v>
      </c>
      <c r="I373" s="12">
        <v>0</v>
      </c>
      <c r="J373" s="12" t="s">
        <v>23</v>
      </c>
      <c r="K373" s="19">
        <v>45334</v>
      </c>
      <c r="L373" s="19">
        <v>45337</v>
      </c>
      <c r="M373" s="19"/>
      <c r="N373" s="12"/>
      <c r="O373" s="12" t="s">
        <v>82</v>
      </c>
      <c r="P373" s="12" t="s">
        <v>47</v>
      </c>
      <c r="Q373" s="2">
        <f t="shared" si="5"/>
        <v>1</v>
      </c>
    </row>
    <row r="374" spans="1:17" x14ac:dyDescent="0.25">
      <c r="A374" s="12" t="s">
        <v>1162</v>
      </c>
      <c r="B374" s="12" t="s">
        <v>1163</v>
      </c>
      <c r="C374" s="12" t="s">
        <v>30</v>
      </c>
      <c r="D374" s="12" t="s">
        <v>115</v>
      </c>
      <c r="E374" s="12" t="s">
        <v>1006</v>
      </c>
      <c r="F374" s="12">
        <v>194.352</v>
      </c>
      <c r="G374" s="12" t="s">
        <v>995</v>
      </c>
      <c r="H374" s="12">
        <v>0</v>
      </c>
      <c r="I374" s="12">
        <v>0</v>
      </c>
      <c r="J374" s="12" t="s">
        <v>23</v>
      </c>
      <c r="K374" s="19">
        <v>45336</v>
      </c>
      <c r="L374" s="19">
        <v>45340</v>
      </c>
      <c r="M374" s="19"/>
      <c r="N374" s="12"/>
      <c r="O374" s="12" t="s">
        <v>82</v>
      </c>
      <c r="P374" s="12" t="s">
        <v>47</v>
      </c>
      <c r="Q374" s="2">
        <f t="shared" si="5"/>
        <v>1</v>
      </c>
    </row>
    <row r="375" spans="1:17" x14ac:dyDescent="0.25">
      <c r="A375" s="12" t="s">
        <v>1165</v>
      </c>
      <c r="B375" s="12" t="s">
        <v>1166</v>
      </c>
      <c r="C375" s="12" t="s">
        <v>19</v>
      </c>
      <c r="D375" s="12" t="s">
        <v>38</v>
      </c>
      <c r="E375" s="12" t="s">
        <v>1002</v>
      </c>
      <c r="F375" s="12">
        <v>101.4</v>
      </c>
      <c r="G375" s="12" t="s">
        <v>995</v>
      </c>
      <c r="H375" s="12">
        <v>40</v>
      </c>
      <c r="I375" s="12">
        <v>40.56</v>
      </c>
      <c r="J375" s="12" t="s">
        <v>23</v>
      </c>
      <c r="K375" s="19">
        <v>45340</v>
      </c>
      <c r="L375" s="19">
        <v>45344</v>
      </c>
      <c r="M375" s="19"/>
      <c r="N375" s="12"/>
      <c r="O375" s="12" t="s">
        <v>82</v>
      </c>
      <c r="P375" s="12" t="s">
        <v>47</v>
      </c>
      <c r="Q375" s="2">
        <f t="shared" si="5"/>
        <v>1</v>
      </c>
    </row>
    <row r="376" spans="1:17" x14ac:dyDescent="0.25">
      <c r="A376" s="12" t="s">
        <v>1168</v>
      </c>
      <c r="B376" s="12" t="s">
        <v>1169</v>
      </c>
      <c r="C376" s="12" t="s">
        <v>30</v>
      </c>
      <c r="D376" s="12" t="s">
        <v>62</v>
      </c>
      <c r="E376" s="12" t="s">
        <v>21</v>
      </c>
      <c r="F376" s="12">
        <v>1448.8529999999992</v>
      </c>
      <c r="G376" s="12" t="s">
        <v>22</v>
      </c>
      <c r="H376" s="12">
        <v>0</v>
      </c>
      <c r="I376" s="12">
        <v>0</v>
      </c>
      <c r="J376" s="12" t="s">
        <v>23</v>
      </c>
      <c r="K376" s="19">
        <v>45340</v>
      </c>
      <c r="L376" s="19">
        <v>45343</v>
      </c>
      <c r="M376" s="19">
        <v>45343</v>
      </c>
      <c r="N376" s="12" t="s">
        <v>24</v>
      </c>
      <c r="O376" s="12" t="s">
        <v>72</v>
      </c>
      <c r="P376" s="12" t="s">
        <v>73</v>
      </c>
      <c r="Q376" s="2">
        <f t="shared" si="5"/>
        <v>1</v>
      </c>
    </row>
    <row r="377" spans="1:17" x14ac:dyDescent="0.25">
      <c r="A377" s="12" t="s">
        <v>1171</v>
      </c>
      <c r="B377" s="12" t="s">
        <v>1172</v>
      </c>
      <c r="C377" s="12" t="s">
        <v>19</v>
      </c>
      <c r="D377" s="12" t="s">
        <v>324</v>
      </c>
      <c r="E377" s="12" t="s">
        <v>21</v>
      </c>
      <c r="F377" s="12">
        <v>238.19799999999998</v>
      </c>
      <c r="G377" s="12" t="s">
        <v>22</v>
      </c>
      <c r="H377" s="12">
        <v>0</v>
      </c>
      <c r="I377" s="12">
        <v>0</v>
      </c>
      <c r="J377" s="12" t="s">
        <v>23</v>
      </c>
      <c r="K377" s="19">
        <v>45343</v>
      </c>
      <c r="L377" s="19">
        <v>45346</v>
      </c>
      <c r="M377" s="19">
        <v>45346</v>
      </c>
      <c r="N377" s="12" t="s">
        <v>24</v>
      </c>
      <c r="O377" s="12" t="s">
        <v>146</v>
      </c>
      <c r="P377" s="12" t="s">
        <v>73</v>
      </c>
      <c r="Q377" s="2">
        <f t="shared" si="5"/>
        <v>1</v>
      </c>
    </row>
    <row r="378" spans="1:17" x14ac:dyDescent="0.25">
      <c r="A378" s="12" t="s">
        <v>1174</v>
      </c>
      <c r="B378" s="12" t="s">
        <v>1175</v>
      </c>
      <c r="C378" s="12" t="s">
        <v>30</v>
      </c>
      <c r="D378" s="12" t="s">
        <v>139</v>
      </c>
      <c r="E378" s="12" t="s">
        <v>994</v>
      </c>
      <c r="F378" s="12">
        <v>13.272</v>
      </c>
      <c r="G378" s="12" t="s">
        <v>995</v>
      </c>
      <c r="H378" s="12">
        <v>40</v>
      </c>
      <c r="I378" s="12">
        <v>5.3088000000000006</v>
      </c>
      <c r="J378" s="12" t="s">
        <v>23</v>
      </c>
      <c r="K378" s="19">
        <v>45344</v>
      </c>
      <c r="L378" s="19">
        <v>45349</v>
      </c>
      <c r="M378" s="19"/>
      <c r="N378" s="12"/>
      <c r="O378" s="12" t="s">
        <v>33</v>
      </c>
      <c r="P378" s="12" t="s">
        <v>34</v>
      </c>
      <c r="Q378" s="2">
        <f t="shared" si="5"/>
        <v>1</v>
      </c>
    </row>
    <row r="379" spans="1:17" x14ac:dyDescent="0.25">
      <c r="A379" s="12" t="s">
        <v>1176</v>
      </c>
      <c r="B379" s="12" t="s">
        <v>1177</v>
      </c>
      <c r="C379" s="12" t="s">
        <v>19</v>
      </c>
      <c r="D379" s="12" t="s">
        <v>154</v>
      </c>
      <c r="E379" s="12" t="s">
        <v>994</v>
      </c>
      <c r="F379" s="12">
        <v>65.424000000000007</v>
      </c>
      <c r="G379" s="12" t="s">
        <v>995</v>
      </c>
      <c r="H379" s="12">
        <v>40</v>
      </c>
      <c r="I379" s="12">
        <v>26.169600000000003</v>
      </c>
      <c r="J379" s="12" t="s">
        <v>23</v>
      </c>
      <c r="K379" s="19">
        <v>45349</v>
      </c>
      <c r="L379" s="19">
        <v>45354</v>
      </c>
      <c r="M379" s="19"/>
      <c r="N379" s="12"/>
      <c r="O379" s="12" t="s">
        <v>67</v>
      </c>
      <c r="P379" s="12" t="s">
        <v>68</v>
      </c>
      <c r="Q379" s="2">
        <f t="shared" si="5"/>
        <v>1</v>
      </c>
    </row>
    <row r="380" spans="1:17" x14ac:dyDescent="0.25">
      <c r="A380" s="12" t="s">
        <v>1179</v>
      </c>
      <c r="B380" s="12" t="s">
        <v>1180</v>
      </c>
      <c r="C380" s="12" t="s">
        <v>30</v>
      </c>
      <c r="D380" s="12" t="s">
        <v>31</v>
      </c>
      <c r="E380" s="12" t="s">
        <v>994</v>
      </c>
      <c r="F380" s="12">
        <v>24.1</v>
      </c>
      <c r="G380" s="12" t="s">
        <v>995</v>
      </c>
      <c r="H380" s="12">
        <v>15</v>
      </c>
      <c r="I380" s="12">
        <v>3.6150000000000002</v>
      </c>
      <c r="J380" s="12" t="s">
        <v>23</v>
      </c>
      <c r="K380" s="19">
        <v>45354</v>
      </c>
      <c r="L380" s="19">
        <v>45360</v>
      </c>
      <c r="M380" s="19"/>
      <c r="N380" s="12"/>
      <c r="O380" s="12" t="s">
        <v>40</v>
      </c>
      <c r="P380" s="12" t="s">
        <v>34</v>
      </c>
      <c r="Q380" s="2">
        <f t="shared" si="5"/>
        <v>1</v>
      </c>
    </row>
    <row r="381" spans="1:17" x14ac:dyDescent="0.25">
      <c r="A381" s="12" t="s">
        <v>1182</v>
      </c>
      <c r="B381" s="12" t="s">
        <v>1183</v>
      </c>
      <c r="C381" s="12" t="s">
        <v>19</v>
      </c>
      <c r="D381" s="12" t="s">
        <v>38</v>
      </c>
      <c r="E381" s="12" t="s">
        <v>1002</v>
      </c>
      <c r="F381" s="12">
        <v>2036.86</v>
      </c>
      <c r="G381" s="12" t="s">
        <v>995</v>
      </c>
      <c r="H381" s="12">
        <v>40</v>
      </c>
      <c r="I381" s="12">
        <v>814.74400000000003</v>
      </c>
      <c r="J381" s="12" t="s">
        <v>23</v>
      </c>
      <c r="K381" s="19">
        <v>45355</v>
      </c>
      <c r="L381" s="19">
        <v>45360</v>
      </c>
      <c r="M381" s="19"/>
      <c r="N381" s="12"/>
      <c r="O381" s="12" t="s">
        <v>82</v>
      </c>
      <c r="P381" s="12" t="s">
        <v>47</v>
      </c>
      <c r="Q381" s="2">
        <f t="shared" si="5"/>
        <v>1</v>
      </c>
    </row>
    <row r="382" spans="1:17" x14ac:dyDescent="0.25">
      <c r="A382" s="12" t="s">
        <v>1185</v>
      </c>
      <c r="B382" s="12" t="s">
        <v>1186</v>
      </c>
      <c r="C382" s="12" t="s">
        <v>30</v>
      </c>
      <c r="D382" s="12" t="s">
        <v>44</v>
      </c>
      <c r="E382" s="12" t="s">
        <v>21</v>
      </c>
      <c r="F382" s="12">
        <v>839.25000000000011</v>
      </c>
      <c r="G382" s="12" t="s">
        <v>22</v>
      </c>
      <c r="H382" s="12">
        <v>0</v>
      </c>
      <c r="I382" s="12">
        <v>0</v>
      </c>
      <c r="J382" s="12" t="s">
        <v>23</v>
      </c>
      <c r="K382" s="19">
        <v>45357</v>
      </c>
      <c r="L382" s="19">
        <v>45357</v>
      </c>
      <c r="M382" s="19">
        <v>45357</v>
      </c>
      <c r="N382" s="12" t="s">
        <v>45</v>
      </c>
      <c r="O382" s="12" t="s">
        <v>72</v>
      </c>
      <c r="P382" s="12" t="s">
        <v>73</v>
      </c>
      <c r="Q382" s="2">
        <f t="shared" si="5"/>
        <v>1</v>
      </c>
    </row>
    <row r="383" spans="1:17" x14ac:dyDescent="0.25">
      <c r="A383" s="12" t="s">
        <v>1187</v>
      </c>
      <c r="B383" s="12" t="s">
        <v>1188</v>
      </c>
      <c r="C383" s="12" t="s">
        <v>30</v>
      </c>
      <c r="D383" s="12" t="s">
        <v>119</v>
      </c>
      <c r="E383" s="12" t="s">
        <v>994</v>
      </c>
      <c r="F383" s="12">
        <v>22.45</v>
      </c>
      <c r="G383" s="12" t="s">
        <v>995</v>
      </c>
      <c r="H383" s="12">
        <v>40</v>
      </c>
      <c r="I383" s="12">
        <v>8.98</v>
      </c>
      <c r="J383" s="12" t="s">
        <v>23</v>
      </c>
      <c r="K383" s="19">
        <v>45362</v>
      </c>
      <c r="L383" s="19">
        <v>45367</v>
      </c>
      <c r="M383" s="19"/>
      <c r="N383" s="12"/>
      <c r="O383" s="12" t="s">
        <v>54</v>
      </c>
      <c r="P383" s="12" t="s">
        <v>26</v>
      </c>
      <c r="Q383" s="2">
        <f t="shared" si="5"/>
        <v>1</v>
      </c>
    </row>
    <row r="384" spans="1:17" x14ac:dyDescent="0.25">
      <c r="A384" s="12" t="s">
        <v>1189</v>
      </c>
      <c r="B384" s="12" t="s">
        <v>1190</v>
      </c>
      <c r="C384" s="12" t="s">
        <v>19</v>
      </c>
      <c r="D384" s="12" t="s">
        <v>86</v>
      </c>
      <c r="E384" s="12" t="s">
        <v>1002</v>
      </c>
      <c r="F384" s="12">
        <v>154.94999999999999</v>
      </c>
      <c r="G384" s="12" t="s">
        <v>995</v>
      </c>
      <c r="H384" s="12">
        <v>40</v>
      </c>
      <c r="I384" s="12">
        <v>61.98</v>
      </c>
      <c r="J384" s="12" t="s">
        <v>23</v>
      </c>
      <c r="K384" s="19">
        <v>45364</v>
      </c>
      <c r="L384" s="19">
        <v>45369</v>
      </c>
      <c r="M384" s="19"/>
      <c r="N384" s="12"/>
      <c r="O384" s="12" t="s">
        <v>72</v>
      </c>
      <c r="P384" s="12" t="s">
        <v>73</v>
      </c>
      <c r="Q384" s="2">
        <f t="shared" si="5"/>
        <v>1</v>
      </c>
    </row>
    <row r="385" spans="1:17" x14ac:dyDescent="0.25">
      <c r="A385" s="12" t="s">
        <v>1191</v>
      </c>
      <c r="B385" s="12" t="s">
        <v>1192</v>
      </c>
      <c r="C385" s="12" t="s">
        <v>19</v>
      </c>
      <c r="D385" s="12" t="s">
        <v>115</v>
      </c>
      <c r="E385" s="12" t="s">
        <v>994</v>
      </c>
      <c r="F385" s="12">
        <v>97.88</v>
      </c>
      <c r="G385" s="12" t="s">
        <v>995</v>
      </c>
      <c r="H385" s="12">
        <v>15</v>
      </c>
      <c r="I385" s="12">
        <v>14.681999999999999</v>
      </c>
      <c r="J385" s="12" t="s">
        <v>23</v>
      </c>
      <c r="K385" s="19">
        <v>45368</v>
      </c>
      <c r="L385" s="19">
        <v>45370</v>
      </c>
      <c r="M385" s="19"/>
      <c r="N385" s="12"/>
      <c r="O385" s="12" t="s">
        <v>82</v>
      </c>
      <c r="P385" s="12" t="s">
        <v>47</v>
      </c>
      <c r="Q385" s="2">
        <f t="shared" si="5"/>
        <v>1</v>
      </c>
    </row>
    <row r="386" spans="1:17" x14ac:dyDescent="0.25">
      <c r="A386" s="2" t="s">
        <v>1194</v>
      </c>
      <c r="B386" s="2" t="s">
        <v>1195</v>
      </c>
      <c r="C386" s="2" t="s">
        <v>19</v>
      </c>
      <c r="D386" s="2" t="s">
        <v>44</v>
      </c>
      <c r="E386" s="2" t="s">
        <v>1006</v>
      </c>
      <c r="F386" s="2">
        <v>205.9992</v>
      </c>
      <c r="G386" s="2" t="s">
        <v>995</v>
      </c>
      <c r="H386" s="2">
        <v>0</v>
      </c>
      <c r="I386" s="2">
        <v>0</v>
      </c>
      <c r="J386" s="2" t="s">
        <v>23</v>
      </c>
      <c r="K386" s="20">
        <v>45370</v>
      </c>
      <c r="L386" s="20">
        <v>45375</v>
      </c>
      <c r="M386" s="20"/>
      <c r="O386" s="2" t="s">
        <v>46</v>
      </c>
      <c r="P386" s="2" t="s">
        <v>47</v>
      </c>
      <c r="Q386" s="2">
        <f t="shared" ref="Q386:Q449" si="6">COUNTIF($A$2:$A$1778,A386)</f>
        <v>1</v>
      </c>
    </row>
    <row r="387" spans="1:17" x14ac:dyDescent="0.25">
      <c r="A387" s="2" t="s">
        <v>1197</v>
      </c>
      <c r="B387" s="2" t="s">
        <v>1198</v>
      </c>
      <c r="C387" s="2" t="s">
        <v>30</v>
      </c>
      <c r="D387" s="2" t="s">
        <v>126</v>
      </c>
      <c r="E387" s="2" t="s">
        <v>1002</v>
      </c>
      <c r="F387" s="2">
        <v>339.13600000000002</v>
      </c>
      <c r="G387" s="2" t="s">
        <v>995</v>
      </c>
      <c r="H387" s="2">
        <v>40</v>
      </c>
      <c r="I387" s="2">
        <v>135.65440000000001</v>
      </c>
      <c r="J387" s="2" t="s">
        <v>23</v>
      </c>
      <c r="K387" s="20">
        <v>45371</v>
      </c>
      <c r="L387" s="20">
        <v>45376</v>
      </c>
      <c r="M387" s="20"/>
      <c r="O387" s="2" t="s">
        <v>40</v>
      </c>
      <c r="P387" s="2" t="s">
        <v>34</v>
      </c>
      <c r="Q387" s="2">
        <f t="shared" si="6"/>
        <v>1</v>
      </c>
    </row>
    <row r="388" spans="1:17" x14ac:dyDescent="0.25">
      <c r="A388" s="2" t="s">
        <v>1200</v>
      </c>
      <c r="B388" s="2" t="s">
        <v>1201</v>
      </c>
      <c r="C388" s="2" t="s">
        <v>19</v>
      </c>
      <c r="D388" s="2" t="s">
        <v>230</v>
      </c>
      <c r="E388" s="2" t="s">
        <v>21</v>
      </c>
      <c r="F388" s="2">
        <v>330.76800000000003</v>
      </c>
      <c r="G388" s="2" t="s">
        <v>22</v>
      </c>
      <c r="H388" s="2">
        <v>0</v>
      </c>
      <c r="I388" s="2">
        <v>0</v>
      </c>
      <c r="J388" s="2" t="s">
        <v>23</v>
      </c>
      <c r="K388" s="20">
        <v>45372</v>
      </c>
      <c r="L388" s="20">
        <v>45372</v>
      </c>
      <c r="M388" s="20">
        <v>45372</v>
      </c>
      <c r="N388" s="2" t="s">
        <v>45</v>
      </c>
      <c r="O388" s="2" t="s">
        <v>25</v>
      </c>
      <c r="P388" s="2" t="s">
        <v>26</v>
      </c>
      <c r="Q388" s="2">
        <f t="shared" si="6"/>
        <v>1</v>
      </c>
    </row>
    <row r="389" spans="1:17" x14ac:dyDescent="0.25">
      <c r="A389" s="2" t="s">
        <v>1203</v>
      </c>
      <c r="B389" s="2" t="s">
        <v>1204</v>
      </c>
      <c r="C389" s="2" t="s">
        <v>19</v>
      </c>
      <c r="D389" s="2" t="s">
        <v>211</v>
      </c>
      <c r="E389" s="2" t="s">
        <v>994</v>
      </c>
      <c r="F389" s="2">
        <v>106.75</v>
      </c>
      <c r="G389" s="2" t="s">
        <v>995</v>
      </c>
      <c r="H389" s="2">
        <v>15</v>
      </c>
      <c r="I389" s="2">
        <v>16.012499999999999</v>
      </c>
      <c r="J389" s="2" t="s">
        <v>23</v>
      </c>
      <c r="K389" s="20">
        <v>45373</v>
      </c>
      <c r="L389" s="20">
        <v>45375</v>
      </c>
      <c r="M389" s="20"/>
      <c r="O389" s="2" t="s">
        <v>25</v>
      </c>
      <c r="P389" s="2" t="s">
        <v>26</v>
      </c>
      <c r="Q389" s="2">
        <f t="shared" si="6"/>
        <v>1</v>
      </c>
    </row>
    <row r="390" spans="1:17" x14ac:dyDescent="0.25">
      <c r="A390" s="2" t="s">
        <v>1205</v>
      </c>
      <c r="B390" s="2" t="s">
        <v>1206</v>
      </c>
      <c r="C390" s="2" t="s">
        <v>19</v>
      </c>
      <c r="D390" s="2" t="s">
        <v>186</v>
      </c>
      <c r="E390" s="2" t="s">
        <v>1002</v>
      </c>
      <c r="F390" s="2">
        <v>9.02</v>
      </c>
      <c r="G390" s="2" t="s">
        <v>995</v>
      </c>
      <c r="H390" s="2">
        <v>40</v>
      </c>
      <c r="I390" s="2">
        <v>3.6080000000000001</v>
      </c>
      <c r="J390" s="2" t="s">
        <v>23</v>
      </c>
      <c r="K390" s="20">
        <v>45375</v>
      </c>
      <c r="L390" s="20">
        <v>45377</v>
      </c>
      <c r="M390" s="20"/>
      <c r="O390" s="2" t="s">
        <v>54</v>
      </c>
      <c r="P390" s="2" t="s">
        <v>26</v>
      </c>
      <c r="Q390" s="2">
        <f t="shared" si="6"/>
        <v>1</v>
      </c>
    </row>
    <row r="391" spans="1:17" x14ac:dyDescent="0.25">
      <c r="A391" s="2" t="s">
        <v>1208</v>
      </c>
      <c r="B391" s="2" t="s">
        <v>1209</v>
      </c>
      <c r="C391" s="2" t="s">
        <v>30</v>
      </c>
      <c r="D391" s="2" t="s">
        <v>115</v>
      </c>
      <c r="E391" s="2" t="s">
        <v>1002</v>
      </c>
      <c r="F391" s="2">
        <v>40.735999999999997</v>
      </c>
      <c r="G391" s="2" t="s">
        <v>995</v>
      </c>
      <c r="H391" s="2">
        <v>40</v>
      </c>
      <c r="I391" s="2">
        <v>16.2944</v>
      </c>
      <c r="J391" s="2" t="s">
        <v>23</v>
      </c>
      <c r="K391" s="20">
        <v>45375</v>
      </c>
      <c r="L391" s="20">
        <v>45381</v>
      </c>
      <c r="M391" s="20"/>
      <c r="O391" s="2" t="s">
        <v>54</v>
      </c>
      <c r="P391" s="2" t="s">
        <v>26</v>
      </c>
      <c r="Q391" s="2">
        <f t="shared" si="6"/>
        <v>1</v>
      </c>
    </row>
    <row r="392" spans="1:17" x14ac:dyDescent="0.25">
      <c r="A392" s="2" t="s">
        <v>1211</v>
      </c>
      <c r="B392" s="2" t="s">
        <v>1212</v>
      </c>
      <c r="C392" s="2" t="s">
        <v>19</v>
      </c>
      <c r="D392" s="2" t="s">
        <v>20</v>
      </c>
      <c r="E392" s="2" t="s">
        <v>1002</v>
      </c>
      <c r="F392" s="2">
        <v>559.62</v>
      </c>
      <c r="G392" s="2" t="s">
        <v>995</v>
      </c>
      <c r="H392" s="2">
        <v>40</v>
      </c>
      <c r="I392" s="2">
        <v>223.84800000000001</v>
      </c>
      <c r="J392" s="2" t="s">
        <v>23</v>
      </c>
      <c r="K392" s="20">
        <v>45376</v>
      </c>
      <c r="L392" s="20">
        <v>45380</v>
      </c>
      <c r="M392" s="20"/>
      <c r="O392" s="2" t="s">
        <v>82</v>
      </c>
      <c r="P392" s="2" t="s">
        <v>47</v>
      </c>
      <c r="Q392" s="2">
        <f t="shared" si="6"/>
        <v>1</v>
      </c>
    </row>
    <row r="393" spans="1:17" x14ac:dyDescent="0.25">
      <c r="A393" s="2" t="s">
        <v>1214</v>
      </c>
      <c r="B393" s="2" t="s">
        <v>1215</v>
      </c>
      <c r="C393" s="2" t="s">
        <v>19</v>
      </c>
      <c r="D393" s="2" t="s">
        <v>20</v>
      </c>
      <c r="E393" s="2" t="s">
        <v>1006</v>
      </c>
      <c r="F393" s="2">
        <v>14.976000000000001</v>
      </c>
      <c r="G393" s="2" t="s">
        <v>995</v>
      </c>
      <c r="H393" s="2">
        <v>0</v>
      </c>
      <c r="I393" s="2">
        <v>0</v>
      </c>
      <c r="J393" s="2" t="s">
        <v>23</v>
      </c>
      <c r="K393" s="20">
        <v>45377</v>
      </c>
      <c r="L393" s="20">
        <v>45382</v>
      </c>
      <c r="M393" s="20"/>
      <c r="O393" s="2" t="s">
        <v>82</v>
      </c>
      <c r="P393" s="2" t="s">
        <v>47</v>
      </c>
      <c r="Q393" s="2">
        <f t="shared" si="6"/>
        <v>1</v>
      </c>
    </row>
    <row r="394" spans="1:17" x14ac:dyDescent="0.25">
      <c r="A394" s="2" t="s">
        <v>1217</v>
      </c>
      <c r="B394" s="2" t="s">
        <v>1218</v>
      </c>
      <c r="C394" s="2" t="s">
        <v>19</v>
      </c>
      <c r="D394" s="2" t="s">
        <v>86</v>
      </c>
      <c r="E394" s="2" t="s">
        <v>994</v>
      </c>
      <c r="F394" s="2">
        <v>15.872</v>
      </c>
      <c r="G394" s="2" t="s">
        <v>995</v>
      </c>
      <c r="H394" s="2">
        <v>15</v>
      </c>
      <c r="I394" s="2">
        <v>2.3807999999999998</v>
      </c>
      <c r="J394" s="2" t="s">
        <v>23</v>
      </c>
      <c r="K394" s="20">
        <v>45377</v>
      </c>
      <c r="L394" s="20">
        <v>45383</v>
      </c>
      <c r="M394" s="20"/>
      <c r="O394" s="2" t="s">
        <v>82</v>
      </c>
      <c r="P394" s="2" t="s">
        <v>47</v>
      </c>
      <c r="Q394" s="2">
        <f t="shared" si="6"/>
        <v>1</v>
      </c>
    </row>
    <row r="395" spans="1:17" x14ac:dyDescent="0.25">
      <c r="A395" s="2" t="s">
        <v>1220</v>
      </c>
      <c r="B395" s="2" t="s">
        <v>1221</v>
      </c>
      <c r="C395" s="2" t="s">
        <v>19</v>
      </c>
      <c r="D395" s="2" t="s">
        <v>38</v>
      </c>
      <c r="E395" s="2" t="s">
        <v>1006</v>
      </c>
      <c r="F395" s="2">
        <v>9.4499999999999993</v>
      </c>
      <c r="G395" s="2" t="s">
        <v>995</v>
      </c>
      <c r="H395" s="2">
        <v>0</v>
      </c>
      <c r="I395" s="2">
        <v>0</v>
      </c>
      <c r="J395" s="2" t="s">
        <v>23</v>
      </c>
      <c r="K395" s="20">
        <v>45377</v>
      </c>
      <c r="L395" s="20">
        <v>45381</v>
      </c>
      <c r="M395" s="20"/>
      <c r="O395" s="2" t="s">
        <v>146</v>
      </c>
      <c r="P395" s="2" t="s">
        <v>73</v>
      </c>
      <c r="Q395" s="2">
        <f t="shared" si="6"/>
        <v>1</v>
      </c>
    </row>
    <row r="396" spans="1:17" x14ac:dyDescent="0.25">
      <c r="A396" s="2" t="s">
        <v>1223</v>
      </c>
      <c r="B396" s="2" t="s">
        <v>1224</v>
      </c>
      <c r="C396" s="2" t="s">
        <v>19</v>
      </c>
      <c r="D396" s="2" t="s">
        <v>96</v>
      </c>
      <c r="E396" s="2" t="s">
        <v>1002</v>
      </c>
      <c r="F396" s="2">
        <v>128.85</v>
      </c>
      <c r="G396" s="2" t="s">
        <v>995</v>
      </c>
      <c r="H396" s="2">
        <v>40</v>
      </c>
      <c r="I396" s="2">
        <v>51.54</v>
      </c>
      <c r="J396" s="2" t="s">
        <v>23</v>
      </c>
      <c r="K396" s="20">
        <v>45379</v>
      </c>
      <c r="L396" s="20">
        <v>45381</v>
      </c>
      <c r="M396" s="20"/>
      <c r="O396" s="2" t="s">
        <v>46</v>
      </c>
      <c r="P396" s="2" t="s">
        <v>47</v>
      </c>
      <c r="Q396" s="2">
        <f t="shared" si="6"/>
        <v>1</v>
      </c>
    </row>
    <row r="397" spans="1:17" x14ac:dyDescent="0.25">
      <c r="A397" s="2" t="s">
        <v>1225</v>
      </c>
      <c r="B397" s="2" t="s">
        <v>1226</v>
      </c>
      <c r="C397" s="2" t="s">
        <v>30</v>
      </c>
      <c r="D397" s="2" t="s">
        <v>31</v>
      </c>
      <c r="E397" s="2" t="s">
        <v>1006</v>
      </c>
      <c r="F397" s="2">
        <v>18.96</v>
      </c>
      <c r="G397" s="2" t="s">
        <v>995</v>
      </c>
      <c r="H397" s="2">
        <v>0</v>
      </c>
      <c r="I397" s="2">
        <v>0</v>
      </c>
      <c r="J397" s="2" t="s">
        <v>23</v>
      </c>
      <c r="K397" s="20">
        <v>45381</v>
      </c>
      <c r="L397" s="20">
        <v>45385</v>
      </c>
      <c r="M397" s="20"/>
      <c r="O397" s="2" t="s">
        <v>33</v>
      </c>
      <c r="P397" s="2" t="s">
        <v>34</v>
      </c>
      <c r="Q397" s="2">
        <f t="shared" si="6"/>
        <v>1</v>
      </c>
    </row>
    <row r="398" spans="1:17" x14ac:dyDescent="0.25">
      <c r="A398" s="2" t="s">
        <v>1228</v>
      </c>
      <c r="B398" s="2" t="s">
        <v>1229</v>
      </c>
      <c r="C398" s="2" t="s">
        <v>19</v>
      </c>
      <c r="D398" s="2" t="s">
        <v>370</v>
      </c>
      <c r="E398" s="2" t="s">
        <v>21</v>
      </c>
      <c r="F398" s="2">
        <v>170.87200000000001</v>
      </c>
      <c r="G398" s="2" t="s">
        <v>22</v>
      </c>
      <c r="H398" s="2">
        <v>0</v>
      </c>
      <c r="I398" s="2">
        <v>0</v>
      </c>
      <c r="J398" s="2" t="s">
        <v>23</v>
      </c>
      <c r="K398" s="20">
        <v>45382</v>
      </c>
      <c r="L398" s="20">
        <v>45382</v>
      </c>
      <c r="M398" s="20">
        <v>45382</v>
      </c>
      <c r="N398" s="2" t="s">
        <v>63</v>
      </c>
      <c r="O398" s="2" t="s">
        <v>40</v>
      </c>
      <c r="P398" s="2" t="s">
        <v>34</v>
      </c>
      <c r="Q398" s="2">
        <f t="shared" si="6"/>
        <v>1</v>
      </c>
    </row>
    <row r="399" spans="1:17" x14ac:dyDescent="0.25">
      <c r="A399" s="2" t="s">
        <v>1231</v>
      </c>
      <c r="B399" s="2" t="s">
        <v>1232</v>
      </c>
      <c r="C399" s="2" t="s">
        <v>19</v>
      </c>
      <c r="D399" s="2" t="s">
        <v>31</v>
      </c>
      <c r="E399" s="2" t="s">
        <v>21</v>
      </c>
      <c r="F399" s="2">
        <v>771.8</v>
      </c>
      <c r="G399" s="2" t="s">
        <v>22</v>
      </c>
      <c r="H399" s="2">
        <v>0</v>
      </c>
      <c r="I399" s="2">
        <v>0</v>
      </c>
      <c r="J399" s="2" t="s">
        <v>23</v>
      </c>
      <c r="K399" s="20">
        <v>45385</v>
      </c>
      <c r="L399" s="20">
        <v>45387</v>
      </c>
      <c r="M399" s="20">
        <v>45387</v>
      </c>
      <c r="N399" s="2" t="s">
        <v>32</v>
      </c>
      <c r="O399" s="2" t="s">
        <v>33</v>
      </c>
      <c r="P399" s="2" t="s">
        <v>34</v>
      </c>
      <c r="Q399" s="2">
        <f t="shared" si="6"/>
        <v>1</v>
      </c>
    </row>
    <row r="400" spans="1:17" x14ac:dyDescent="0.25">
      <c r="A400" s="2" t="s">
        <v>1234</v>
      </c>
      <c r="B400" s="2" t="s">
        <v>1235</v>
      </c>
      <c r="C400" s="2" t="s">
        <v>30</v>
      </c>
      <c r="D400" s="2" t="s">
        <v>119</v>
      </c>
      <c r="E400" s="2" t="s">
        <v>21</v>
      </c>
      <c r="F400" s="2">
        <v>7.0559999999999903</v>
      </c>
      <c r="G400" s="2" t="s">
        <v>22</v>
      </c>
      <c r="H400" s="2">
        <v>0</v>
      </c>
      <c r="I400" s="2">
        <v>0</v>
      </c>
      <c r="J400" s="2" t="s">
        <v>23</v>
      </c>
      <c r="K400" s="20">
        <v>45386</v>
      </c>
      <c r="L400" s="20">
        <v>45388</v>
      </c>
      <c r="M400" s="20">
        <v>45388</v>
      </c>
      <c r="N400" s="2" t="s">
        <v>32</v>
      </c>
      <c r="O400" s="2" t="s">
        <v>25</v>
      </c>
      <c r="P400" s="2" t="s">
        <v>26</v>
      </c>
      <c r="Q400" s="2">
        <f t="shared" si="6"/>
        <v>1</v>
      </c>
    </row>
    <row r="401" spans="1:17" x14ac:dyDescent="0.25">
      <c r="A401" s="2" t="s">
        <v>1237</v>
      </c>
      <c r="B401" s="2" t="s">
        <v>1238</v>
      </c>
      <c r="C401" s="2" t="s">
        <v>19</v>
      </c>
      <c r="D401" s="2" t="s">
        <v>139</v>
      </c>
      <c r="E401" s="2" t="s">
        <v>21</v>
      </c>
      <c r="F401" s="2">
        <v>400.61</v>
      </c>
      <c r="G401" s="2" t="s">
        <v>22</v>
      </c>
      <c r="H401" s="2">
        <v>0</v>
      </c>
      <c r="I401" s="2">
        <v>0</v>
      </c>
      <c r="J401" s="2" t="s">
        <v>23</v>
      </c>
      <c r="K401" s="20">
        <v>45387</v>
      </c>
      <c r="L401" s="20">
        <v>45388</v>
      </c>
      <c r="M401" s="20">
        <v>45388</v>
      </c>
      <c r="N401" s="2" t="s">
        <v>32</v>
      </c>
      <c r="O401" s="2" t="s">
        <v>46</v>
      </c>
      <c r="P401" s="2" t="s">
        <v>47</v>
      </c>
      <c r="Q401" s="2">
        <f t="shared" si="6"/>
        <v>1</v>
      </c>
    </row>
    <row r="402" spans="1:17" x14ac:dyDescent="0.25">
      <c r="A402" s="2" t="s">
        <v>1240</v>
      </c>
      <c r="B402" s="2" t="s">
        <v>1241</v>
      </c>
      <c r="C402" s="2" t="s">
        <v>19</v>
      </c>
      <c r="D402" s="2" t="s">
        <v>126</v>
      </c>
      <c r="E402" s="2" t="s">
        <v>21</v>
      </c>
      <c r="F402" s="2">
        <v>760.8</v>
      </c>
      <c r="G402" s="2" t="s">
        <v>22</v>
      </c>
      <c r="H402" s="2">
        <v>0</v>
      </c>
      <c r="I402" s="2">
        <v>0</v>
      </c>
      <c r="J402" s="2" t="s">
        <v>23</v>
      </c>
      <c r="K402" s="20">
        <v>45392</v>
      </c>
      <c r="L402" s="20">
        <v>45394</v>
      </c>
      <c r="M402" s="20">
        <v>45394</v>
      </c>
      <c r="N402" s="2" t="s">
        <v>32</v>
      </c>
      <c r="O402" s="2" t="s">
        <v>33</v>
      </c>
      <c r="P402" s="2" t="s">
        <v>34</v>
      </c>
      <c r="Q402" s="2">
        <f t="shared" si="6"/>
        <v>1</v>
      </c>
    </row>
    <row r="403" spans="1:17" x14ac:dyDescent="0.25">
      <c r="A403" s="2" t="s">
        <v>1243</v>
      </c>
      <c r="B403" s="2" t="s">
        <v>1244</v>
      </c>
      <c r="C403" s="2" t="s">
        <v>19</v>
      </c>
      <c r="D403" s="2" t="s">
        <v>139</v>
      </c>
      <c r="E403" s="2" t="s">
        <v>21</v>
      </c>
      <c r="F403" s="2">
        <v>106.104</v>
      </c>
      <c r="G403" s="2" t="s">
        <v>22</v>
      </c>
      <c r="H403" s="2">
        <v>0</v>
      </c>
      <c r="I403" s="2">
        <v>0</v>
      </c>
      <c r="J403" s="2" t="s">
        <v>23</v>
      </c>
      <c r="K403" s="20">
        <v>45393</v>
      </c>
      <c r="L403" s="20">
        <v>45393</v>
      </c>
      <c r="M403" s="20">
        <v>45393</v>
      </c>
      <c r="N403" s="2" t="s">
        <v>32</v>
      </c>
      <c r="O403" s="2" t="s">
        <v>97</v>
      </c>
      <c r="P403" s="2" t="s">
        <v>68</v>
      </c>
      <c r="Q403" s="2">
        <f t="shared" si="6"/>
        <v>1</v>
      </c>
    </row>
    <row r="404" spans="1:17" x14ac:dyDescent="0.25">
      <c r="A404" s="2" t="s">
        <v>1246</v>
      </c>
      <c r="B404" s="2" t="s">
        <v>1247</v>
      </c>
      <c r="C404" s="2" t="s">
        <v>19</v>
      </c>
      <c r="D404" s="2" t="s">
        <v>150</v>
      </c>
      <c r="E404" s="2" t="s">
        <v>21</v>
      </c>
      <c r="F404" s="2">
        <v>386.34</v>
      </c>
      <c r="G404" s="2" t="s">
        <v>22</v>
      </c>
      <c r="H404" s="2">
        <v>0</v>
      </c>
      <c r="I404" s="2">
        <v>0</v>
      </c>
      <c r="J404" s="2" t="s">
        <v>52</v>
      </c>
      <c r="K404" s="20">
        <v>44111</v>
      </c>
      <c r="L404" s="20">
        <v>44114</v>
      </c>
      <c r="M404" s="20">
        <v>44114</v>
      </c>
      <c r="N404" s="2" t="s">
        <v>39</v>
      </c>
      <c r="O404" s="2" t="s">
        <v>67</v>
      </c>
      <c r="P404" s="2" t="s">
        <v>68</v>
      </c>
      <c r="Q404" s="2">
        <f t="shared" si="6"/>
        <v>1</v>
      </c>
    </row>
    <row r="405" spans="1:17" x14ac:dyDescent="0.25">
      <c r="A405" s="2" t="s">
        <v>1249</v>
      </c>
      <c r="B405" s="2" t="s">
        <v>1250</v>
      </c>
      <c r="C405" s="2" t="s">
        <v>19</v>
      </c>
      <c r="D405" s="2" t="s">
        <v>154</v>
      </c>
      <c r="E405" s="2" t="s">
        <v>21</v>
      </c>
      <c r="F405" s="2">
        <v>152.64000000000001</v>
      </c>
      <c r="G405" s="2" t="s">
        <v>22</v>
      </c>
      <c r="H405" s="2">
        <v>0</v>
      </c>
      <c r="I405" s="2">
        <v>0</v>
      </c>
      <c r="J405" s="2" t="s">
        <v>52</v>
      </c>
      <c r="K405" s="20">
        <v>43857</v>
      </c>
      <c r="L405" s="20">
        <v>43860</v>
      </c>
      <c r="M405" s="20">
        <v>43860</v>
      </c>
      <c r="N405" s="2" t="s">
        <v>24</v>
      </c>
      <c r="O405" s="2" t="s">
        <v>33</v>
      </c>
      <c r="P405" s="2" t="s">
        <v>34</v>
      </c>
      <c r="Q405" s="2">
        <f t="shared" si="6"/>
        <v>1</v>
      </c>
    </row>
    <row r="406" spans="1:17" x14ac:dyDescent="0.25">
      <c r="A406" s="2" t="s">
        <v>1252</v>
      </c>
      <c r="B406" s="2" t="s">
        <v>1253</v>
      </c>
      <c r="C406" s="2" t="s">
        <v>30</v>
      </c>
      <c r="D406" s="2" t="s">
        <v>31</v>
      </c>
      <c r="E406" s="2" t="s">
        <v>21</v>
      </c>
      <c r="F406" s="2">
        <v>468.9</v>
      </c>
      <c r="G406" s="2" t="s">
        <v>22</v>
      </c>
      <c r="H406" s="2">
        <v>0</v>
      </c>
      <c r="I406" s="2">
        <v>0</v>
      </c>
      <c r="J406" s="2" t="s">
        <v>52</v>
      </c>
      <c r="K406" s="20">
        <v>43863</v>
      </c>
      <c r="L406" s="20">
        <v>43865</v>
      </c>
      <c r="M406" s="20">
        <v>43865</v>
      </c>
      <c r="N406" s="2" t="s">
        <v>63</v>
      </c>
      <c r="O406" s="2" t="s">
        <v>33</v>
      </c>
      <c r="P406" s="2" t="s">
        <v>34</v>
      </c>
      <c r="Q406" s="2">
        <f t="shared" si="6"/>
        <v>1</v>
      </c>
    </row>
    <row r="407" spans="1:17" x14ac:dyDescent="0.25">
      <c r="A407" s="2" t="s">
        <v>1255</v>
      </c>
      <c r="B407" s="2" t="s">
        <v>1256</v>
      </c>
      <c r="C407" s="2" t="s">
        <v>30</v>
      </c>
      <c r="D407" s="2" t="s">
        <v>58</v>
      </c>
      <c r="E407" s="2" t="s">
        <v>21</v>
      </c>
      <c r="F407" s="2">
        <v>14.56</v>
      </c>
      <c r="G407" s="2" t="s">
        <v>22</v>
      </c>
      <c r="H407" s="2">
        <v>0</v>
      </c>
      <c r="I407" s="2">
        <v>0</v>
      </c>
      <c r="J407" s="2" t="s">
        <v>52</v>
      </c>
      <c r="K407" s="20">
        <v>43870</v>
      </c>
      <c r="L407" s="20">
        <v>43871</v>
      </c>
      <c r="M407" s="20">
        <v>43871</v>
      </c>
      <c r="N407" s="2" t="s">
        <v>32</v>
      </c>
      <c r="O407" s="2" t="s">
        <v>67</v>
      </c>
      <c r="P407" s="2" t="s">
        <v>68</v>
      </c>
      <c r="Q407" s="2">
        <f t="shared" si="6"/>
        <v>1</v>
      </c>
    </row>
    <row r="408" spans="1:17" x14ac:dyDescent="0.25">
      <c r="A408" s="2" t="s">
        <v>1258</v>
      </c>
      <c r="B408" s="2" t="s">
        <v>1259</v>
      </c>
      <c r="C408" s="2" t="s">
        <v>30</v>
      </c>
      <c r="D408" s="2" t="s">
        <v>154</v>
      </c>
      <c r="E408" s="2" t="s">
        <v>21</v>
      </c>
      <c r="F408" s="2">
        <v>19.456</v>
      </c>
      <c r="G408" s="2" t="s">
        <v>22</v>
      </c>
      <c r="H408" s="2">
        <v>0</v>
      </c>
      <c r="I408" s="2">
        <v>0</v>
      </c>
      <c r="J408" s="2" t="s">
        <v>52</v>
      </c>
      <c r="K408" s="20">
        <v>43889</v>
      </c>
      <c r="L408" s="20">
        <v>43894</v>
      </c>
      <c r="M408" s="20">
        <v>43894</v>
      </c>
      <c r="N408" s="2" t="s">
        <v>24</v>
      </c>
      <c r="O408" s="2" t="s">
        <v>54</v>
      </c>
      <c r="P408" s="2" t="s">
        <v>26</v>
      </c>
      <c r="Q408" s="2">
        <f t="shared" si="6"/>
        <v>1</v>
      </c>
    </row>
    <row r="409" spans="1:17" x14ac:dyDescent="0.25">
      <c r="A409" s="2" t="s">
        <v>1261</v>
      </c>
      <c r="B409" s="2" t="s">
        <v>1262</v>
      </c>
      <c r="C409" s="2" t="s">
        <v>19</v>
      </c>
      <c r="D409" s="2" t="s">
        <v>126</v>
      </c>
      <c r="E409" s="2" t="s">
        <v>21</v>
      </c>
      <c r="F409" s="2">
        <v>101.72799999999999</v>
      </c>
      <c r="G409" s="2" t="s">
        <v>22</v>
      </c>
      <c r="H409" s="2">
        <v>0</v>
      </c>
      <c r="I409" s="2">
        <v>0</v>
      </c>
      <c r="J409" s="2" t="s">
        <v>52</v>
      </c>
      <c r="K409" s="20">
        <v>43927</v>
      </c>
      <c r="L409" s="20">
        <v>43929</v>
      </c>
      <c r="M409" s="20">
        <v>43929</v>
      </c>
      <c r="N409" s="2" t="s">
        <v>45</v>
      </c>
      <c r="O409" s="2" t="s">
        <v>25</v>
      </c>
      <c r="P409" s="2" t="s">
        <v>26</v>
      </c>
      <c r="Q409" s="2">
        <f t="shared" si="6"/>
        <v>1</v>
      </c>
    </row>
    <row r="410" spans="1:17" x14ac:dyDescent="0.25">
      <c r="A410" s="2" t="s">
        <v>1264</v>
      </c>
      <c r="B410" s="2" t="s">
        <v>1265</v>
      </c>
      <c r="C410" s="2" t="s">
        <v>19</v>
      </c>
      <c r="D410" s="2" t="s">
        <v>211</v>
      </c>
      <c r="E410" s="2" t="s">
        <v>21</v>
      </c>
      <c r="F410" s="2">
        <v>55.48</v>
      </c>
      <c r="G410" s="2" t="s">
        <v>22</v>
      </c>
      <c r="H410" s="2">
        <v>0</v>
      </c>
      <c r="I410" s="2">
        <v>0</v>
      </c>
      <c r="J410" s="2" t="s">
        <v>52</v>
      </c>
      <c r="K410" s="20">
        <v>43927</v>
      </c>
      <c r="L410" s="20">
        <v>43929</v>
      </c>
      <c r="M410" s="20">
        <v>43929</v>
      </c>
      <c r="N410" s="2" t="s">
        <v>32</v>
      </c>
      <c r="O410" s="2" t="s">
        <v>72</v>
      </c>
      <c r="P410" s="2" t="s">
        <v>73</v>
      </c>
      <c r="Q410" s="2">
        <f t="shared" si="6"/>
        <v>1</v>
      </c>
    </row>
    <row r="411" spans="1:17" x14ac:dyDescent="0.25">
      <c r="A411" s="2" t="s">
        <v>1267</v>
      </c>
      <c r="B411" s="2" t="s">
        <v>1268</v>
      </c>
      <c r="C411" s="2" t="s">
        <v>19</v>
      </c>
      <c r="D411" s="2" t="s">
        <v>186</v>
      </c>
      <c r="E411" s="2" t="s">
        <v>21</v>
      </c>
      <c r="F411" s="2">
        <v>43.312000000000005</v>
      </c>
      <c r="G411" s="2" t="s">
        <v>22</v>
      </c>
      <c r="H411" s="2">
        <v>0</v>
      </c>
      <c r="I411" s="2">
        <v>0</v>
      </c>
      <c r="J411" s="2" t="s">
        <v>52</v>
      </c>
      <c r="K411" s="20">
        <v>43956</v>
      </c>
      <c r="L411" s="20">
        <v>43957</v>
      </c>
      <c r="M411" s="20">
        <v>43957</v>
      </c>
      <c r="N411" s="2" t="s">
        <v>24</v>
      </c>
      <c r="O411" s="2" t="s">
        <v>82</v>
      </c>
      <c r="P411" s="2" t="s">
        <v>47</v>
      </c>
      <c r="Q411" s="2">
        <f t="shared" si="6"/>
        <v>1</v>
      </c>
    </row>
    <row r="412" spans="1:17" x14ac:dyDescent="0.25">
      <c r="A412" s="2" t="s">
        <v>1270</v>
      </c>
      <c r="B412" s="2" t="s">
        <v>1271</v>
      </c>
      <c r="C412" s="2" t="s">
        <v>30</v>
      </c>
      <c r="D412" s="2" t="s">
        <v>126</v>
      </c>
      <c r="E412" s="2" t="s">
        <v>21</v>
      </c>
      <c r="F412" s="2">
        <v>69.86</v>
      </c>
      <c r="G412" s="2" t="s">
        <v>22</v>
      </c>
      <c r="H412" s="2">
        <v>0</v>
      </c>
      <c r="I412" s="2">
        <v>0</v>
      </c>
      <c r="J412" s="2" t="s">
        <v>52</v>
      </c>
      <c r="K412" s="20">
        <v>43956</v>
      </c>
      <c r="L412" s="20">
        <v>43959</v>
      </c>
      <c r="M412" s="20">
        <v>43959</v>
      </c>
      <c r="N412" s="2" t="s">
        <v>45</v>
      </c>
      <c r="O412" s="2" t="s">
        <v>46</v>
      </c>
      <c r="P412" s="2" t="s">
        <v>47</v>
      </c>
      <c r="Q412" s="2">
        <f t="shared" si="6"/>
        <v>1</v>
      </c>
    </row>
    <row r="413" spans="1:17" x14ac:dyDescent="0.25">
      <c r="A413" s="2" t="s">
        <v>1273</v>
      </c>
      <c r="B413" s="2" t="s">
        <v>1274</v>
      </c>
      <c r="C413" s="2" t="s">
        <v>30</v>
      </c>
      <c r="D413" s="2" t="s">
        <v>96</v>
      </c>
      <c r="E413" s="2" t="s">
        <v>21</v>
      </c>
      <c r="F413" s="2">
        <v>47.32</v>
      </c>
      <c r="G413" s="2" t="s">
        <v>22</v>
      </c>
      <c r="H413" s="2">
        <v>0</v>
      </c>
      <c r="I413" s="2">
        <v>0</v>
      </c>
      <c r="J413" s="2" t="s">
        <v>52</v>
      </c>
      <c r="K413" s="20">
        <v>43957</v>
      </c>
      <c r="L413" s="20">
        <v>43959</v>
      </c>
      <c r="M413" s="20">
        <v>43959</v>
      </c>
      <c r="N413" s="2" t="s">
        <v>39</v>
      </c>
      <c r="O413" s="2" t="s">
        <v>72</v>
      </c>
      <c r="P413" s="2" t="s">
        <v>73</v>
      </c>
      <c r="Q413" s="2">
        <f t="shared" si="6"/>
        <v>1</v>
      </c>
    </row>
    <row r="414" spans="1:17" x14ac:dyDescent="0.25">
      <c r="A414" s="2" t="s">
        <v>1275</v>
      </c>
      <c r="B414" s="2" t="s">
        <v>1276</v>
      </c>
      <c r="C414" s="2" t="s">
        <v>19</v>
      </c>
      <c r="D414" s="2" t="s">
        <v>62</v>
      </c>
      <c r="E414" s="2" t="s">
        <v>21</v>
      </c>
      <c r="F414" s="2">
        <v>127.869</v>
      </c>
      <c r="G414" s="2" t="s">
        <v>22</v>
      </c>
      <c r="H414" s="2">
        <v>0</v>
      </c>
      <c r="I414" s="2">
        <v>0</v>
      </c>
      <c r="J414" s="2" t="s">
        <v>52</v>
      </c>
      <c r="K414" s="20">
        <v>43957</v>
      </c>
      <c r="L414" s="20">
        <v>43960</v>
      </c>
      <c r="M414" s="20">
        <v>43960</v>
      </c>
      <c r="N414" s="2" t="s">
        <v>63</v>
      </c>
      <c r="O414" s="2" t="s">
        <v>97</v>
      </c>
      <c r="P414" s="2" t="s">
        <v>68</v>
      </c>
      <c r="Q414" s="2">
        <f t="shared" si="6"/>
        <v>1</v>
      </c>
    </row>
    <row r="415" spans="1:17" x14ac:dyDescent="0.25">
      <c r="A415" s="2" t="s">
        <v>1278</v>
      </c>
      <c r="B415" s="2" t="s">
        <v>1279</v>
      </c>
      <c r="C415" s="2" t="s">
        <v>30</v>
      </c>
      <c r="D415" s="2" t="s">
        <v>370</v>
      </c>
      <c r="E415" s="2" t="s">
        <v>21</v>
      </c>
      <c r="F415" s="2">
        <v>1799.96999999999</v>
      </c>
      <c r="G415" s="2" t="s">
        <v>22</v>
      </c>
      <c r="H415" s="2">
        <v>0</v>
      </c>
      <c r="I415" s="2">
        <v>0</v>
      </c>
      <c r="J415" s="2" t="s">
        <v>52</v>
      </c>
      <c r="K415" s="20">
        <v>43960</v>
      </c>
      <c r="L415" s="20">
        <v>43962</v>
      </c>
      <c r="M415" s="20">
        <v>43962</v>
      </c>
      <c r="N415" s="2" t="s">
        <v>32</v>
      </c>
      <c r="O415" s="2" t="s">
        <v>72</v>
      </c>
      <c r="P415" s="2" t="s">
        <v>73</v>
      </c>
      <c r="Q415" s="2">
        <f t="shared" si="6"/>
        <v>1</v>
      </c>
    </row>
    <row r="416" spans="1:17" x14ac:dyDescent="0.25">
      <c r="A416" s="2" t="s">
        <v>1281</v>
      </c>
      <c r="B416" s="2" t="s">
        <v>1282</v>
      </c>
      <c r="C416" s="2" t="s">
        <v>30</v>
      </c>
      <c r="D416" s="2" t="s">
        <v>20</v>
      </c>
      <c r="E416" s="2" t="s">
        <v>21</v>
      </c>
      <c r="F416" s="2">
        <v>405.45599999999996</v>
      </c>
      <c r="G416" s="2" t="s">
        <v>22</v>
      </c>
      <c r="H416" s="2">
        <v>0</v>
      </c>
      <c r="I416" s="2">
        <v>0</v>
      </c>
      <c r="J416" s="2" t="s">
        <v>52</v>
      </c>
      <c r="K416" s="20">
        <v>43965</v>
      </c>
      <c r="L416" s="20">
        <v>43967</v>
      </c>
      <c r="M416" s="20">
        <v>43967</v>
      </c>
      <c r="N416" s="2" t="s">
        <v>63</v>
      </c>
      <c r="O416" s="2" t="s">
        <v>40</v>
      </c>
      <c r="P416" s="2" t="s">
        <v>34</v>
      </c>
      <c r="Q416" s="2">
        <f t="shared" si="6"/>
        <v>1</v>
      </c>
    </row>
    <row r="417" spans="1:17" x14ac:dyDescent="0.25">
      <c r="A417" s="2" t="s">
        <v>1283</v>
      </c>
      <c r="B417" s="2" t="s">
        <v>1284</v>
      </c>
      <c r="C417" s="2" t="s">
        <v>30</v>
      </c>
      <c r="D417" s="2" t="s">
        <v>211</v>
      </c>
      <c r="E417" s="2" t="s">
        <v>21</v>
      </c>
      <c r="F417" s="2">
        <v>34.200000000000003</v>
      </c>
      <c r="G417" s="2" t="s">
        <v>22</v>
      </c>
      <c r="H417" s="2">
        <v>0</v>
      </c>
      <c r="I417" s="2">
        <v>0</v>
      </c>
      <c r="J417" s="2" t="s">
        <v>52</v>
      </c>
      <c r="K417" s="20">
        <v>43971</v>
      </c>
      <c r="L417" s="20">
        <v>43974</v>
      </c>
      <c r="M417" s="20">
        <v>43974</v>
      </c>
      <c r="N417" s="2" t="s">
        <v>32</v>
      </c>
      <c r="O417" s="2" t="s">
        <v>40</v>
      </c>
      <c r="P417" s="2" t="s">
        <v>34</v>
      </c>
      <c r="Q417" s="2">
        <f t="shared" si="6"/>
        <v>1</v>
      </c>
    </row>
    <row r="418" spans="1:17" x14ac:dyDescent="0.25">
      <c r="A418" s="2" t="s">
        <v>1286</v>
      </c>
      <c r="B418" s="2" t="s">
        <v>1287</v>
      </c>
      <c r="C418" s="2" t="s">
        <v>19</v>
      </c>
      <c r="D418" s="2" t="s">
        <v>62</v>
      </c>
      <c r="E418" s="2" t="s">
        <v>21</v>
      </c>
      <c r="F418" s="2">
        <v>48.4</v>
      </c>
      <c r="G418" s="2" t="s">
        <v>22</v>
      </c>
      <c r="H418" s="2">
        <v>0</v>
      </c>
      <c r="I418" s="2">
        <v>0</v>
      </c>
      <c r="J418" s="2" t="s">
        <v>52</v>
      </c>
      <c r="K418" s="20">
        <v>43978</v>
      </c>
      <c r="L418" s="20">
        <v>43981</v>
      </c>
      <c r="M418" s="20">
        <v>43981</v>
      </c>
      <c r="N418" s="2" t="s">
        <v>39</v>
      </c>
      <c r="O418" s="2" t="s">
        <v>97</v>
      </c>
      <c r="P418" s="2" t="s">
        <v>68</v>
      </c>
      <c r="Q418" s="2">
        <f t="shared" si="6"/>
        <v>1</v>
      </c>
    </row>
    <row r="419" spans="1:17" x14ac:dyDescent="0.25">
      <c r="A419" s="2" t="s">
        <v>1289</v>
      </c>
      <c r="B419" s="2" t="s">
        <v>1290</v>
      </c>
      <c r="C419" s="2" t="s">
        <v>19</v>
      </c>
      <c r="D419" s="2" t="s">
        <v>139</v>
      </c>
      <c r="E419" s="2" t="s">
        <v>21</v>
      </c>
      <c r="F419" s="2">
        <v>663.75</v>
      </c>
      <c r="G419" s="2" t="s">
        <v>22</v>
      </c>
      <c r="H419" s="2">
        <v>0</v>
      </c>
      <c r="I419" s="2">
        <v>0</v>
      </c>
      <c r="J419" s="2" t="s">
        <v>1291</v>
      </c>
      <c r="K419" s="20">
        <v>44005</v>
      </c>
      <c r="L419" s="20">
        <v>44007</v>
      </c>
      <c r="M419" s="20">
        <v>44007</v>
      </c>
      <c r="N419" s="2" t="s">
        <v>45</v>
      </c>
      <c r="O419" s="2" t="s">
        <v>25</v>
      </c>
      <c r="P419" s="2" t="s">
        <v>26</v>
      </c>
      <c r="Q419" s="2">
        <f t="shared" si="6"/>
        <v>1</v>
      </c>
    </row>
    <row r="420" spans="1:17" x14ac:dyDescent="0.25">
      <c r="A420" s="2" t="s">
        <v>1293</v>
      </c>
      <c r="B420" s="2" t="s">
        <v>1294</v>
      </c>
      <c r="C420" s="2" t="s">
        <v>19</v>
      </c>
      <c r="D420" s="2" t="s">
        <v>154</v>
      </c>
      <c r="E420" s="2" t="s">
        <v>21</v>
      </c>
      <c r="F420" s="2">
        <v>196.75200000000001</v>
      </c>
      <c r="G420" s="2" t="s">
        <v>22</v>
      </c>
      <c r="H420" s="2">
        <v>0</v>
      </c>
      <c r="I420" s="2">
        <v>0</v>
      </c>
      <c r="J420" s="2" t="s">
        <v>52</v>
      </c>
      <c r="K420" s="20">
        <v>44005</v>
      </c>
      <c r="L420" s="20">
        <v>44008</v>
      </c>
      <c r="M420" s="20">
        <v>44008</v>
      </c>
      <c r="N420" s="2" t="s">
        <v>32</v>
      </c>
      <c r="O420" s="2" t="s">
        <v>25</v>
      </c>
      <c r="P420" s="2" t="s">
        <v>26</v>
      </c>
      <c r="Q420" s="2">
        <f t="shared" si="6"/>
        <v>1</v>
      </c>
    </row>
    <row r="421" spans="1:17" x14ac:dyDescent="0.25">
      <c r="A421" s="2" t="s">
        <v>1296</v>
      </c>
      <c r="B421" s="2" t="s">
        <v>1297</v>
      </c>
      <c r="C421" s="2" t="s">
        <v>30</v>
      </c>
      <c r="D421" s="2" t="s">
        <v>115</v>
      </c>
      <c r="E421" s="2" t="s">
        <v>21</v>
      </c>
      <c r="F421" s="2">
        <v>514.03000000000009</v>
      </c>
      <c r="G421" s="2" t="s">
        <v>22</v>
      </c>
      <c r="H421" s="2">
        <v>0</v>
      </c>
      <c r="I421" s="2">
        <v>0</v>
      </c>
      <c r="J421" s="2" t="s">
        <v>52</v>
      </c>
      <c r="K421" s="20">
        <v>44018</v>
      </c>
      <c r="L421" s="20">
        <v>44021</v>
      </c>
      <c r="M421" s="20">
        <v>44021</v>
      </c>
      <c r="N421" s="2" t="s">
        <v>39</v>
      </c>
      <c r="O421" s="2" t="s">
        <v>25</v>
      </c>
      <c r="P421" s="2" t="s">
        <v>26</v>
      </c>
      <c r="Q421" s="2">
        <f t="shared" si="6"/>
        <v>1</v>
      </c>
    </row>
    <row r="422" spans="1:17" x14ac:dyDescent="0.25">
      <c r="A422" s="2" t="s">
        <v>1299</v>
      </c>
      <c r="B422" s="2" t="s">
        <v>1300</v>
      </c>
      <c r="C422" s="2" t="s">
        <v>30</v>
      </c>
      <c r="D422" s="2" t="s">
        <v>119</v>
      </c>
      <c r="E422" s="2" t="s">
        <v>21</v>
      </c>
      <c r="F422" s="2">
        <v>586.33600000000001</v>
      </c>
      <c r="G422" s="2" t="s">
        <v>22</v>
      </c>
      <c r="H422" s="2">
        <v>0</v>
      </c>
      <c r="I422" s="2">
        <v>0</v>
      </c>
      <c r="J422" s="2" t="s">
        <v>52</v>
      </c>
      <c r="K422" s="20">
        <v>44024</v>
      </c>
      <c r="L422" s="20">
        <v>44027</v>
      </c>
      <c r="M422" s="20">
        <v>44027</v>
      </c>
      <c r="N422" s="2" t="s">
        <v>24</v>
      </c>
      <c r="O422" s="2" t="s">
        <v>46</v>
      </c>
      <c r="P422" s="2" t="s">
        <v>47</v>
      </c>
      <c r="Q422" s="2">
        <f t="shared" si="6"/>
        <v>1</v>
      </c>
    </row>
    <row r="423" spans="1:17" x14ac:dyDescent="0.25">
      <c r="A423" s="2" t="s">
        <v>1302</v>
      </c>
      <c r="B423" s="2" t="s">
        <v>1303</v>
      </c>
      <c r="C423" s="2" t="s">
        <v>30</v>
      </c>
      <c r="D423" s="2" t="s">
        <v>230</v>
      </c>
      <c r="E423" s="2" t="s">
        <v>21</v>
      </c>
      <c r="F423" s="2">
        <v>62.94</v>
      </c>
      <c r="G423" s="2" t="s">
        <v>22</v>
      </c>
      <c r="H423" s="2">
        <v>0</v>
      </c>
      <c r="I423" s="2">
        <v>0</v>
      </c>
      <c r="J423" s="2" t="s">
        <v>52</v>
      </c>
      <c r="K423" s="20">
        <v>44059</v>
      </c>
      <c r="L423" s="20">
        <v>44062</v>
      </c>
      <c r="M423" s="20">
        <v>44062</v>
      </c>
      <c r="N423" s="2" t="s">
        <v>24</v>
      </c>
      <c r="O423" s="2" t="s">
        <v>25</v>
      </c>
      <c r="P423" s="2" t="s">
        <v>26</v>
      </c>
      <c r="Q423" s="2">
        <f t="shared" si="6"/>
        <v>1</v>
      </c>
    </row>
    <row r="424" spans="1:17" x14ac:dyDescent="0.25">
      <c r="A424" s="2" t="s">
        <v>1305</v>
      </c>
      <c r="B424" s="2" t="s">
        <v>1306</v>
      </c>
      <c r="C424" s="2" t="s">
        <v>30</v>
      </c>
      <c r="D424" s="2" t="s">
        <v>105</v>
      </c>
      <c r="E424" s="2" t="s">
        <v>21</v>
      </c>
      <c r="F424" s="2">
        <v>243.60000000000002</v>
      </c>
      <c r="G424" s="2" t="s">
        <v>22</v>
      </c>
      <c r="H424" s="2">
        <v>0</v>
      </c>
      <c r="I424" s="2">
        <v>0</v>
      </c>
      <c r="J424" s="2" t="s">
        <v>52</v>
      </c>
      <c r="K424" s="20">
        <v>44059</v>
      </c>
      <c r="L424" s="20">
        <v>44061</v>
      </c>
      <c r="M424" s="20">
        <v>44061</v>
      </c>
      <c r="N424" s="2" t="s">
        <v>45</v>
      </c>
      <c r="O424" s="2" t="s">
        <v>40</v>
      </c>
      <c r="P424" s="2" t="s">
        <v>34</v>
      </c>
      <c r="Q424" s="2">
        <f t="shared" si="6"/>
        <v>1</v>
      </c>
    </row>
    <row r="425" spans="1:17" x14ac:dyDescent="0.25">
      <c r="A425" s="2" t="s">
        <v>1308</v>
      </c>
      <c r="B425" s="2" t="s">
        <v>1309</v>
      </c>
      <c r="C425" s="2" t="s">
        <v>19</v>
      </c>
      <c r="D425" s="2" t="s">
        <v>51</v>
      </c>
      <c r="E425" s="2" t="s">
        <v>21</v>
      </c>
      <c r="F425" s="2">
        <v>1812.0099999999991</v>
      </c>
      <c r="G425" s="2" t="s">
        <v>22</v>
      </c>
      <c r="H425" s="2">
        <v>0</v>
      </c>
      <c r="I425" s="2">
        <v>0</v>
      </c>
      <c r="J425" s="2" t="s">
        <v>52</v>
      </c>
      <c r="K425" s="20">
        <v>44071</v>
      </c>
      <c r="L425" s="20">
        <v>44073</v>
      </c>
      <c r="M425" s="20">
        <v>44073</v>
      </c>
      <c r="N425" s="2" t="s">
        <v>63</v>
      </c>
      <c r="O425" s="2" t="s">
        <v>33</v>
      </c>
      <c r="P425" s="2" t="s">
        <v>34</v>
      </c>
      <c r="Q425" s="2">
        <f t="shared" si="6"/>
        <v>1</v>
      </c>
    </row>
    <row r="426" spans="1:17" x14ac:dyDescent="0.25">
      <c r="A426" s="2" t="s">
        <v>1311</v>
      </c>
      <c r="B426" s="2" t="s">
        <v>1312</v>
      </c>
      <c r="C426" s="2" t="s">
        <v>19</v>
      </c>
      <c r="D426" s="2" t="s">
        <v>20</v>
      </c>
      <c r="E426" s="2" t="s">
        <v>21</v>
      </c>
      <c r="F426" s="2">
        <v>91.488</v>
      </c>
      <c r="G426" s="2" t="s">
        <v>22</v>
      </c>
      <c r="H426" s="2">
        <v>0</v>
      </c>
      <c r="I426" s="2">
        <v>0</v>
      </c>
      <c r="J426" s="2" t="s">
        <v>52</v>
      </c>
      <c r="K426" s="20">
        <v>44084</v>
      </c>
      <c r="L426" s="20">
        <v>44086</v>
      </c>
      <c r="M426" s="20">
        <v>44086</v>
      </c>
      <c r="N426" s="2" t="s">
        <v>45</v>
      </c>
      <c r="O426" s="2" t="s">
        <v>146</v>
      </c>
      <c r="P426" s="2" t="s">
        <v>73</v>
      </c>
      <c r="Q426" s="2">
        <f t="shared" si="6"/>
        <v>1</v>
      </c>
    </row>
    <row r="427" spans="1:17" x14ac:dyDescent="0.25">
      <c r="A427" s="2" t="s">
        <v>1313</v>
      </c>
      <c r="B427" s="2" t="s">
        <v>1314</v>
      </c>
      <c r="C427" s="2" t="s">
        <v>30</v>
      </c>
      <c r="D427" s="2" t="s">
        <v>81</v>
      </c>
      <c r="E427" s="2" t="s">
        <v>21</v>
      </c>
      <c r="F427" s="2">
        <v>504.55</v>
      </c>
      <c r="G427" s="2" t="s">
        <v>22</v>
      </c>
      <c r="H427" s="2">
        <v>0</v>
      </c>
      <c r="I427" s="2">
        <v>0</v>
      </c>
      <c r="J427" s="2" t="s">
        <v>52</v>
      </c>
      <c r="K427" s="20">
        <v>44095</v>
      </c>
      <c r="L427" s="20">
        <v>44098</v>
      </c>
      <c r="M427" s="20">
        <v>44098</v>
      </c>
      <c r="N427" s="2" t="s">
        <v>63</v>
      </c>
      <c r="O427" s="2" t="s">
        <v>97</v>
      </c>
      <c r="P427" s="2" t="s">
        <v>68</v>
      </c>
      <c r="Q427" s="2">
        <f t="shared" si="6"/>
        <v>1</v>
      </c>
    </row>
    <row r="428" spans="1:17" x14ac:dyDescent="0.25">
      <c r="A428" s="2" t="s">
        <v>1316</v>
      </c>
      <c r="B428" s="2" t="s">
        <v>1317</v>
      </c>
      <c r="C428" s="2" t="s">
        <v>30</v>
      </c>
      <c r="D428" s="2" t="s">
        <v>370</v>
      </c>
      <c r="E428" s="2" t="s">
        <v>21</v>
      </c>
      <c r="F428" s="2">
        <v>8.5440000000000005</v>
      </c>
      <c r="G428" s="2" t="s">
        <v>22</v>
      </c>
      <c r="H428" s="2">
        <v>0</v>
      </c>
      <c r="I428" s="2">
        <v>0</v>
      </c>
      <c r="J428" s="2" t="s">
        <v>52</v>
      </c>
      <c r="K428" s="20">
        <v>44096</v>
      </c>
      <c r="L428" s="20">
        <v>44098</v>
      </c>
      <c r="M428" s="20">
        <v>44098</v>
      </c>
      <c r="N428" s="2" t="s">
        <v>24</v>
      </c>
      <c r="O428" s="2" t="s">
        <v>25</v>
      </c>
      <c r="P428" s="2" t="s">
        <v>26</v>
      </c>
      <c r="Q428" s="2">
        <f t="shared" si="6"/>
        <v>1</v>
      </c>
    </row>
    <row r="429" spans="1:17" x14ac:dyDescent="0.25">
      <c r="A429" s="2" t="s">
        <v>1318</v>
      </c>
      <c r="B429" s="2" t="s">
        <v>1319</v>
      </c>
      <c r="C429" s="2" t="s">
        <v>19</v>
      </c>
      <c r="D429" s="2" t="s">
        <v>51</v>
      </c>
      <c r="E429" s="2" t="s">
        <v>21</v>
      </c>
      <c r="F429" s="2">
        <v>604.99200000000008</v>
      </c>
      <c r="G429" s="2" t="s">
        <v>22</v>
      </c>
      <c r="H429" s="2">
        <v>0</v>
      </c>
      <c r="I429" s="2">
        <v>0</v>
      </c>
      <c r="J429" s="2" t="s">
        <v>52</v>
      </c>
      <c r="K429" s="20">
        <v>44101</v>
      </c>
      <c r="L429" s="20">
        <v>44102</v>
      </c>
      <c r="M429" s="20">
        <v>44102</v>
      </c>
      <c r="N429" s="2" t="s">
        <v>32</v>
      </c>
      <c r="O429" s="2" t="s">
        <v>146</v>
      </c>
      <c r="P429" s="2" t="s">
        <v>73</v>
      </c>
      <c r="Q429" s="2">
        <f t="shared" si="6"/>
        <v>1</v>
      </c>
    </row>
    <row r="430" spans="1:17" x14ac:dyDescent="0.25">
      <c r="A430" s="2" t="s">
        <v>1320</v>
      </c>
      <c r="B430" s="2" t="s">
        <v>1321</v>
      </c>
      <c r="C430" s="2" t="s">
        <v>30</v>
      </c>
      <c r="D430" s="2" t="s">
        <v>51</v>
      </c>
      <c r="E430" s="2" t="s">
        <v>21</v>
      </c>
      <c r="F430" s="2">
        <v>697.32</v>
      </c>
      <c r="G430" s="2" t="s">
        <v>22</v>
      </c>
      <c r="H430" s="2">
        <v>0</v>
      </c>
      <c r="I430" s="2">
        <v>0</v>
      </c>
      <c r="J430" s="2" t="s">
        <v>52</v>
      </c>
      <c r="K430" s="20">
        <v>44004</v>
      </c>
      <c r="L430" s="20">
        <v>44007</v>
      </c>
      <c r="M430" s="20">
        <v>44007</v>
      </c>
      <c r="N430" s="2" t="s">
        <v>53</v>
      </c>
      <c r="O430" s="2" t="s">
        <v>25</v>
      </c>
      <c r="P430" s="2" t="s">
        <v>26</v>
      </c>
      <c r="Q430" s="2">
        <f t="shared" si="6"/>
        <v>1</v>
      </c>
    </row>
    <row r="431" spans="1:17" x14ac:dyDescent="0.25">
      <c r="A431" s="2" t="s">
        <v>1323</v>
      </c>
      <c r="B431" s="2" t="s">
        <v>1324</v>
      </c>
      <c r="C431" s="2" t="s">
        <v>19</v>
      </c>
      <c r="D431" s="2" t="s">
        <v>115</v>
      </c>
      <c r="E431" s="2" t="s">
        <v>21</v>
      </c>
      <c r="F431" s="2">
        <v>389.74</v>
      </c>
      <c r="G431" s="2" t="s">
        <v>22</v>
      </c>
      <c r="H431" s="2">
        <v>0</v>
      </c>
      <c r="I431" s="2">
        <v>0</v>
      </c>
      <c r="J431" s="2" t="s">
        <v>52</v>
      </c>
      <c r="K431" s="20">
        <v>44118</v>
      </c>
      <c r="L431" s="20">
        <v>44120</v>
      </c>
      <c r="M431" s="20">
        <v>44120</v>
      </c>
      <c r="N431" s="2" t="s">
        <v>32</v>
      </c>
      <c r="O431" s="2" t="s">
        <v>46</v>
      </c>
      <c r="P431" s="2" t="s">
        <v>47</v>
      </c>
      <c r="Q431" s="2">
        <f t="shared" si="6"/>
        <v>1</v>
      </c>
    </row>
    <row r="432" spans="1:17" x14ac:dyDescent="0.25">
      <c r="A432" s="2" t="s">
        <v>1326</v>
      </c>
      <c r="B432" s="2" t="s">
        <v>1327</v>
      </c>
      <c r="C432" s="2" t="s">
        <v>19</v>
      </c>
      <c r="D432" s="2" t="s">
        <v>150</v>
      </c>
      <c r="E432" s="2" t="s">
        <v>21</v>
      </c>
      <c r="F432" s="2">
        <v>13.36</v>
      </c>
      <c r="G432" s="2" t="s">
        <v>22</v>
      </c>
      <c r="H432" s="2">
        <v>0</v>
      </c>
      <c r="I432" s="2">
        <v>0</v>
      </c>
      <c r="J432" s="2" t="s">
        <v>1291</v>
      </c>
      <c r="K432" s="20">
        <v>43989</v>
      </c>
      <c r="L432" s="20">
        <v>43992</v>
      </c>
      <c r="M432" s="20">
        <v>43992</v>
      </c>
      <c r="N432" s="2" t="s">
        <v>53</v>
      </c>
      <c r="O432" s="2" t="s">
        <v>72</v>
      </c>
      <c r="P432" s="2" t="s">
        <v>73</v>
      </c>
      <c r="Q432" s="2">
        <f t="shared" si="6"/>
        <v>1</v>
      </c>
    </row>
    <row r="433" spans="1:17" x14ac:dyDescent="0.25">
      <c r="A433" s="2" t="s">
        <v>1329</v>
      </c>
      <c r="B433" s="2" t="s">
        <v>1330</v>
      </c>
      <c r="C433" s="2" t="s">
        <v>19</v>
      </c>
      <c r="D433" s="2" t="s">
        <v>126</v>
      </c>
      <c r="E433" s="2" t="s">
        <v>21</v>
      </c>
      <c r="F433" s="2">
        <v>221.35</v>
      </c>
      <c r="G433" s="2" t="s">
        <v>22</v>
      </c>
      <c r="H433" s="2">
        <v>0</v>
      </c>
      <c r="I433" s="2">
        <v>0</v>
      </c>
      <c r="J433" s="2" t="s">
        <v>52</v>
      </c>
      <c r="K433" s="20">
        <v>44047</v>
      </c>
      <c r="L433" s="20">
        <v>44049</v>
      </c>
      <c r="M433" s="20">
        <v>44049</v>
      </c>
      <c r="N433" s="2" t="s">
        <v>63</v>
      </c>
      <c r="O433" s="2" t="s">
        <v>67</v>
      </c>
      <c r="P433" s="2" t="s">
        <v>68</v>
      </c>
      <c r="Q433" s="2">
        <f t="shared" si="6"/>
        <v>1</v>
      </c>
    </row>
    <row r="434" spans="1:17" x14ac:dyDescent="0.25">
      <c r="A434" s="2" t="s">
        <v>1332</v>
      </c>
      <c r="B434" s="2" t="s">
        <v>1333</v>
      </c>
      <c r="C434" s="2" t="s">
        <v>30</v>
      </c>
      <c r="D434" s="2" t="s">
        <v>86</v>
      </c>
      <c r="E434" s="2" t="s">
        <v>21</v>
      </c>
      <c r="F434" s="2">
        <v>94.263999999999996</v>
      </c>
      <c r="G434" s="2" t="s">
        <v>22</v>
      </c>
      <c r="H434" s="2">
        <v>0</v>
      </c>
      <c r="I434" s="2">
        <v>0</v>
      </c>
      <c r="J434" s="2" t="s">
        <v>52</v>
      </c>
      <c r="K434" s="20">
        <v>44137</v>
      </c>
      <c r="L434" s="20">
        <v>44139</v>
      </c>
      <c r="M434" s="20">
        <v>44139</v>
      </c>
      <c r="N434" s="2" t="s">
        <v>32</v>
      </c>
      <c r="O434" s="2" t="s">
        <v>54</v>
      </c>
      <c r="P434" s="2" t="s">
        <v>26</v>
      </c>
      <c r="Q434" s="2">
        <f t="shared" si="6"/>
        <v>1</v>
      </c>
    </row>
    <row r="435" spans="1:17" x14ac:dyDescent="0.25">
      <c r="A435" s="2" t="s">
        <v>1335</v>
      </c>
      <c r="B435" s="2" t="s">
        <v>1336</v>
      </c>
      <c r="C435" s="2" t="s">
        <v>30</v>
      </c>
      <c r="D435" s="2" t="s">
        <v>119</v>
      </c>
      <c r="E435" s="2" t="s">
        <v>21</v>
      </c>
      <c r="F435" s="2">
        <v>100.39799999999991</v>
      </c>
      <c r="G435" s="2" t="s">
        <v>22</v>
      </c>
      <c r="H435" s="2">
        <v>0</v>
      </c>
      <c r="I435" s="2">
        <v>0</v>
      </c>
      <c r="J435" s="2" t="s">
        <v>52</v>
      </c>
      <c r="K435" s="20">
        <v>44143</v>
      </c>
      <c r="L435" s="20">
        <v>44145</v>
      </c>
      <c r="M435" s="20">
        <v>44145</v>
      </c>
      <c r="N435" s="2" t="s">
        <v>45</v>
      </c>
      <c r="O435" s="2" t="s">
        <v>40</v>
      </c>
      <c r="P435" s="2" t="s">
        <v>34</v>
      </c>
      <c r="Q435" s="2">
        <f t="shared" si="6"/>
        <v>1</v>
      </c>
    </row>
    <row r="436" spans="1:17" x14ac:dyDescent="0.25">
      <c r="A436" s="2" t="s">
        <v>1338</v>
      </c>
      <c r="B436" s="2" t="s">
        <v>1339</v>
      </c>
      <c r="C436" s="2" t="s">
        <v>19</v>
      </c>
      <c r="D436" s="2" t="s">
        <v>58</v>
      </c>
      <c r="E436" s="2" t="s">
        <v>21</v>
      </c>
      <c r="F436" s="2">
        <v>803.04000000000008</v>
      </c>
      <c r="G436" s="2" t="s">
        <v>22</v>
      </c>
      <c r="H436" s="2">
        <v>0</v>
      </c>
      <c r="I436" s="2">
        <v>0</v>
      </c>
      <c r="J436" s="2" t="s">
        <v>52</v>
      </c>
      <c r="K436" s="20">
        <v>44151</v>
      </c>
      <c r="L436" s="20">
        <v>44154</v>
      </c>
      <c r="M436" s="20">
        <v>44154</v>
      </c>
      <c r="N436" s="2" t="s">
        <v>32</v>
      </c>
      <c r="O436" s="2" t="s">
        <v>33</v>
      </c>
      <c r="P436" s="2" t="s">
        <v>34</v>
      </c>
      <c r="Q436" s="2">
        <f t="shared" si="6"/>
        <v>1</v>
      </c>
    </row>
    <row r="437" spans="1:17" x14ac:dyDescent="0.25">
      <c r="A437" s="2" t="s">
        <v>1341</v>
      </c>
      <c r="B437" s="2" t="s">
        <v>1342</v>
      </c>
      <c r="C437" s="2" t="s">
        <v>30</v>
      </c>
      <c r="D437" s="2" t="s">
        <v>154</v>
      </c>
      <c r="E437" s="2" t="s">
        <v>21</v>
      </c>
      <c r="F437" s="2">
        <v>151.72</v>
      </c>
      <c r="G437" s="2" t="s">
        <v>22</v>
      </c>
      <c r="H437" s="2">
        <v>0</v>
      </c>
      <c r="I437" s="2">
        <v>0</v>
      </c>
      <c r="J437" s="2" t="s">
        <v>52</v>
      </c>
      <c r="K437" s="20">
        <v>44160</v>
      </c>
      <c r="L437" s="20">
        <v>44162</v>
      </c>
      <c r="M437" s="20">
        <v>44162</v>
      </c>
      <c r="N437" s="2" t="s">
        <v>24</v>
      </c>
      <c r="O437" s="2" t="s">
        <v>54</v>
      </c>
      <c r="P437" s="2" t="s">
        <v>26</v>
      </c>
      <c r="Q437" s="2">
        <f t="shared" si="6"/>
        <v>1</v>
      </c>
    </row>
    <row r="438" spans="1:17" x14ac:dyDescent="0.25">
      <c r="A438" s="2" t="s">
        <v>1344</v>
      </c>
      <c r="B438" s="2" t="s">
        <v>1345</v>
      </c>
      <c r="C438" s="2" t="s">
        <v>19</v>
      </c>
      <c r="D438" s="2" t="s">
        <v>345</v>
      </c>
      <c r="E438" s="2" t="s">
        <v>21</v>
      </c>
      <c r="F438" s="2">
        <v>327.56</v>
      </c>
      <c r="G438" s="2" t="s">
        <v>22</v>
      </c>
      <c r="H438" s="2">
        <v>0</v>
      </c>
      <c r="I438" s="2">
        <v>0</v>
      </c>
      <c r="J438" s="2" t="s">
        <v>52</v>
      </c>
      <c r="K438" s="20">
        <v>44167</v>
      </c>
      <c r="L438" s="20">
        <v>44169</v>
      </c>
      <c r="M438" s="20">
        <v>44169</v>
      </c>
      <c r="N438" s="2" t="s">
        <v>39</v>
      </c>
      <c r="O438" s="2" t="s">
        <v>72</v>
      </c>
      <c r="P438" s="2" t="s">
        <v>73</v>
      </c>
      <c r="Q438" s="2">
        <f t="shared" si="6"/>
        <v>1</v>
      </c>
    </row>
    <row r="439" spans="1:17" x14ac:dyDescent="0.25">
      <c r="A439" s="2" t="s">
        <v>1347</v>
      </c>
      <c r="B439" s="2" t="s">
        <v>1348</v>
      </c>
      <c r="C439" s="2" t="s">
        <v>30</v>
      </c>
      <c r="D439" s="2" t="s">
        <v>51</v>
      </c>
      <c r="E439" s="2" t="s">
        <v>21</v>
      </c>
      <c r="F439" s="2">
        <v>164.88</v>
      </c>
      <c r="G439" s="2" t="s">
        <v>22</v>
      </c>
      <c r="H439" s="2">
        <v>0</v>
      </c>
      <c r="I439" s="2">
        <v>0</v>
      </c>
      <c r="J439" s="2" t="s">
        <v>52</v>
      </c>
      <c r="K439" s="20">
        <v>44173</v>
      </c>
      <c r="L439" s="20">
        <v>44174</v>
      </c>
      <c r="M439" s="20">
        <v>44174</v>
      </c>
      <c r="N439" s="2" t="s">
        <v>53</v>
      </c>
      <c r="O439" s="2" t="s">
        <v>72</v>
      </c>
      <c r="P439" s="2" t="s">
        <v>73</v>
      </c>
      <c r="Q439" s="2">
        <f t="shared" si="6"/>
        <v>1</v>
      </c>
    </row>
    <row r="440" spans="1:17" x14ac:dyDescent="0.25">
      <c r="A440" s="2" t="s">
        <v>1350</v>
      </c>
      <c r="B440" s="2" t="s">
        <v>1351</v>
      </c>
      <c r="C440" s="2" t="s">
        <v>30</v>
      </c>
      <c r="D440" s="2" t="s">
        <v>44</v>
      </c>
      <c r="E440" s="2" t="s">
        <v>21</v>
      </c>
      <c r="F440" s="2">
        <v>1308.1959999999999</v>
      </c>
      <c r="G440" s="2" t="s">
        <v>22</v>
      </c>
      <c r="H440" s="2">
        <v>0</v>
      </c>
      <c r="I440" s="2">
        <v>0</v>
      </c>
      <c r="J440" s="2" t="s">
        <v>52</v>
      </c>
      <c r="K440" s="20">
        <v>44182</v>
      </c>
      <c r="L440" s="20">
        <v>44183</v>
      </c>
      <c r="M440" s="20">
        <v>44183</v>
      </c>
      <c r="N440" s="2" t="s">
        <v>24</v>
      </c>
      <c r="O440" s="2" t="s">
        <v>82</v>
      </c>
      <c r="P440" s="2" t="s">
        <v>47</v>
      </c>
      <c r="Q440" s="2">
        <f t="shared" si="6"/>
        <v>1</v>
      </c>
    </row>
    <row r="441" spans="1:17" x14ac:dyDescent="0.25">
      <c r="A441" s="2" t="s">
        <v>1352</v>
      </c>
      <c r="B441" s="2" t="s">
        <v>1353</v>
      </c>
      <c r="C441" s="2" t="s">
        <v>30</v>
      </c>
      <c r="D441" s="2" t="s">
        <v>370</v>
      </c>
      <c r="E441" s="2" t="s">
        <v>21</v>
      </c>
      <c r="F441" s="2">
        <v>1107.6600000000001</v>
      </c>
      <c r="G441" s="2" t="s">
        <v>22</v>
      </c>
      <c r="H441" s="2">
        <v>0</v>
      </c>
      <c r="I441" s="2">
        <v>0</v>
      </c>
      <c r="J441" s="2" t="s">
        <v>52</v>
      </c>
      <c r="K441" s="20">
        <v>44186</v>
      </c>
      <c r="L441" s="20">
        <v>44189</v>
      </c>
      <c r="M441" s="20">
        <v>44189</v>
      </c>
      <c r="N441" s="2" t="s">
        <v>45</v>
      </c>
      <c r="O441" s="2" t="s">
        <v>54</v>
      </c>
      <c r="P441" s="2" t="s">
        <v>26</v>
      </c>
      <c r="Q441" s="2">
        <f t="shared" si="6"/>
        <v>1</v>
      </c>
    </row>
    <row r="442" spans="1:17" x14ac:dyDescent="0.25">
      <c r="A442" s="2" t="s">
        <v>1355</v>
      </c>
      <c r="B442" s="2" t="s">
        <v>1356</v>
      </c>
      <c r="C442" s="2" t="s">
        <v>30</v>
      </c>
      <c r="D442" s="2" t="s">
        <v>139</v>
      </c>
      <c r="E442" s="2" t="s">
        <v>21</v>
      </c>
      <c r="F442" s="2">
        <v>13.97</v>
      </c>
      <c r="G442" s="2" t="s">
        <v>22</v>
      </c>
      <c r="H442" s="2">
        <v>0</v>
      </c>
      <c r="I442" s="2">
        <v>0</v>
      </c>
      <c r="J442" s="2" t="s">
        <v>52</v>
      </c>
      <c r="K442" s="20">
        <v>44190</v>
      </c>
      <c r="L442" s="20">
        <v>44192</v>
      </c>
      <c r="M442" s="20">
        <v>44192</v>
      </c>
      <c r="N442" s="2" t="s">
        <v>39</v>
      </c>
      <c r="O442" s="2" t="s">
        <v>72</v>
      </c>
      <c r="P442" s="2" t="s">
        <v>73</v>
      </c>
      <c r="Q442" s="2">
        <f t="shared" si="6"/>
        <v>1</v>
      </c>
    </row>
    <row r="443" spans="1:17" x14ac:dyDescent="0.25">
      <c r="A443" s="2" t="s">
        <v>1358</v>
      </c>
      <c r="B443" s="2" t="s">
        <v>1359</v>
      </c>
      <c r="C443" s="2" t="s">
        <v>19</v>
      </c>
      <c r="D443" s="2" t="s">
        <v>230</v>
      </c>
      <c r="E443" s="2" t="s">
        <v>21</v>
      </c>
      <c r="F443" s="2">
        <v>99.135999999999996</v>
      </c>
      <c r="G443" s="2" t="s">
        <v>22</v>
      </c>
      <c r="H443" s="2">
        <v>0</v>
      </c>
      <c r="I443" s="2">
        <v>0</v>
      </c>
      <c r="J443" s="2" t="s">
        <v>52</v>
      </c>
      <c r="K443" s="20">
        <v>44194</v>
      </c>
      <c r="L443" s="20">
        <v>44196</v>
      </c>
      <c r="M443" s="20">
        <v>44196</v>
      </c>
      <c r="N443" s="2" t="s">
        <v>24</v>
      </c>
      <c r="O443" s="2" t="s">
        <v>54</v>
      </c>
      <c r="P443" s="2" t="s">
        <v>26</v>
      </c>
      <c r="Q443" s="2">
        <f t="shared" si="6"/>
        <v>1</v>
      </c>
    </row>
    <row r="444" spans="1:17" x14ac:dyDescent="0.25">
      <c r="A444" s="2" t="s">
        <v>1360</v>
      </c>
      <c r="B444" s="2" t="s">
        <v>1361</v>
      </c>
      <c r="C444" s="2" t="s">
        <v>30</v>
      </c>
      <c r="D444" s="2" t="s">
        <v>62</v>
      </c>
      <c r="E444" s="2" t="s">
        <v>21</v>
      </c>
      <c r="F444" s="2">
        <v>178.37</v>
      </c>
      <c r="G444" s="2" t="s">
        <v>22</v>
      </c>
      <c r="H444" s="2">
        <v>0</v>
      </c>
      <c r="I444" s="2">
        <v>0</v>
      </c>
      <c r="J444" s="2" t="s">
        <v>52</v>
      </c>
      <c r="K444" s="20">
        <v>44231</v>
      </c>
      <c r="L444" s="20">
        <v>44233</v>
      </c>
      <c r="M444" s="20">
        <v>44233</v>
      </c>
      <c r="N444" s="2" t="s">
        <v>63</v>
      </c>
      <c r="O444" s="2" t="s">
        <v>97</v>
      </c>
      <c r="P444" s="2" t="s">
        <v>68</v>
      </c>
      <c r="Q444" s="2">
        <f t="shared" si="6"/>
        <v>1</v>
      </c>
    </row>
    <row r="445" spans="1:17" x14ac:dyDescent="0.25">
      <c r="A445" s="2" t="s">
        <v>1363</v>
      </c>
      <c r="B445" s="2" t="s">
        <v>1364</v>
      </c>
      <c r="C445" s="2" t="s">
        <v>30</v>
      </c>
      <c r="D445" s="2" t="s">
        <v>44</v>
      </c>
      <c r="E445" s="2" t="s">
        <v>21</v>
      </c>
      <c r="F445" s="2">
        <v>432.69</v>
      </c>
      <c r="G445" s="2" t="s">
        <v>22</v>
      </c>
      <c r="H445" s="2">
        <v>0</v>
      </c>
      <c r="I445" s="2">
        <v>0</v>
      </c>
      <c r="J445" s="2" t="s">
        <v>52</v>
      </c>
      <c r="K445" s="20">
        <v>44279</v>
      </c>
      <c r="L445" s="20">
        <v>44281</v>
      </c>
      <c r="M445" s="20">
        <v>44281</v>
      </c>
      <c r="N445" s="2" t="s">
        <v>45</v>
      </c>
      <c r="O445" s="2" t="s">
        <v>97</v>
      </c>
      <c r="P445" s="2" t="s">
        <v>68</v>
      </c>
      <c r="Q445" s="2">
        <f t="shared" si="6"/>
        <v>1</v>
      </c>
    </row>
    <row r="446" spans="1:17" x14ac:dyDescent="0.25">
      <c r="A446" s="2" t="s">
        <v>1366</v>
      </c>
      <c r="B446" s="2" t="s">
        <v>1367</v>
      </c>
      <c r="C446" s="2" t="s">
        <v>19</v>
      </c>
      <c r="D446" s="2" t="s">
        <v>58</v>
      </c>
      <c r="E446" s="2" t="s">
        <v>21</v>
      </c>
      <c r="F446" s="2">
        <v>85.92</v>
      </c>
      <c r="G446" s="2" t="s">
        <v>22</v>
      </c>
      <c r="H446" s="2">
        <v>0</v>
      </c>
      <c r="I446" s="2">
        <v>0</v>
      </c>
      <c r="J446" s="2" t="s">
        <v>52</v>
      </c>
      <c r="K446" s="20">
        <v>44300</v>
      </c>
      <c r="L446" s="20">
        <v>44301</v>
      </c>
      <c r="M446" s="20">
        <v>44301</v>
      </c>
      <c r="N446" s="2" t="s">
        <v>53</v>
      </c>
      <c r="O446" s="2" t="s">
        <v>146</v>
      </c>
      <c r="P446" s="2" t="s">
        <v>73</v>
      </c>
      <c r="Q446" s="2">
        <f t="shared" si="6"/>
        <v>1</v>
      </c>
    </row>
    <row r="447" spans="1:17" x14ac:dyDescent="0.25">
      <c r="A447" s="2" t="s">
        <v>1369</v>
      </c>
      <c r="B447" s="2" t="s">
        <v>1370</v>
      </c>
      <c r="C447" s="2" t="s">
        <v>19</v>
      </c>
      <c r="D447" s="2" t="s">
        <v>105</v>
      </c>
      <c r="E447" s="2" t="s">
        <v>21</v>
      </c>
      <c r="F447" s="2">
        <v>366.666</v>
      </c>
      <c r="G447" s="2" t="s">
        <v>22</v>
      </c>
      <c r="H447" s="2">
        <v>0</v>
      </c>
      <c r="I447" s="2">
        <v>0</v>
      </c>
      <c r="J447" s="2" t="s">
        <v>52</v>
      </c>
      <c r="K447" s="20">
        <v>44346</v>
      </c>
      <c r="L447" s="20">
        <v>44348</v>
      </c>
      <c r="M447" s="20">
        <v>44348</v>
      </c>
      <c r="N447" s="2" t="s">
        <v>32</v>
      </c>
      <c r="O447" s="2" t="s">
        <v>67</v>
      </c>
      <c r="P447" s="2" t="s">
        <v>68</v>
      </c>
      <c r="Q447" s="2">
        <f t="shared" si="6"/>
        <v>1</v>
      </c>
    </row>
    <row r="448" spans="1:17" x14ac:dyDescent="0.25">
      <c r="A448" s="2" t="s">
        <v>1372</v>
      </c>
      <c r="B448" s="2" t="s">
        <v>1373</v>
      </c>
      <c r="C448" s="2" t="s">
        <v>19</v>
      </c>
      <c r="D448" s="2" t="s">
        <v>86</v>
      </c>
      <c r="E448" s="2" t="s">
        <v>21</v>
      </c>
      <c r="F448" s="2">
        <v>246.36399999999989</v>
      </c>
      <c r="G448" s="2" t="s">
        <v>22</v>
      </c>
      <c r="H448" s="2">
        <v>0</v>
      </c>
      <c r="I448" s="2">
        <v>0</v>
      </c>
      <c r="J448" s="2" t="s">
        <v>52</v>
      </c>
      <c r="K448" s="20">
        <v>44380</v>
      </c>
      <c r="L448" s="20">
        <v>44382</v>
      </c>
      <c r="M448" s="20">
        <v>44382</v>
      </c>
      <c r="N448" s="2" t="s">
        <v>39</v>
      </c>
      <c r="O448" s="2" t="s">
        <v>72</v>
      </c>
      <c r="P448" s="2" t="s">
        <v>73</v>
      </c>
      <c r="Q448" s="2">
        <f t="shared" si="6"/>
        <v>1</v>
      </c>
    </row>
    <row r="449" spans="1:17" x14ac:dyDescent="0.25">
      <c r="A449" s="2" t="s">
        <v>1375</v>
      </c>
      <c r="B449" s="2" t="s">
        <v>1376</v>
      </c>
      <c r="C449" s="2" t="s">
        <v>19</v>
      </c>
      <c r="D449" s="2" t="s">
        <v>105</v>
      </c>
      <c r="E449" s="2" t="s">
        <v>21</v>
      </c>
      <c r="F449" s="2">
        <v>241.34</v>
      </c>
      <c r="G449" s="2" t="s">
        <v>22</v>
      </c>
      <c r="H449" s="2">
        <v>0</v>
      </c>
      <c r="I449" s="2">
        <v>0</v>
      </c>
      <c r="J449" s="2" t="s">
        <v>52</v>
      </c>
      <c r="K449" s="20">
        <v>44416</v>
      </c>
      <c r="L449" s="20">
        <v>44417</v>
      </c>
      <c r="M449" s="20">
        <v>44417</v>
      </c>
      <c r="N449" s="2" t="s">
        <v>45</v>
      </c>
      <c r="O449" s="2" t="s">
        <v>25</v>
      </c>
      <c r="P449" s="2" t="s">
        <v>26</v>
      </c>
      <c r="Q449" s="2">
        <f t="shared" si="6"/>
        <v>1</v>
      </c>
    </row>
    <row r="450" spans="1:17" x14ac:dyDescent="0.25">
      <c r="A450" s="2" t="s">
        <v>1378</v>
      </c>
      <c r="B450" s="2" t="s">
        <v>1379</v>
      </c>
      <c r="C450" s="2" t="s">
        <v>30</v>
      </c>
      <c r="D450" s="2" t="s">
        <v>119</v>
      </c>
      <c r="E450" s="2" t="s">
        <v>21</v>
      </c>
      <c r="F450" s="2">
        <v>3385.614</v>
      </c>
      <c r="G450" s="2" t="s">
        <v>22</v>
      </c>
      <c r="H450" s="2">
        <v>0</v>
      </c>
      <c r="I450" s="2">
        <v>0</v>
      </c>
      <c r="J450" s="2" t="s">
        <v>52</v>
      </c>
      <c r="K450" s="20">
        <v>44418</v>
      </c>
      <c r="L450" s="20">
        <v>44421</v>
      </c>
      <c r="M450" s="20">
        <v>44421</v>
      </c>
      <c r="N450" s="2" t="s">
        <v>53</v>
      </c>
      <c r="O450" s="2" t="s">
        <v>46</v>
      </c>
      <c r="P450" s="2" t="s">
        <v>47</v>
      </c>
      <c r="Q450" s="2">
        <f t="shared" ref="Q450:Q513" si="7">COUNTIF($A$2:$A$1778,A450)</f>
        <v>1</v>
      </c>
    </row>
    <row r="451" spans="1:17" x14ac:dyDescent="0.25">
      <c r="A451" s="2" t="s">
        <v>1380</v>
      </c>
      <c r="B451" s="2" t="s">
        <v>1381</v>
      </c>
      <c r="C451" s="2" t="s">
        <v>19</v>
      </c>
      <c r="D451" s="2" t="s">
        <v>370</v>
      </c>
      <c r="E451" s="2" t="s">
        <v>21</v>
      </c>
      <c r="F451" s="2">
        <v>673.57600000000002</v>
      </c>
      <c r="G451" s="2" t="s">
        <v>22</v>
      </c>
      <c r="H451" s="2">
        <v>0</v>
      </c>
      <c r="I451" s="2">
        <v>0</v>
      </c>
      <c r="J451" s="2" t="s">
        <v>52</v>
      </c>
      <c r="K451" s="20">
        <v>44462</v>
      </c>
      <c r="L451" s="20">
        <v>44465</v>
      </c>
      <c r="M451" s="20">
        <v>44465</v>
      </c>
      <c r="N451" s="2" t="s">
        <v>32</v>
      </c>
      <c r="O451" s="2" t="s">
        <v>146</v>
      </c>
      <c r="P451" s="2" t="s">
        <v>73</v>
      </c>
      <c r="Q451" s="2">
        <f t="shared" si="7"/>
        <v>1</v>
      </c>
    </row>
    <row r="452" spans="1:17" x14ac:dyDescent="0.25">
      <c r="A452" s="2" t="s">
        <v>1383</v>
      </c>
      <c r="B452" s="2" t="s">
        <v>1384</v>
      </c>
      <c r="C452" s="2" t="s">
        <v>19</v>
      </c>
      <c r="D452" s="2" t="s">
        <v>58</v>
      </c>
      <c r="E452" s="2" t="s">
        <v>21</v>
      </c>
      <c r="F452" s="2">
        <v>39.367999999999903</v>
      </c>
      <c r="G452" s="2" t="s">
        <v>22</v>
      </c>
      <c r="H452" s="2">
        <v>0</v>
      </c>
      <c r="I452" s="2">
        <v>0</v>
      </c>
      <c r="J452" s="2" t="s">
        <v>52</v>
      </c>
      <c r="K452" s="20">
        <v>44467</v>
      </c>
      <c r="L452" s="20">
        <v>44469</v>
      </c>
      <c r="M452" s="20">
        <v>44469</v>
      </c>
      <c r="N452" s="2" t="s">
        <v>32</v>
      </c>
      <c r="O452" s="2" t="s">
        <v>25</v>
      </c>
      <c r="P452" s="2" t="s">
        <v>26</v>
      </c>
      <c r="Q452" s="2">
        <f t="shared" si="7"/>
        <v>1</v>
      </c>
    </row>
    <row r="453" spans="1:17" x14ac:dyDescent="0.25">
      <c r="A453" s="2" t="s">
        <v>1386</v>
      </c>
      <c r="B453" s="2" t="s">
        <v>1387</v>
      </c>
      <c r="C453" s="2" t="s">
        <v>30</v>
      </c>
      <c r="D453" s="2" t="s">
        <v>126</v>
      </c>
      <c r="E453" s="2" t="s">
        <v>21</v>
      </c>
      <c r="F453" s="2">
        <v>86.82</v>
      </c>
      <c r="G453" s="2" t="s">
        <v>22</v>
      </c>
      <c r="H453" s="2">
        <v>0</v>
      </c>
      <c r="I453" s="2">
        <v>0</v>
      </c>
      <c r="J453" s="2" t="s">
        <v>52</v>
      </c>
      <c r="K453" s="20">
        <v>44468</v>
      </c>
      <c r="L453" s="20">
        <v>44471</v>
      </c>
      <c r="M453" s="20">
        <v>44471</v>
      </c>
      <c r="N453" s="2" t="s">
        <v>53</v>
      </c>
      <c r="O453" s="2" t="s">
        <v>146</v>
      </c>
      <c r="P453" s="2" t="s">
        <v>73</v>
      </c>
      <c r="Q453" s="2">
        <f t="shared" si="7"/>
        <v>1</v>
      </c>
    </row>
    <row r="454" spans="1:17" x14ac:dyDescent="0.25">
      <c r="A454" s="2" t="s">
        <v>1389</v>
      </c>
      <c r="B454" s="2" t="s">
        <v>1390</v>
      </c>
      <c r="C454" s="2" t="s">
        <v>30</v>
      </c>
      <c r="D454" s="2" t="s">
        <v>115</v>
      </c>
      <c r="E454" s="2" t="s">
        <v>21</v>
      </c>
      <c r="F454" s="2">
        <v>324.21999999999997</v>
      </c>
      <c r="G454" s="2" t="s">
        <v>22</v>
      </c>
      <c r="H454" s="2">
        <v>0</v>
      </c>
      <c r="I454" s="2">
        <v>0</v>
      </c>
      <c r="J454" s="2" t="s">
        <v>52</v>
      </c>
      <c r="K454" s="20">
        <v>44542</v>
      </c>
      <c r="L454" s="20">
        <v>44545</v>
      </c>
      <c r="M454" s="20">
        <v>44545</v>
      </c>
      <c r="N454" s="2" t="s">
        <v>53</v>
      </c>
      <c r="O454" s="2" t="s">
        <v>97</v>
      </c>
      <c r="P454" s="2" t="s">
        <v>68</v>
      </c>
      <c r="Q454" s="2">
        <f t="shared" si="7"/>
        <v>1</v>
      </c>
    </row>
    <row r="455" spans="1:17" x14ac:dyDescent="0.25">
      <c r="A455" s="2" t="s">
        <v>1391</v>
      </c>
      <c r="B455" s="2" t="s">
        <v>1392</v>
      </c>
      <c r="C455" s="2" t="s">
        <v>19</v>
      </c>
      <c r="D455" s="2" t="s">
        <v>164</v>
      </c>
      <c r="E455" s="2" t="s">
        <v>21</v>
      </c>
      <c r="F455" s="2">
        <v>627.92399999999986</v>
      </c>
      <c r="G455" s="2" t="s">
        <v>22</v>
      </c>
      <c r="H455" s="2">
        <v>0</v>
      </c>
      <c r="I455" s="2">
        <v>0</v>
      </c>
      <c r="J455" s="2" t="s">
        <v>52</v>
      </c>
      <c r="K455" s="20">
        <v>44555</v>
      </c>
      <c r="L455" s="20">
        <v>44558</v>
      </c>
      <c r="M455" s="20">
        <v>44558</v>
      </c>
      <c r="N455" s="2" t="s">
        <v>24</v>
      </c>
      <c r="O455" s="2" t="s">
        <v>67</v>
      </c>
      <c r="P455" s="2" t="s">
        <v>68</v>
      </c>
      <c r="Q455" s="2">
        <f t="shared" si="7"/>
        <v>1</v>
      </c>
    </row>
    <row r="456" spans="1:17" x14ac:dyDescent="0.25">
      <c r="A456" s="2" t="s">
        <v>1394</v>
      </c>
      <c r="B456" s="2" t="s">
        <v>1395</v>
      </c>
      <c r="C456" s="2" t="s">
        <v>19</v>
      </c>
      <c r="D456" s="2" t="s">
        <v>105</v>
      </c>
      <c r="E456" s="2" t="s">
        <v>212</v>
      </c>
      <c r="F456" s="2">
        <v>17.96</v>
      </c>
      <c r="G456" s="2" t="s">
        <v>206</v>
      </c>
      <c r="H456" s="2">
        <v>100</v>
      </c>
      <c r="I456" s="2">
        <v>17.96</v>
      </c>
      <c r="J456" s="2" t="s">
        <v>52</v>
      </c>
      <c r="K456" s="20">
        <v>44562</v>
      </c>
      <c r="L456" s="20">
        <v>44929</v>
      </c>
      <c r="M456" s="20">
        <v>44929</v>
      </c>
      <c r="N456" s="2" t="s">
        <v>213</v>
      </c>
      <c r="O456" s="2" t="s">
        <v>67</v>
      </c>
      <c r="P456" s="2" t="s">
        <v>68</v>
      </c>
      <c r="Q456" s="2">
        <f t="shared" si="7"/>
        <v>1</v>
      </c>
    </row>
    <row r="457" spans="1:17" x14ac:dyDescent="0.25">
      <c r="A457" s="2" t="s">
        <v>1396</v>
      </c>
      <c r="B457" s="2" t="s">
        <v>1397</v>
      </c>
      <c r="C457" s="2" t="s">
        <v>19</v>
      </c>
      <c r="D457" s="2" t="s">
        <v>44</v>
      </c>
      <c r="E457" s="2" t="s">
        <v>212</v>
      </c>
      <c r="F457" s="2">
        <v>31.103999999999999</v>
      </c>
      <c r="G457" s="2" t="s">
        <v>206</v>
      </c>
      <c r="H457" s="2">
        <v>100</v>
      </c>
      <c r="I457" s="2">
        <v>31.103999999999999</v>
      </c>
      <c r="J457" s="2" t="s">
        <v>52</v>
      </c>
      <c r="K457" s="20">
        <v>44572</v>
      </c>
      <c r="L457" s="20">
        <v>44212</v>
      </c>
      <c r="M457" s="20">
        <v>44212</v>
      </c>
      <c r="N457" s="2" t="s">
        <v>234</v>
      </c>
      <c r="O457" s="2" t="s">
        <v>97</v>
      </c>
      <c r="P457" s="2" t="s">
        <v>68</v>
      </c>
      <c r="Q457" s="2">
        <f t="shared" si="7"/>
        <v>1</v>
      </c>
    </row>
    <row r="458" spans="1:17" x14ac:dyDescent="0.25">
      <c r="A458" s="2" t="s">
        <v>1399</v>
      </c>
      <c r="B458" s="2" t="s">
        <v>1400</v>
      </c>
      <c r="C458" s="2" t="s">
        <v>30</v>
      </c>
      <c r="D458" s="2" t="s">
        <v>31</v>
      </c>
      <c r="E458" s="2" t="s">
        <v>205</v>
      </c>
      <c r="F458" s="2">
        <v>17.34</v>
      </c>
      <c r="G458" s="2" t="s">
        <v>206</v>
      </c>
      <c r="H458" s="2">
        <v>80</v>
      </c>
      <c r="I458" s="2">
        <v>13.872</v>
      </c>
      <c r="J458" s="2" t="s">
        <v>52</v>
      </c>
      <c r="K458" s="20">
        <v>44579</v>
      </c>
      <c r="L458" s="20">
        <v>44219</v>
      </c>
      <c r="M458" s="20">
        <v>44219</v>
      </c>
      <c r="N458" s="2" t="s">
        <v>220</v>
      </c>
      <c r="O458" s="2" t="s">
        <v>46</v>
      </c>
      <c r="P458" s="2" t="s">
        <v>47</v>
      </c>
      <c r="Q458" s="2">
        <f t="shared" si="7"/>
        <v>1</v>
      </c>
    </row>
    <row r="459" spans="1:17" x14ac:dyDescent="0.25">
      <c r="A459" s="2" t="s">
        <v>1402</v>
      </c>
      <c r="B459" s="2" t="s">
        <v>1403</v>
      </c>
      <c r="C459" s="2" t="s">
        <v>30</v>
      </c>
      <c r="D459" s="2" t="s">
        <v>38</v>
      </c>
      <c r="E459" s="2" t="s">
        <v>212</v>
      </c>
      <c r="F459" s="2">
        <v>10.68</v>
      </c>
      <c r="G459" s="2" t="s">
        <v>206</v>
      </c>
      <c r="H459" s="2">
        <v>100</v>
      </c>
      <c r="I459" s="2">
        <v>10.68</v>
      </c>
      <c r="J459" s="2" t="s">
        <v>52</v>
      </c>
      <c r="K459" s="20">
        <v>44579</v>
      </c>
      <c r="L459" s="20">
        <v>44220</v>
      </c>
      <c r="M459" s="20">
        <v>44220</v>
      </c>
      <c r="N459" s="2" t="s">
        <v>207</v>
      </c>
      <c r="O459" s="2" t="s">
        <v>25</v>
      </c>
      <c r="P459" s="2" t="s">
        <v>26</v>
      </c>
      <c r="Q459" s="2">
        <f t="shared" si="7"/>
        <v>1</v>
      </c>
    </row>
    <row r="460" spans="1:17" x14ac:dyDescent="0.25">
      <c r="A460" s="2" t="s">
        <v>1404</v>
      </c>
      <c r="B460" s="2" t="s">
        <v>1405</v>
      </c>
      <c r="C460" s="2" t="s">
        <v>30</v>
      </c>
      <c r="D460" s="2" t="s">
        <v>115</v>
      </c>
      <c r="E460" s="2" t="s">
        <v>212</v>
      </c>
      <c r="F460" s="2">
        <v>45</v>
      </c>
      <c r="G460" s="2" t="s">
        <v>206</v>
      </c>
      <c r="H460" s="2">
        <v>100</v>
      </c>
      <c r="I460" s="2">
        <v>45</v>
      </c>
      <c r="J460" s="2" t="s">
        <v>52</v>
      </c>
      <c r="K460" s="20">
        <v>44588</v>
      </c>
      <c r="L460" s="20">
        <v>44229</v>
      </c>
      <c r="M460" s="20">
        <v>44229</v>
      </c>
      <c r="N460" s="2" t="s">
        <v>220</v>
      </c>
      <c r="O460" s="2" t="s">
        <v>146</v>
      </c>
      <c r="P460" s="2" t="s">
        <v>73</v>
      </c>
      <c r="Q460" s="2">
        <f t="shared" si="7"/>
        <v>1</v>
      </c>
    </row>
    <row r="461" spans="1:17" x14ac:dyDescent="0.25">
      <c r="A461" s="2" t="s">
        <v>1407</v>
      </c>
      <c r="B461" s="2" t="s">
        <v>1408</v>
      </c>
      <c r="C461" s="2" t="s">
        <v>30</v>
      </c>
      <c r="D461" s="2" t="s">
        <v>164</v>
      </c>
      <c r="E461" s="2" t="s">
        <v>205</v>
      </c>
      <c r="F461" s="2">
        <v>209.97</v>
      </c>
      <c r="G461" s="2" t="s">
        <v>206</v>
      </c>
      <c r="H461" s="2">
        <v>80</v>
      </c>
      <c r="I461" s="2">
        <v>167.976</v>
      </c>
      <c r="J461" s="2" t="s">
        <v>52</v>
      </c>
      <c r="K461" s="20">
        <v>44589</v>
      </c>
      <c r="L461" s="20">
        <v>44226</v>
      </c>
      <c r="M461" s="20">
        <v>44226</v>
      </c>
      <c r="N461" s="2" t="s">
        <v>238</v>
      </c>
      <c r="O461" s="2" t="s">
        <v>33</v>
      </c>
      <c r="P461" s="2" t="s">
        <v>34</v>
      </c>
      <c r="Q461" s="2">
        <f t="shared" si="7"/>
        <v>1</v>
      </c>
    </row>
    <row r="462" spans="1:17" x14ac:dyDescent="0.25">
      <c r="A462" s="2" t="s">
        <v>1409</v>
      </c>
      <c r="B462" s="2" t="s">
        <v>1410</v>
      </c>
      <c r="C462" s="2" t="s">
        <v>30</v>
      </c>
      <c r="D462" s="2" t="s">
        <v>44</v>
      </c>
      <c r="E462" s="2" t="s">
        <v>205</v>
      </c>
      <c r="F462" s="2">
        <v>56.65</v>
      </c>
      <c r="G462" s="2" t="s">
        <v>206</v>
      </c>
      <c r="H462" s="2">
        <v>80</v>
      </c>
      <c r="I462" s="2">
        <v>45.32</v>
      </c>
      <c r="J462" s="2" t="s">
        <v>52</v>
      </c>
      <c r="K462" s="20">
        <v>44592</v>
      </c>
      <c r="L462" s="20">
        <v>44232</v>
      </c>
      <c r="M462" s="20">
        <v>44232</v>
      </c>
      <c r="N462" s="2" t="s">
        <v>220</v>
      </c>
      <c r="O462" s="2" t="s">
        <v>33</v>
      </c>
      <c r="P462" s="2" t="s">
        <v>34</v>
      </c>
      <c r="Q462" s="2">
        <f t="shared" si="7"/>
        <v>1</v>
      </c>
    </row>
    <row r="463" spans="1:17" x14ac:dyDescent="0.25">
      <c r="A463" s="2" t="s">
        <v>1412</v>
      </c>
      <c r="B463" s="2" t="s">
        <v>1413</v>
      </c>
      <c r="C463" s="2" t="s">
        <v>19</v>
      </c>
      <c r="D463" s="2" t="s">
        <v>126</v>
      </c>
      <c r="E463" s="2" t="s">
        <v>205</v>
      </c>
      <c r="F463" s="2">
        <v>211.96</v>
      </c>
      <c r="G463" s="2" t="s">
        <v>206</v>
      </c>
      <c r="H463" s="2">
        <v>80</v>
      </c>
      <c r="I463" s="2">
        <v>169.56800000000001</v>
      </c>
      <c r="J463" s="2" t="s">
        <v>52</v>
      </c>
      <c r="K463" s="20">
        <v>44614</v>
      </c>
      <c r="L463" s="20">
        <v>44255</v>
      </c>
      <c r="M463" s="20">
        <v>44255</v>
      </c>
      <c r="N463" s="2" t="s">
        <v>238</v>
      </c>
      <c r="O463" s="2" t="s">
        <v>82</v>
      </c>
      <c r="P463" s="2" t="s">
        <v>47</v>
      </c>
      <c r="Q463" s="2">
        <f t="shared" si="7"/>
        <v>1</v>
      </c>
    </row>
    <row r="464" spans="1:17" x14ac:dyDescent="0.25">
      <c r="A464" s="2" t="s">
        <v>1415</v>
      </c>
      <c r="B464" s="2" t="s">
        <v>1416</v>
      </c>
      <c r="C464" s="2" t="s">
        <v>30</v>
      </c>
      <c r="D464" s="2" t="s">
        <v>51</v>
      </c>
      <c r="E464" s="2" t="s">
        <v>205</v>
      </c>
      <c r="F464" s="2">
        <v>300.53279999999899</v>
      </c>
      <c r="G464" s="2" t="s">
        <v>206</v>
      </c>
      <c r="H464" s="2">
        <v>80</v>
      </c>
      <c r="I464" s="2">
        <v>240.42623999999921</v>
      </c>
      <c r="J464" s="2" t="s">
        <v>52</v>
      </c>
      <c r="K464" s="20">
        <v>44615</v>
      </c>
      <c r="L464" s="20">
        <v>44252</v>
      </c>
      <c r="M464" s="20">
        <v>44252</v>
      </c>
      <c r="N464" s="2" t="s">
        <v>248</v>
      </c>
      <c r="O464" s="2" t="s">
        <v>46</v>
      </c>
      <c r="P464" s="2" t="s">
        <v>47</v>
      </c>
      <c r="Q464" s="2">
        <f t="shared" si="7"/>
        <v>1</v>
      </c>
    </row>
    <row r="465" spans="1:17" x14ac:dyDescent="0.25">
      <c r="A465" s="2" t="s">
        <v>1418</v>
      </c>
      <c r="B465" s="2" t="s">
        <v>1419</v>
      </c>
      <c r="C465" s="2" t="s">
        <v>19</v>
      </c>
      <c r="D465" s="2" t="s">
        <v>186</v>
      </c>
      <c r="E465" s="2" t="s">
        <v>205</v>
      </c>
      <c r="F465" s="2">
        <v>21.184000000000001</v>
      </c>
      <c r="G465" s="2" t="s">
        <v>206</v>
      </c>
      <c r="H465" s="2">
        <v>80</v>
      </c>
      <c r="I465" s="2">
        <v>16.947200000000002</v>
      </c>
      <c r="J465" s="2" t="s">
        <v>52</v>
      </c>
      <c r="K465" s="20">
        <v>44622</v>
      </c>
      <c r="L465" s="20">
        <v>44258</v>
      </c>
      <c r="M465" s="20">
        <v>44258</v>
      </c>
      <c r="N465" s="2" t="s">
        <v>220</v>
      </c>
      <c r="O465" s="2" t="s">
        <v>82</v>
      </c>
      <c r="P465" s="2" t="s">
        <v>47</v>
      </c>
      <c r="Q465" s="2">
        <f t="shared" si="7"/>
        <v>1</v>
      </c>
    </row>
    <row r="466" spans="1:17" x14ac:dyDescent="0.25">
      <c r="A466" s="2" t="s">
        <v>1421</v>
      </c>
      <c r="B466" s="2" t="s">
        <v>1422</v>
      </c>
      <c r="C466" s="2" t="s">
        <v>30</v>
      </c>
      <c r="D466" s="2" t="s">
        <v>96</v>
      </c>
      <c r="E466" s="2" t="s">
        <v>212</v>
      </c>
      <c r="F466" s="2">
        <v>3.1520000000000001</v>
      </c>
      <c r="G466" s="2" t="s">
        <v>206</v>
      </c>
      <c r="H466" s="2">
        <v>100</v>
      </c>
      <c r="I466" s="2">
        <v>3.1520000000000001</v>
      </c>
      <c r="J466" s="2" t="s">
        <v>52</v>
      </c>
      <c r="K466" s="20">
        <v>44622</v>
      </c>
      <c r="L466" s="20">
        <v>44261</v>
      </c>
      <c r="M466" s="20">
        <v>44261</v>
      </c>
      <c r="N466" s="2" t="s">
        <v>207</v>
      </c>
      <c r="O466" s="2" t="s">
        <v>97</v>
      </c>
      <c r="P466" s="2" t="s">
        <v>68</v>
      </c>
      <c r="Q466" s="2">
        <f t="shared" si="7"/>
        <v>1</v>
      </c>
    </row>
    <row r="467" spans="1:17" x14ac:dyDescent="0.25">
      <c r="A467" s="2" t="s">
        <v>1423</v>
      </c>
      <c r="B467" s="2" t="s">
        <v>1424</v>
      </c>
      <c r="C467" s="2" t="s">
        <v>30</v>
      </c>
      <c r="D467" s="2" t="s">
        <v>230</v>
      </c>
      <c r="E467" s="2" t="s">
        <v>205</v>
      </c>
      <c r="F467" s="2">
        <v>603.91999999999996</v>
      </c>
      <c r="G467" s="2" t="s">
        <v>206</v>
      </c>
      <c r="H467" s="2">
        <v>80</v>
      </c>
      <c r="I467" s="2">
        <v>483.13599999999997</v>
      </c>
      <c r="J467" s="2" t="s">
        <v>52</v>
      </c>
      <c r="K467" s="20">
        <v>44623</v>
      </c>
      <c r="L467" s="20">
        <v>44262</v>
      </c>
      <c r="M467" s="20">
        <v>44262</v>
      </c>
      <c r="N467" s="2" t="s">
        <v>220</v>
      </c>
      <c r="O467" s="2" t="s">
        <v>82</v>
      </c>
      <c r="P467" s="2" t="s">
        <v>47</v>
      </c>
      <c r="Q467" s="2">
        <f t="shared" si="7"/>
        <v>1</v>
      </c>
    </row>
    <row r="468" spans="1:17" x14ac:dyDescent="0.25">
      <c r="A468" s="2" t="s">
        <v>1426</v>
      </c>
      <c r="B468" s="2" t="s">
        <v>1427</v>
      </c>
      <c r="C468" s="2" t="s">
        <v>19</v>
      </c>
      <c r="D468" s="2" t="s">
        <v>211</v>
      </c>
      <c r="E468" s="2" t="s">
        <v>205</v>
      </c>
      <c r="F468" s="2">
        <v>46.26</v>
      </c>
      <c r="G468" s="2" t="s">
        <v>206</v>
      </c>
      <c r="H468" s="2">
        <v>80</v>
      </c>
      <c r="I468" s="2">
        <v>37.008000000000003</v>
      </c>
      <c r="J468" s="2" t="s">
        <v>52</v>
      </c>
      <c r="K468" s="20">
        <v>44626</v>
      </c>
      <c r="L468" s="20">
        <v>44266</v>
      </c>
      <c r="M468" s="20">
        <v>44266</v>
      </c>
      <c r="N468" s="2" t="s">
        <v>238</v>
      </c>
      <c r="O468" s="2" t="s">
        <v>67</v>
      </c>
      <c r="P468" s="2" t="s">
        <v>68</v>
      </c>
      <c r="Q468" s="2">
        <f t="shared" si="7"/>
        <v>1</v>
      </c>
    </row>
    <row r="469" spans="1:17" x14ac:dyDescent="0.25">
      <c r="A469" s="2" t="s">
        <v>1428</v>
      </c>
      <c r="B469" s="2" t="s">
        <v>1429</v>
      </c>
      <c r="C469" s="2" t="s">
        <v>30</v>
      </c>
      <c r="D469" s="2" t="s">
        <v>44</v>
      </c>
      <c r="E469" s="2" t="s">
        <v>205</v>
      </c>
      <c r="F469" s="2">
        <v>48.94</v>
      </c>
      <c r="G469" s="2" t="s">
        <v>206</v>
      </c>
      <c r="H469" s="2">
        <v>80</v>
      </c>
      <c r="I469" s="2">
        <v>39.152000000000001</v>
      </c>
      <c r="J469" s="2" t="s">
        <v>52</v>
      </c>
      <c r="K469" s="20">
        <v>44630</v>
      </c>
      <c r="L469" s="20">
        <v>44267</v>
      </c>
      <c r="M469" s="20">
        <v>44267</v>
      </c>
      <c r="N469" s="2" t="s">
        <v>207</v>
      </c>
      <c r="O469" s="2" t="s">
        <v>67</v>
      </c>
      <c r="P469" s="2" t="s">
        <v>68</v>
      </c>
      <c r="Q469" s="2">
        <f t="shared" si="7"/>
        <v>1</v>
      </c>
    </row>
    <row r="470" spans="1:17" x14ac:dyDescent="0.25">
      <c r="A470" s="2" t="s">
        <v>1431</v>
      </c>
      <c r="B470" s="2" t="s">
        <v>1432</v>
      </c>
      <c r="C470" s="2" t="s">
        <v>19</v>
      </c>
      <c r="D470" s="2" t="s">
        <v>370</v>
      </c>
      <c r="E470" s="2" t="s">
        <v>212</v>
      </c>
      <c r="F470" s="2">
        <v>9.09</v>
      </c>
      <c r="G470" s="2" t="s">
        <v>206</v>
      </c>
      <c r="H470" s="2">
        <v>100</v>
      </c>
      <c r="I470" s="2">
        <v>9.09</v>
      </c>
      <c r="J470" s="2" t="s">
        <v>52</v>
      </c>
      <c r="K470" s="20">
        <v>44631</v>
      </c>
      <c r="L470" s="20">
        <v>44266</v>
      </c>
      <c r="M470" s="20">
        <v>44266</v>
      </c>
      <c r="N470" s="2" t="s">
        <v>220</v>
      </c>
      <c r="O470" s="2" t="s">
        <v>46</v>
      </c>
      <c r="P470" s="2" t="s">
        <v>47</v>
      </c>
      <c r="Q470" s="2">
        <f t="shared" si="7"/>
        <v>1</v>
      </c>
    </row>
    <row r="471" spans="1:17" x14ac:dyDescent="0.25">
      <c r="A471" s="2" t="s">
        <v>1434</v>
      </c>
      <c r="B471" s="2" t="s">
        <v>1435</v>
      </c>
      <c r="C471" s="2" t="s">
        <v>19</v>
      </c>
      <c r="D471" s="2" t="s">
        <v>51</v>
      </c>
      <c r="E471" s="2" t="s">
        <v>212</v>
      </c>
      <c r="F471" s="2">
        <v>107.44</v>
      </c>
      <c r="G471" s="2" t="s">
        <v>206</v>
      </c>
      <c r="H471" s="2">
        <v>100</v>
      </c>
      <c r="I471" s="2">
        <v>107.44</v>
      </c>
      <c r="J471" s="2" t="s">
        <v>52</v>
      </c>
      <c r="K471" s="20">
        <v>44633</v>
      </c>
      <c r="L471" s="20">
        <v>44274</v>
      </c>
      <c r="M471" s="20">
        <v>44274</v>
      </c>
      <c r="N471" s="2" t="s">
        <v>207</v>
      </c>
      <c r="O471" s="2" t="s">
        <v>67</v>
      </c>
      <c r="P471" s="2" t="s">
        <v>68</v>
      </c>
      <c r="Q471" s="2">
        <f t="shared" si="7"/>
        <v>1</v>
      </c>
    </row>
    <row r="472" spans="1:17" x14ac:dyDescent="0.25">
      <c r="A472" s="2" t="s">
        <v>1437</v>
      </c>
      <c r="B472" s="2" t="s">
        <v>1438</v>
      </c>
      <c r="C472" s="2" t="s">
        <v>19</v>
      </c>
      <c r="D472" s="2" t="s">
        <v>324</v>
      </c>
      <c r="E472" s="2" t="s">
        <v>205</v>
      </c>
      <c r="F472" s="2">
        <v>10.368</v>
      </c>
      <c r="G472" s="2" t="s">
        <v>206</v>
      </c>
      <c r="H472" s="2">
        <v>80</v>
      </c>
      <c r="I472" s="2">
        <v>8.2944000000000013</v>
      </c>
      <c r="J472" s="2" t="s">
        <v>52</v>
      </c>
      <c r="K472" s="20">
        <v>44637</v>
      </c>
      <c r="L472" s="20">
        <v>44276</v>
      </c>
      <c r="M472" s="20">
        <v>44276</v>
      </c>
      <c r="N472" s="2" t="s">
        <v>220</v>
      </c>
      <c r="O472" s="2" t="s">
        <v>146</v>
      </c>
      <c r="P472" s="2" t="s">
        <v>73</v>
      </c>
      <c r="Q472" s="2">
        <f t="shared" si="7"/>
        <v>1</v>
      </c>
    </row>
    <row r="473" spans="1:17" x14ac:dyDescent="0.25">
      <c r="A473" s="2" t="s">
        <v>1439</v>
      </c>
      <c r="B473" s="2" t="s">
        <v>1440</v>
      </c>
      <c r="C473" s="2" t="s">
        <v>30</v>
      </c>
      <c r="D473" s="2" t="s">
        <v>150</v>
      </c>
      <c r="E473" s="2" t="s">
        <v>205</v>
      </c>
      <c r="F473" s="2">
        <v>146.352</v>
      </c>
      <c r="G473" s="2" t="s">
        <v>206</v>
      </c>
      <c r="H473" s="2">
        <v>80</v>
      </c>
      <c r="I473" s="2">
        <v>117.08160000000001</v>
      </c>
      <c r="J473" s="2" t="s">
        <v>52</v>
      </c>
      <c r="K473" s="20">
        <v>44640</v>
      </c>
      <c r="L473" s="20">
        <v>44276</v>
      </c>
      <c r="M473" s="20">
        <v>44276</v>
      </c>
      <c r="N473" s="2" t="s">
        <v>213</v>
      </c>
      <c r="O473" s="2" t="s">
        <v>146</v>
      </c>
      <c r="P473" s="2" t="s">
        <v>73</v>
      </c>
      <c r="Q473" s="2">
        <f t="shared" si="7"/>
        <v>1</v>
      </c>
    </row>
    <row r="474" spans="1:17" x14ac:dyDescent="0.25">
      <c r="A474" s="2" t="s">
        <v>1441</v>
      </c>
      <c r="B474" s="2" t="s">
        <v>1442</v>
      </c>
      <c r="C474" s="2" t="s">
        <v>30</v>
      </c>
      <c r="D474" s="2" t="s">
        <v>105</v>
      </c>
      <c r="E474" s="2" t="s">
        <v>212</v>
      </c>
      <c r="F474" s="2">
        <v>76.12</v>
      </c>
      <c r="G474" s="2" t="s">
        <v>206</v>
      </c>
      <c r="H474" s="2">
        <v>100</v>
      </c>
      <c r="I474" s="2">
        <v>76.12</v>
      </c>
      <c r="J474" s="2" t="s">
        <v>52</v>
      </c>
      <c r="K474" s="20">
        <v>44641</v>
      </c>
      <c r="L474" s="20">
        <v>44279</v>
      </c>
      <c r="M474" s="20">
        <v>44279</v>
      </c>
      <c r="N474" s="2" t="s">
        <v>207</v>
      </c>
      <c r="O474" s="2" t="s">
        <v>46</v>
      </c>
      <c r="P474" s="2" t="s">
        <v>47</v>
      </c>
      <c r="Q474" s="2">
        <f t="shared" si="7"/>
        <v>1</v>
      </c>
    </row>
    <row r="475" spans="1:17" x14ac:dyDescent="0.25">
      <c r="A475" s="2" t="s">
        <v>1444</v>
      </c>
      <c r="B475" s="2" t="s">
        <v>1445</v>
      </c>
      <c r="C475" s="2" t="s">
        <v>30</v>
      </c>
      <c r="D475" s="2" t="s">
        <v>370</v>
      </c>
      <c r="E475" s="2" t="s">
        <v>212</v>
      </c>
      <c r="F475" s="2">
        <v>89.34</v>
      </c>
      <c r="G475" s="2" t="s">
        <v>206</v>
      </c>
      <c r="H475" s="2">
        <v>100</v>
      </c>
      <c r="I475" s="2">
        <v>89.34</v>
      </c>
      <c r="J475" s="2" t="s">
        <v>52</v>
      </c>
      <c r="K475" s="20">
        <v>44643</v>
      </c>
      <c r="L475" s="20">
        <v>44283</v>
      </c>
      <c r="M475" s="20">
        <v>44283</v>
      </c>
      <c r="N475" s="2" t="s">
        <v>213</v>
      </c>
      <c r="O475" s="2" t="s">
        <v>40</v>
      </c>
      <c r="P475" s="2" t="s">
        <v>34</v>
      </c>
      <c r="Q475" s="2">
        <f t="shared" si="7"/>
        <v>1</v>
      </c>
    </row>
    <row r="476" spans="1:17" x14ac:dyDescent="0.25">
      <c r="A476" s="2" t="s">
        <v>1447</v>
      </c>
      <c r="B476" s="2" t="s">
        <v>1448</v>
      </c>
      <c r="C476" s="2" t="s">
        <v>19</v>
      </c>
      <c r="D476" s="2" t="s">
        <v>370</v>
      </c>
      <c r="E476" s="2" t="s">
        <v>212</v>
      </c>
      <c r="F476" s="2">
        <v>1983.9680000000001</v>
      </c>
      <c r="G476" s="2" t="s">
        <v>206</v>
      </c>
      <c r="H476" s="2">
        <v>100</v>
      </c>
      <c r="I476" s="2">
        <v>1983.9680000000001</v>
      </c>
      <c r="J476" s="2" t="s">
        <v>52</v>
      </c>
      <c r="K476" s="20">
        <v>44644</v>
      </c>
      <c r="L476" s="20">
        <v>44285</v>
      </c>
      <c r="M476" s="20">
        <v>44285</v>
      </c>
      <c r="N476" s="2" t="s">
        <v>207</v>
      </c>
      <c r="O476" s="2" t="s">
        <v>146</v>
      </c>
      <c r="P476" s="2" t="s">
        <v>73</v>
      </c>
      <c r="Q476" s="2">
        <f t="shared" si="7"/>
        <v>1</v>
      </c>
    </row>
    <row r="477" spans="1:17" x14ac:dyDescent="0.25">
      <c r="A477" s="2" t="s">
        <v>1450</v>
      </c>
      <c r="B477" s="2" t="s">
        <v>1451</v>
      </c>
      <c r="C477" s="2" t="s">
        <v>19</v>
      </c>
      <c r="D477" s="2" t="s">
        <v>186</v>
      </c>
      <c r="E477" s="2" t="s">
        <v>212</v>
      </c>
      <c r="F477" s="2">
        <v>50.231999999999999</v>
      </c>
      <c r="G477" s="2" t="s">
        <v>206</v>
      </c>
      <c r="H477" s="2">
        <v>100</v>
      </c>
      <c r="I477" s="2">
        <v>50.231999999999999</v>
      </c>
      <c r="J477" s="2" t="s">
        <v>52</v>
      </c>
      <c r="K477" s="20">
        <v>44644</v>
      </c>
      <c r="L477" s="20">
        <v>44286</v>
      </c>
      <c r="M477" s="20">
        <v>44286</v>
      </c>
      <c r="N477" s="2" t="s">
        <v>238</v>
      </c>
      <c r="O477" s="2" t="s">
        <v>33</v>
      </c>
      <c r="P477" s="2" t="s">
        <v>34</v>
      </c>
      <c r="Q477" s="2">
        <f t="shared" si="7"/>
        <v>1</v>
      </c>
    </row>
    <row r="478" spans="1:17" x14ac:dyDescent="0.25">
      <c r="A478" s="2" t="s">
        <v>1452</v>
      </c>
      <c r="B478" s="2" t="s">
        <v>1453</v>
      </c>
      <c r="C478" s="2" t="s">
        <v>19</v>
      </c>
      <c r="D478" s="2" t="s">
        <v>58</v>
      </c>
      <c r="E478" s="2" t="s">
        <v>212</v>
      </c>
      <c r="F478" s="2">
        <v>51.56</v>
      </c>
      <c r="G478" s="2" t="s">
        <v>206</v>
      </c>
      <c r="H478" s="2">
        <v>100</v>
      </c>
      <c r="I478" s="2">
        <v>51.56</v>
      </c>
      <c r="J478" s="2" t="s">
        <v>52</v>
      </c>
      <c r="K478" s="20">
        <v>44649</v>
      </c>
      <c r="L478" s="20">
        <v>44286</v>
      </c>
      <c r="M478" s="20">
        <v>44286</v>
      </c>
      <c r="N478" s="2" t="s">
        <v>213</v>
      </c>
      <c r="O478" s="2" t="s">
        <v>54</v>
      </c>
      <c r="P478" s="2" t="s">
        <v>26</v>
      </c>
      <c r="Q478" s="2">
        <f t="shared" si="7"/>
        <v>1</v>
      </c>
    </row>
    <row r="479" spans="1:17" x14ac:dyDescent="0.25">
      <c r="A479" s="2" t="s">
        <v>1455</v>
      </c>
      <c r="B479" s="2" t="s">
        <v>1456</v>
      </c>
      <c r="C479" s="2" t="s">
        <v>30</v>
      </c>
      <c r="D479" s="2" t="s">
        <v>86</v>
      </c>
      <c r="E479" s="2" t="s">
        <v>212</v>
      </c>
      <c r="F479" s="2">
        <v>573.72799999999995</v>
      </c>
      <c r="G479" s="2" t="s">
        <v>206</v>
      </c>
      <c r="H479" s="2">
        <v>100</v>
      </c>
      <c r="I479" s="2">
        <v>573.72799999999995</v>
      </c>
      <c r="J479" s="2" t="s">
        <v>52</v>
      </c>
      <c r="K479" s="20">
        <v>44650</v>
      </c>
      <c r="L479" s="20">
        <v>44290</v>
      </c>
      <c r="M479" s="20">
        <v>44290</v>
      </c>
      <c r="N479" s="2" t="s">
        <v>248</v>
      </c>
      <c r="O479" s="2" t="s">
        <v>46</v>
      </c>
      <c r="P479" s="2" t="s">
        <v>47</v>
      </c>
      <c r="Q479" s="2">
        <f t="shared" si="7"/>
        <v>1</v>
      </c>
    </row>
    <row r="480" spans="1:17" x14ac:dyDescent="0.25">
      <c r="A480" s="2" t="s">
        <v>1458</v>
      </c>
      <c r="B480" s="2" t="s">
        <v>1459</v>
      </c>
      <c r="C480" s="2" t="s">
        <v>19</v>
      </c>
      <c r="D480" s="2" t="s">
        <v>139</v>
      </c>
      <c r="E480" s="2" t="s">
        <v>205</v>
      </c>
      <c r="F480" s="2">
        <v>666.34400000000005</v>
      </c>
      <c r="G480" s="2" t="s">
        <v>206</v>
      </c>
      <c r="H480" s="2">
        <v>80</v>
      </c>
      <c r="I480" s="2">
        <v>533.07520000000011</v>
      </c>
      <c r="J480" s="2" t="s">
        <v>52</v>
      </c>
      <c r="K480" s="20">
        <v>44650</v>
      </c>
      <c r="L480" s="20">
        <v>44291</v>
      </c>
      <c r="M480" s="20">
        <v>44291</v>
      </c>
      <c r="N480" s="2" t="s">
        <v>220</v>
      </c>
      <c r="O480" s="2" t="s">
        <v>97</v>
      </c>
      <c r="P480" s="2" t="s">
        <v>68</v>
      </c>
      <c r="Q480" s="2">
        <f t="shared" si="7"/>
        <v>1</v>
      </c>
    </row>
    <row r="481" spans="1:17" x14ac:dyDescent="0.25">
      <c r="A481" s="2" t="s">
        <v>1460</v>
      </c>
      <c r="B481" s="2" t="s">
        <v>1461</v>
      </c>
      <c r="C481" s="2" t="s">
        <v>30</v>
      </c>
      <c r="D481" s="2" t="s">
        <v>230</v>
      </c>
      <c r="E481" s="2" t="s">
        <v>205</v>
      </c>
      <c r="F481" s="2">
        <v>11.96</v>
      </c>
      <c r="G481" s="2" t="s">
        <v>206</v>
      </c>
      <c r="H481" s="2">
        <v>80</v>
      </c>
      <c r="I481" s="2">
        <v>9.5680000000000014</v>
      </c>
      <c r="J481" s="2" t="s">
        <v>52</v>
      </c>
      <c r="K481" s="20">
        <v>44651</v>
      </c>
      <c r="L481" s="20">
        <v>44290</v>
      </c>
      <c r="M481" s="20">
        <v>44290</v>
      </c>
      <c r="N481" s="2" t="s">
        <v>234</v>
      </c>
      <c r="O481" s="2" t="s">
        <v>25</v>
      </c>
      <c r="P481" s="2" t="s">
        <v>26</v>
      </c>
      <c r="Q481" s="2">
        <f t="shared" si="7"/>
        <v>1</v>
      </c>
    </row>
    <row r="482" spans="1:17" x14ac:dyDescent="0.25">
      <c r="A482" s="2" t="s">
        <v>1463</v>
      </c>
      <c r="B482" s="2" t="s">
        <v>1464</v>
      </c>
      <c r="C482" s="2" t="s">
        <v>19</v>
      </c>
      <c r="D482" s="2" t="s">
        <v>370</v>
      </c>
      <c r="E482" s="2" t="s">
        <v>212</v>
      </c>
      <c r="F482" s="2">
        <v>69.263999999999996</v>
      </c>
      <c r="G482" s="2" t="s">
        <v>206</v>
      </c>
      <c r="H482" s="2">
        <v>100</v>
      </c>
      <c r="I482" s="2">
        <v>69.263999999999996</v>
      </c>
      <c r="J482" s="2" t="s">
        <v>52</v>
      </c>
      <c r="K482" s="20">
        <v>44657</v>
      </c>
      <c r="L482" s="20">
        <v>44297</v>
      </c>
      <c r="M482" s="20">
        <v>44297</v>
      </c>
      <c r="N482" s="2" t="s">
        <v>238</v>
      </c>
      <c r="O482" s="2" t="s">
        <v>33</v>
      </c>
      <c r="P482" s="2" t="s">
        <v>34</v>
      </c>
      <c r="Q482" s="2">
        <f t="shared" si="7"/>
        <v>1</v>
      </c>
    </row>
    <row r="483" spans="1:17" x14ac:dyDescent="0.25">
      <c r="A483" s="2" t="s">
        <v>1466</v>
      </c>
      <c r="B483" s="2" t="s">
        <v>1467</v>
      </c>
      <c r="C483" s="2" t="s">
        <v>19</v>
      </c>
      <c r="D483" s="2" t="s">
        <v>119</v>
      </c>
      <c r="E483" s="2" t="s">
        <v>205</v>
      </c>
      <c r="F483" s="2">
        <v>124.41</v>
      </c>
      <c r="G483" s="2" t="s">
        <v>206</v>
      </c>
      <c r="H483" s="2">
        <v>80</v>
      </c>
      <c r="I483" s="2">
        <v>99.528000000000006</v>
      </c>
      <c r="J483" s="2" t="s">
        <v>52</v>
      </c>
      <c r="K483" s="20">
        <v>44662</v>
      </c>
      <c r="L483" s="20">
        <v>44302</v>
      </c>
      <c r="M483" s="20">
        <v>44302</v>
      </c>
      <c r="N483" s="2" t="s">
        <v>213</v>
      </c>
      <c r="O483" s="2" t="s">
        <v>146</v>
      </c>
      <c r="P483" s="2" t="s">
        <v>73</v>
      </c>
      <c r="Q483" s="2">
        <f t="shared" si="7"/>
        <v>1</v>
      </c>
    </row>
    <row r="484" spans="1:17" x14ac:dyDescent="0.25">
      <c r="A484" s="2" t="s">
        <v>1469</v>
      </c>
      <c r="B484" s="2" t="s">
        <v>1470</v>
      </c>
      <c r="C484" s="2" t="s">
        <v>19</v>
      </c>
      <c r="D484" s="2" t="s">
        <v>20</v>
      </c>
      <c r="E484" s="2" t="s">
        <v>205</v>
      </c>
      <c r="F484" s="2">
        <v>14.479999999999899</v>
      </c>
      <c r="G484" s="2" t="s">
        <v>206</v>
      </c>
      <c r="H484" s="2">
        <v>80</v>
      </c>
      <c r="I484" s="2">
        <v>11.58399999999992</v>
      </c>
      <c r="J484" s="2" t="s">
        <v>52</v>
      </c>
      <c r="K484" s="20">
        <v>44665</v>
      </c>
      <c r="L484" s="20">
        <v>44305</v>
      </c>
      <c r="M484" s="20">
        <v>44305</v>
      </c>
      <c r="N484" s="2" t="s">
        <v>213</v>
      </c>
      <c r="O484" s="2" t="s">
        <v>46</v>
      </c>
      <c r="P484" s="2" t="s">
        <v>47</v>
      </c>
      <c r="Q484" s="2">
        <f t="shared" si="7"/>
        <v>1</v>
      </c>
    </row>
    <row r="485" spans="1:17" x14ac:dyDescent="0.25">
      <c r="A485" s="2" t="s">
        <v>1471</v>
      </c>
      <c r="B485" s="2" t="s">
        <v>1472</v>
      </c>
      <c r="C485" s="2" t="s">
        <v>19</v>
      </c>
      <c r="D485" s="2" t="s">
        <v>44</v>
      </c>
      <c r="E485" s="2" t="s">
        <v>205</v>
      </c>
      <c r="F485" s="2">
        <v>94.99</v>
      </c>
      <c r="G485" s="2" t="s">
        <v>206</v>
      </c>
      <c r="H485" s="2">
        <v>80</v>
      </c>
      <c r="I485" s="2">
        <v>75.992000000000004</v>
      </c>
      <c r="J485" s="2" t="s">
        <v>52</v>
      </c>
      <c r="K485" s="20">
        <v>44668</v>
      </c>
      <c r="L485" s="20">
        <v>44308</v>
      </c>
      <c r="M485" s="20">
        <v>44308</v>
      </c>
      <c r="N485" s="2" t="s">
        <v>213</v>
      </c>
      <c r="O485" s="2" t="s">
        <v>146</v>
      </c>
      <c r="P485" s="2" t="s">
        <v>73</v>
      </c>
      <c r="Q485" s="2">
        <f t="shared" si="7"/>
        <v>1</v>
      </c>
    </row>
    <row r="486" spans="1:17" x14ac:dyDescent="0.25">
      <c r="A486" s="2" t="s">
        <v>1474</v>
      </c>
      <c r="B486" s="2" t="s">
        <v>1475</v>
      </c>
      <c r="C486" s="2" t="s">
        <v>30</v>
      </c>
      <c r="D486" s="2" t="s">
        <v>139</v>
      </c>
      <c r="E486" s="2" t="s">
        <v>212</v>
      </c>
      <c r="F486" s="2">
        <v>1502.376</v>
      </c>
      <c r="G486" s="2" t="s">
        <v>206</v>
      </c>
      <c r="H486" s="2">
        <v>100</v>
      </c>
      <c r="I486" s="2">
        <v>1502.376</v>
      </c>
      <c r="J486" s="2" t="s">
        <v>52</v>
      </c>
      <c r="K486" s="20">
        <v>44670</v>
      </c>
      <c r="L486" s="20">
        <v>44310</v>
      </c>
      <c r="M486" s="20">
        <v>44310</v>
      </c>
      <c r="N486" s="2" t="s">
        <v>248</v>
      </c>
      <c r="O486" s="2" t="s">
        <v>40</v>
      </c>
      <c r="P486" s="2" t="s">
        <v>34</v>
      </c>
      <c r="Q486" s="2">
        <f t="shared" si="7"/>
        <v>1</v>
      </c>
    </row>
    <row r="487" spans="1:17" x14ac:dyDescent="0.25">
      <c r="A487" s="2" t="s">
        <v>1477</v>
      </c>
      <c r="B487" s="2" t="s">
        <v>1478</v>
      </c>
      <c r="C487" s="2" t="s">
        <v>30</v>
      </c>
      <c r="D487" s="2" t="s">
        <v>370</v>
      </c>
      <c r="E487" s="2" t="s">
        <v>212</v>
      </c>
      <c r="F487" s="2">
        <v>539.91999999999996</v>
      </c>
      <c r="G487" s="2" t="s">
        <v>206</v>
      </c>
      <c r="H487" s="2">
        <v>100</v>
      </c>
      <c r="I487" s="2">
        <v>539.91999999999996</v>
      </c>
      <c r="J487" s="2" t="s">
        <v>52</v>
      </c>
      <c r="K487" s="20">
        <v>44672</v>
      </c>
      <c r="L487" s="20">
        <v>44312</v>
      </c>
      <c r="M487" s="20">
        <v>44312</v>
      </c>
      <c r="N487" s="2" t="s">
        <v>234</v>
      </c>
      <c r="O487" s="2" t="s">
        <v>40</v>
      </c>
      <c r="P487" s="2" t="s">
        <v>34</v>
      </c>
      <c r="Q487" s="2">
        <f t="shared" si="7"/>
        <v>1</v>
      </c>
    </row>
    <row r="488" spans="1:17" x14ac:dyDescent="0.25">
      <c r="A488" s="2" t="s">
        <v>1480</v>
      </c>
      <c r="B488" s="2" t="s">
        <v>1481</v>
      </c>
      <c r="C488" s="2" t="s">
        <v>30</v>
      </c>
      <c r="D488" s="2" t="s">
        <v>77</v>
      </c>
      <c r="E488" s="2" t="s">
        <v>205</v>
      </c>
      <c r="F488" s="2">
        <v>151.91999999999999</v>
      </c>
      <c r="G488" s="2" t="s">
        <v>206</v>
      </c>
      <c r="H488" s="2">
        <v>80</v>
      </c>
      <c r="I488" s="2">
        <v>121.536</v>
      </c>
      <c r="J488" s="2" t="s">
        <v>52</v>
      </c>
      <c r="K488" s="20">
        <v>44672</v>
      </c>
      <c r="L488" s="20">
        <v>44311</v>
      </c>
      <c r="M488" s="20">
        <v>44311</v>
      </c>
      <c r="N488" s="2" t="s">
        <v>220</v>
      </c>
      <c r="O488" s="2" t="s">
        <v>54</v>
      </c>
      <c r="P488" s="2" t="s">
        <v>26</v>
      </c>
      <c r="Q488" s="2">
        <f t="shared" si="7"/>
        <v>1</v>
      </c>
    </row>
    <row r="489" spans="1:17" x14ac:dyDescent="0.25">
      <c r="A489" s="2" t="s">
        <v>1483</v>
      </c>
      <c r="B489" s="2" t="s">
        <v>1484</v>
      </c>
      <c r="C489" s="2" t="s">
        <v>30</v>
      </c>
      <c r="D489" s="2" t="s">
        <v>31</v>
      </c>
      <c r="E489" s="2" t="s">
        <v>205</v>
      </c>
      <c r="F489" s="2">
        <v>669.08</v>
      </c>
      <c r="G489" s="2" t="s">
        <v>206</v>
      </c>
      <c r="H489" s="2">
        <v>80</v>
      </c>
      <c r="I489" s="2">
        <v>535.26400000000001</v>
      </c>
      <c r="J489" s="2" t="s">
        <v>52</v>
      </c>
      <c r="K489" s="20">
        <v>44681</v>
      </c>
      <c r="L489" s="20">
        <v>44321</v>
      </c>
      <c r="M489" s="20">
        <v>44321</v>
      </c>
      <c r="N489" s="2" t="s">
        <v>220</v>
      </c>
      <c r="O489" s="2" t="s">
        <v>72</v>
      </c>
      <c r="P489" s="2" t="s">
        <v>73</v>
      </c>
      <c r="Q489" s="2">
        <f t="shared" si="7"/>
        <v>1</v>
      </c>
    </row>
    <row r="490" spans="1:17" x14ac:dyDescent="0.25">
      <c r="A490" s="2" t="s">
        <v>1485</v>
      </c>
      <c r="B490" s="2" t="s">
        <v>1486</v>
      </c>
      <c r="C490" s="2" t="s">
        <v>19</v>
      </c>
      <c r="D490" s="2" t="s">
        <v>51</v>
      </c>
      <c r="E490" s="2" t="s">
        <v>205</v>
      </c>
      <c r="F490" s="2">
        <v>42.207999999999998</v>
      </c>
      <c r="G490" s="2" t="s">
        <v>206</v>
      </c>
      <c r="H490" s="2">
        <v>80</v>
      </c>
      <c r="I490" s="2">
        <v>33.766399999999997</v>
      </c>
      <c r="J490" s="2" t="s">
        <v>52</v>
      </c>
      <c r="K490" s="20">
        <v>44686</v>
      </c>
      <c r="L490" s="20">
        <v>44328</v>
      </c>
      <c r="M490" s="20">
        <v>44328</v>
      </c>
      <c r="N490" s="2" t="s">
        <v>234</v>
      </c>
      <c r="O490" s="2" t="s">
        <v>46</v>
      </c>
      <c r="P490" s="2" t="s">
        <v>47</v>
      </c>
      <c r="Q490" s="2">
        <f t="shared" si="7"/>
        <v>1</v>
      </c>
    </row>
    <row r="491" spans="1:17" x14ac:dyDescent="0.25">
      <c r="A491" s="2" t="s">
        <v>1488</v>
      </c>
      <c r="B491" s="2" t="s">
        <v>1489</v>
      </c>
      <c r="C491" s="2" t="s">
        <v>30</v>
      </c>
      <c r="D491" s="2" t="s">
        <v>164</v>
      </c>
      <c r="E491" s="2" t="s">
        <v>212</v>
      </c>
      <c r="F491" s="2">
        <v>103.92</v>
      </c>
      <c r="G491" s="2" t="s">
        <v>206</v>
      </c>
      <c r="H491" s="2">
        <v>100</v>
      </c>
      <c r="I491" s="2">
        <v>103.92</v>
      </c>
      <c r="J491" s="2" t="s">
        <v>52</v>
      </c>
      <c r="K491" s="20">
        <v>44690</v>
      </c>
      <c r="L491" s="20">
        <v>44329</v>
      </c>
      <c r="M491" s="20">
        <v>44329</v>
      </c>
      <c r="N491" s="2" t="s">
        <v>207</v>
      </c>
      <c r="O491" s="2" t="s">
        <v>25</v>
      </c>
      <c r="P491" s="2" t="s">
        <v>26</v>
      </c>
      <c r="Q491" s="2">
        <f t="shared" si="7"/>
        <v>1</v>
      </c>
    </row>
    <row r="492" spans="1:17" x14ac:dyDescent="0.25">
      <c r="A492" s="2" t="s">
        <v>1491</v>
      </c>
      <c r="B492" s="2" t="s">
        <v>1492</v>
      </c>
      <c r="C492" s="2" t="s">
        <v>19</v>
      </c>
      <c r="D492" s="2" t="s">
        <v>62</v>
      </c>
      <c r="E492" s="2" t="s">
        <v>212</v>
      </c>
      <c r="F492" s="2">
        <v>39.072000000000003</v>
      </c>
      <c r="G492" s="2" t="s">
        <v>206</v>
      </c>
      <c r="H492" s="2">
        <v>100</v>
      </c>
      <c r="I492" s="2">
        <v>39.072000000000003</v>
      </c>
      <c r="J492" s="2" t="s">
        <v>52</v>
      </c>
      <c r="K492" s="20">
        <v>44691</v>
      </c>
      <c r="L492" s="20">
        <v>44330</v>
      </c>
      <c r="M492" s="20">
        <v>44330</v>
      </c>
      <c r="N492" s="2" t="s">
        <v>220</v>
      </c>
      <c r="O492" s="2" t="s">
        <v>72</v>
      </c>
      <c r="P492" s="2" t="s">
        <v>73</v>
      </c>
      <c r="Q492" s="2">
        <f t="shared" si="7"/>
        <v>1</v>
      </c>
    </row>
    <row r="493" spans="1:17" x14ac:dyDescent="0.25">
      <c r="A493" s="2" t="s">
        <v>1494</v>
      </c>
      <c r="B493" s="2" t="s">
        <v>1495</v>
      </c>
      <c r="C493" s="2" t="s">
        <v>19</v>
      </c>
      <c r="D493" s="2" t="s">
        <v>81</v>
      </c>
      <c r="E493" s="2" t="s">
        <v>212</v>
      </c>
      <c r="F493" s="2">
        <v>91.36</v>
      </c>
      <c r="G493" s="2" t="s">
        <v>206</v>
      </c>
      <c r="H493" s="2">
        <v>100</v>
      </c>
      <c r="I493" s="2">
        <v>91.36</v>
      </c>
      <c r="J493" s="2" t="s">
        <v>52</v>
      </c>
      <c r="K493" s="20">
        <v>44694</v>
      </c>
      <c r="L493" s="20">
        <v>44333</v>
      </c>
      <c r="M493" s="20">
        <v>44333</v>
      </c>
      <c r="N493" s="2" t="s">
        <v>213</v>
      </c>
      <c r="O493" s="2" t="s">
        <v>54</v>
      </c>
      <c r="P493" s="2" t="s">
        <v>26</v>
      </c>
      <c r="Q493" s="2">
        <f t="shared" si="7"/>
        <v>1</v>
      </c>
    </row>
    <row r="494" spans="1:17" x14ac:dyDescent="0.25">
      <c r="A494" s="2" t="s">
        <v>1497</v>
      </c>
      <c r="B494" s="2" t="s">
        <v>1498</v>
      </c>
      <c r="C494" s="2" t="s">
        <v>30</v>
      </c>
      <c r="D494" s="2" t="s">
        <v>62</v>
      </c>
      <c r="E494" s="2" t="s">
        <v>205</v>
      </c>
      <c r="F494" s="2">
        <v>35.015999999999998</v>
      </c>
      <c r="G494" s="2" t="s">
        <v>206</v>
      </c>
      <c r="H494" s="2">
        <v>80</v>
      </c>
      <c r="I494" s="2">
        <v>28.012799999999999</v>
      </c>
      <c r="J494" s="2" t="s">
        <v>52</v>
      </c>
      <c r="K494" s="20">
        <v>44694</v>
      </c>
      <c r="L494" s="20">
        <v>44335</v>
      </c>
      <c r="M494" s="20">
        <v>44335</v>
      </c>
      <c r="N494" s="2" t="s">
        <v>213</v>
      </c>
      <c r="O494" s="2" t="s">
        <v>82</v>
      </c>
      <c r="P494" s="2" t="s">
        <v>47</v>
      </c>
      <c r="Q494" s="2">
        <f t="shared" si="7"/>
        <v>1</v>
      </c>
    </row>
    <row r="495" spans="1:17" x14ac:dyDescent="0.25">
      <c r="A495" s="2" t="s">
        <v>1500</v>
      </c>
      <c r="B495" s="2" t="s">
        <v>1501</v>
      </c>
      <c r="C495" s="2" t="s">
        <v>30</v>
      </c>
      <c r="D495" s="2" t="s">
        <v>230</v>
      </c>
      <c r="E495" s="2" t="s">
        <v>205</v>
      </c>
      <c r="F495" s="2">
        <v>51.45</v>
      </c>
      <c r="G495" s="2" t="s">
        <v>206</v>
      </c>
      <c r="H495" s="2">
        <v>80</v>
      </c>
      <c r="I495" s="2">
        <v>41.160000000000004</v>
      </c>
      <c r="J495" s="2" t="s">
        <v>52</v>
      </c>
      <c r="K495" s="20">
        <v>44703</v>
      </c>
      <c r="L495" s="20">
        <v>44345</v>
      </c>
      <c r="M495" s="20">
        <v>44345</v>
      </c>
      <c r="N495" s="2" t="s">
        <v>220</v>
      </c>
      <c r="O495" s="2" t="s">
        <v>97</v>
      </c>
      <c r="P495" s="2" t="s">
        <v>68</v>
      </c>
      <c r="Q495" s="2">
        <f t="shared" si="7"/>
        <v>1</v>
      </c>
    </row>
    <row r="496" spans="1:17" x14ac:dyDescent="0.25">
      <c r="A496" s="2" t="s">
        <v>1503</v>
      </c>
      <c r="B496" s="2" t="s">
        <v>1504</v>
      </c>
      <c r="C496" s="2" t="s">
        <v>19</v>
      </c>
      <c r="D496" s="2" t="s">
        <v>186</v>
      </c>
      <c r="E496" s="2" t="s">
        <v>212</v>
      </c>
      <c r="F496" s="2">
        <v>8.7360000000000007</v>
      </c>
      <c r="G496" s="2" t="s">
        <v>206</v>
      </c>
      <c r="H496" s="2">
        <v>100</v>
      </c>
      <c r="I496" s="2">
        <v>8.7360000000000007</v>
      </c>
      <c r="J496" s="2" t="s">
        <v>52</v>
      </c>
      <c r="K496" s="20">
        <v>44705</v>
      </c>
      <c r="L496" s="20">
        <v>44344</v>
      </c>
      <c r="M496" s="20">
        <v>44344</v>
      </c>
      <c r="N496" s="2" t="s">
        <v>234</v>
      </c>
      <c r="O496" s="2" t="s">
        <v>33</v>
      </c>
      <c r="P496" s="2" t="s">
        <v>34</v>
      </c>
      <c r="Q496" s="2">
        <f t="shared" si="7"/>
        <v>1</v>
      </c>
    </row>
    <row r="497" spans="1:17" x14ac:dyDescent="0.25">
      <c r="A497" s="2" t="s">
        <v>1505</v>
      </c>
      <c r="B497" s="2" t="s">
        <v>1506</v>
      </c>
      <c r="C497" s="2" t="s">
        <v>19</v>
      </c>
      <c r="D497" s="2" t="s">
        <v>62</v>
      </c>
      <c r="E497" s="2" t="s">
        <v>212</v>
      </c>
      <c r="F497" s="2">
        <v>88.8</v>
      </c>
      <c r="G497" s="2" t="s">
        <v>206</v>
      </c>
      <c r="H497" s="2">
        <v>100</v>
      </c>
      <c r="I497" s="2">
        <v>88.8</v>
      </c>
      <c r="J497" s="2" t="s">
        <v>52</v>
      </c>
      <c r="K497" s="20">
        <v>44707</v>
      </c>
      <c r="L497" s="20">
        <v>44345</v>
      </c>
      <c r="M497" s="20">
        <v>44345</v>
      </c>
      <c r="N497" s="2" t="s">
        <v>220</v>
      </c>
      <c r="O497" s="2" t="s">
        <v>40</v>
      </c>
      <c r="P497" s="2" t="s">
        <v>34</v>
      </c>
      <c r="Q497" s="2">
        <f t="shared" si="7"/>
        <v>1</v>
      </c>
    </row>
    <row r="498" spans="1:17" x14ac:dyDescent="0.25">
      <c r="A498" s="2" t="s">
        <v>1508</v>
      </c>
      <c r="B498" s="2" t="s">
        <v>1509</v>
      </c>
      <c r="C498" s="2" t="s">
        <v>30</v>
      </c>
      <c r="D498" s="2" t="s">
        <v>58</v>
      </c>
      <c r="E498" s="2" t="s">
        <v>205</v>
      </c>
      <c r="F498" s="2">
        <v>102.438</v>
      </c>
      <c r="G498" s="2" t="s">
        <v>206</v>
      </c>
      <c r="H498" s="2">
        <v>80</v>
      </c>
      <c r="I498" s="2">
        <v>81.950400000000002</v>
      </c>
      <c r="J498" s="2" t="s">
        <v>52</v>
      </c>
      <c r="K498" s="20">
        <v>44712</v>
      </c>
      <c r="L498" s="20">
        <v>44351</v>
      </c>
      <c r="M498" s="20">
        <v>44351</v>
      </c>
      <c r="N498" s="2" t="s">
        <v>220</v>
      </c>
      <c r="O498" s="2" t="s">
        <v>82</v>
      </c>
      <c r="P498" s="2" t="s">
        <v>47</v>
      </c>
      <c r="Q498" s="2">
        <f t="shared" si="7"/>
        <v>1</v>
      </c>
    </row>
    <row r="499" spans="1:17" x14ac:dyDescent="0.25">
      <c r="A499" s="2" t="s">
        <v>1511</v>
      </c>
      <c r="B499" s="2" t="s">
        <v>1512</v>
      </c>
      <c r="C499" s="2" t="s">
        <v>19</v>
      </c>
      <c r="D499" s="2" t="s">
        <v>211</v>
      </c>
      <c r="E499" s="2" t="s">
        <v>212</v>
      </c>
      <c r="F499" s="2">
        <v>107.982</v>
      </c>
      <c r="G499" s="2" t="s">
        <v>206</v>
      </c>
      <c r="H499" s="2">
        <v>100</v>
      </c>
      <c r="I499" s="2">
        <v>107.982</v>
      </c>
      <c r="J499" s="2" t="s">
        <v>52</v>
      </c>
      <c r="K499" s="20">
        <v>44714</v>
      </c>
      <c r="L499" s="20">
        <v>44356</v>
      </c>
      <c r="M499" s="20">
        <v>44356</v>
      </c>
      <c r="N499" s="2" t="s">
        <v>234</v>
      </c>
      <c r="O499" s="2" t="s">
        <v>40</v>
      </c>
      <c r="P499" s="2" t="s">
        <v>34</v>
      </c>
      <c r="Q499" s="2">
        <f t="shared" si="7"/>
        <v>1</v>
      </c>
    </row>
    <row r="500" spans="1:17" x14ac:dyDescent="0.25">
      <c r="A500" s="2" t="s">
        <v>1513</v>
      </c>
      <c r="B500" s="2" t="s">
        <v>1514</v>
      </c>
      <c r="C500" s="2" t="s">
        <v>30</v>
      </c>
      <c r="D500" s="2" t="s">
        <v>186</v>
      </c>
      <c r="E500" s="2" t="s">
        <v>212</v>
      </c>
      <c r="F500" s="2">
        <v>5.68</v>
      </c>
      <c r="G500" s="2" t="s">
        <v>206</v>
      </c>
      <c r="H500" s="2">
        <v>100</v>
      </c>
      <c r="I500" s="2">
        <v>5.68</v>
      </c>
      <c r="J500" s="2" t="s">
        <v>52</v>
      </c>
      <c r="K500" s="20">
        <v>44722</v>
      </c>
      <c r="L500" s="20">
        <v>44363</v>
      </c>
      <c r="M500" s="20">
        <v>44363</v>
      </c>
      <c r="N500" s="2" t="s">
        <v>207</v>
      </c>
      <c r="O500" s="2" t="s">
        <v>33</v>
      </c>
      <c r="P500" s="2" t="s">
        <v>34</v>
      </c>
      <c r="Q500" s="2">
        <f t="shared" si="7"/>
        <v>1</v>
      </c>
    </row>
    <row r="501" spans="1:17" x14ac:dyDescent="0.25">
      <c r="A501" s="2" t="s">
        <v>1516</v>
      </c>
      <c r="B501" s="2" t="s">
        <v>1517</v>
      </c>
      <c r="C501" s="2" t="s">
        <v>30</v>
      </c>
      <c r="D501" s="2" t="s">
        <v>86</v>
      </c>
      <c r="E501" s="2" t="s">
        <v>212</v>
      </c>
      <c r="F501" s="2">
        <v>101.88</v>
      </c>
      <c r="G501" s="2" t="s">
        <v>206</v>
      </c>
      <c r="H501" s="2">
        <v>100</v>
      </c>
      <c r="I501" s="2">
        <v>101.88</v>
      </c>
      <c r="J501" s="2" t="s">
        <v>52</v>
      </c>
      <c r="K501" s="20">
        <v>44726</v>
      </c>
      <c r="L501" s="20">
        <v>44365</v>
      </c>
      <c r="M501" s="20">
        <v>44365</v>
      </c>
      <c r="N501" s="2" t="s">
        <v>248</v>
      </c>
      <c r="O501" s="2" t="s">
        <v>67</v>
      </c>
      <c r="P501" s="2" t="s">
        <v>68</v>
      </c>
      <c r="Q501" s="2">
        <f t="shared" si="7"/>
        <v>1</v>
      </c>
    </row>
    <row r="502" spans="1:17" x14ac:dyDescent="0.25">
      <c r="A502" s="2" t="s">
        <v>1518</v>
      </c>
      <c r="B502" s="2" t="s">
        <v>1519</v>
      </c>
      <c r="C502" s="2" t="s">
        <v>30</v>
      </c>
      <c r="D502" s="2" t="s">
        <v>154</v>
      </c>
      <c r="E502" s="2" t="s">
        <v>205</v>
      </c>
      <c r="F502" s="2">
        <v>19.440000000000001</v>
      </c>
      <c r="G502" s="2" t="s">
        <v>206</v>
      </c>
      <c r="H502" s="2">
        <v>80</v>
      </c>
      <c r="I502" s="2">
        <v>15.552000000000001</v>
      </c>
      <c r="J502" s="2" t="s">
        <v>52</v>
      </c>
      <c r="K502" s="20">
        <v>44731</v>
      </c>
      <c r="L502" s="20">
        <v>44370</v>
      </c>
      <c r="M502" s="20">
        <v>44370</v>
      </c>
      <c r="N502" s="2" t="s">
        <v>207</v>
      </c>
      <c r="O502" s="2" t="s">
        <v>25</v>
      </c>
      <c r="P502" s="2" t="s">
        <v>26</v>
      </c>
      <c r="Q502" s="2">
        <f t="shared" si="7"/>
        <v>1</v>
      </c>
    </row>
    <row r="503" spans="1:17" x14ac:dyDescent="0.25">
      <c r="A503" s="2" t="s">
        <v>1521</v>
      </c>
      <c r="B503" s="2" t="s">
        <v>1522</v>
      </c>
      <c r="C503" s="2" t="s">
        <v>30</v>
      </c>
      <c r="D503" s="2" t="s">
        <v>126</v>
      </c>
      <c r="E503" s="2" t="s">
        <v>212</v>
      </c>
      <c r="F503" s="2">
        <v>18.864000000000001</v>
      </c>
      <c r="G503" s="2" t="s">
        <v>206</v>
      </c>
      <c r="H503" s="2">
        <v>100</v>
      </c>
      <c r="I503" s="2">
        <v>18.864000000000001</v>
      </c>
      <c r="J503" s="2" t="s">
        <v>52</v>
      </c>
      <c r="K503" s="20">
        <v>44734</v>
      </c>
      <c r="L503" s="20">
        <v>44375</v>
      </c>
      <c r="M503" s="20">
        <v>44375</v>
      </c>
      <c r="N503" s="2" t="s">
        <v>238</v>
      </c>
      <c r="O503" s="2" t="s">
        <v>25</v>
      </c>
      <c r="P503" s="2" t="s">
        <v>26</v>
      </c>
      <c r="Q503" s="2">
        <f t="shared" si="7"/>
        <v>1</v>
      </c>
    </row>
    <row r="504" spans="1:17" x14ac:dyDescent="0.25">
      <c r="A504" s="2" t="s">
        <v>1523</v>
      </c>
      <c r="B504" s="2" t="s">
        <v>1524</v>
      </c>
      <c r="C504" s="2" t="s">
        <v>30</v>
      </c>
      <c r="D504" s="2" t="s">
        <v>164</v>
      </c>
      <c r="E504" s="2" t="s">
        <v>205</v>
      </c>
      <c r="F504" s="2">
        <v>105.52</v>
      </c>
      <c r="G504" s="2" t="s">
        <v>206</v>
      </c>
      <c r="H504" s="2">
        <v>80</v>
      </c>
      <c r="I504" s="2">
        <v>84.415999999999997</v>
      </c>
      <c r="J504" s="2" t="s">
        <v>52</v>
      </c>
      <c r="K504" s="20">
        <v>44735</v>
      </c>
      <c r="L504" s="20">
        <v>44373</v>
      </c>
      <c r="M504" s="20">
        <v>44373</v>
      </c>
      <c r="N504" s="2" t="s">
        <v>207</v>
      </c>
      <c r="O504" s="2" t="s">
        <v>72</v>
      </c>
      <c r="P504" s="2" t="s">
        <v>73</v>
      </c>
      <c r="Q504" s="2">
        <f t="shared" si="7"/>
        <v>1</v>
      </c>
    </row>
    <row r="505" spans="1:17" x14ac:dyDescent="0.25">
      <c r="A505" s="2" t="s">
        <v>1525</v>
      </c>
      <c r="B505" s="2" t="s">
        <v>1526</v>
      </c>
      <c r="C505" s="2" t="s">
        <v>30</v>
      </c>
      <c r="D505" s="2" t="s">
        <v>44</v>
      </c>
      <c r="E505" s="2" t="s">
        <v>205</v>
      </c>
      <c r="F505" s="2">
        <v>3393.68</v>
      </c>
      <c r="G505" s="2" t="s">
        <v>206</v>
      </c>
      <c r="H505" s="2">
        <v>80</v>
      </c>
      <c r="I505" s="2">
        <v>2714.944</v>
      </c>
      <c r="J505" s="2" t="s">
        <v>52</v>
      </c>
      <c r="K505" s="20">
        <v>44738</v>
      </c>
      <c r="L505" s="20">
        <v>44378</v>
      </c>
      <c r="M505" s="20">
        <v>44378</v>
      </c>
      <c r="N505" s="2" t="s">
        <v>238</v>
      </c>
      <c r="O505" s="2" t="s">
        <v>25</v>
      </c>
      <c r="P505" s="2" t="s">
        <v>26</v>
      </c>
      <c r="Q505" s="2">
        <f t="shared" si="7"/>
        <v>1</v>
      </c>
    </row>
    <row r="506" spans="1:17" x14ac:dyDescent="0.25">
      <c r="A506" s="2" t="s">
        <v>1527</v>
      </c>
      <c r="B506" s="2" t="s">
        <v>1528</v>
      </c>
      <c r="C506" s="2" t="s">
        <v>19</v>
      </c>
      <c r="D506" s="2" t="s">
        <v>119</v>
      </c>
      <c r="E506" s="2" t="s">
        <v>205</v>
      </c>
      <c r="F506" s="2">
        <v>87.799999999999898</v>
      </c>
      <c r="G506" s="2" t="s">
        <v>206</v>
      </c>
      <c r="H506" s="2">
        <v>80</v>
      </c>
      <c r="I506" s="2">
        <v>70.239999999999924</v>
      </c>
      <c r="J506" s="2" t="s">
        <v>52</v>
      </c>
      <c r="K506" s="20">
        <v>44739</v>
      </c>
      <c r="L506" s="20">
        <v>44378</v>
      </c>
      <c r="M506" s="20">
        <v>44378</v>
      </c>
      <c r="N506" s="2" t="s">
        <v>238</v>
      </c>
      <c r="O506" s="2" t="s">
        <v>82</v>
      </c>
      <c r="P506" s="2" t="s">
        <v>47</v>
      </c>
      <c r="Q506" s="2">
        <f t="shared" si="7"/>
        <v>1</v>
      </c>
    </row>
    <row r="507" spans="1:17" x14ac:dyDescent="0.25">
      <c r="A507" s="2" t="s">
        <v>1529</v>
      </c>
      <c r="B507" s="2" t="s">
        <v>1530</v>
      </c>
      <c r="C507" s="2" t="s">
        <v>30</v>
      </c>
      <c r="D507" s="2" t="s">
        <v>126</v>
      </c>
      <c r="E507" s="2" t="s">
        <v>205</v>
      </c>
      <c r="F507" s="2">
        <v>41.988</v>
      </c>
      <c r="G507" s="2" t="s">
        <v>206</v>
      </c>
      <c r="H507" s="2">
        <v>80</v>
      </c>
      <c r="I507" s="2">
        <v>33.590400000000002</v>
      </c>
      <c r="J507" s="2" t="s">
        <v>52</v>
      </c>
      <c r="K507" s="20">
        <v>44742</v>
      </c>
      <c r="L507" s="20">
        <v>44380</v>
      </c>
      <c r="M507" s="20">
        <v>44380</v>
      </c>
      <c r="N507" s="2" t="s">
        <v>234</v>
      </c>
      <c r="O507" s="2" t="s">
        <v>67</v>
      </c>
      <c r="P507" s="2" t="s">
        <v>68</v>
      </c>
      <c r="Q507" s="2">
        <f t="shared" si="7"/>
        <v>1</v>
      </c>
    </row>
    <row r="508" spans="1:17" x14ac:dyDescent="0.25">
      <c r="A508" s="2" t="s">
        <v>1532</v>
      </c>
      <c r="B508" s="2" t="s">
        <v>1533</v>
      </c>
      <c r="C508" s="2" t="s">
        <v>19</v>
      </c>
      <c r="D508" s="2" t="s">
        <v>119</v>
      </c>
      <c r="E508" s="2" t="s">
        <v>212</v>
      </c>
      <c r="F508" s="2">
        <v>352.45</v>
      </c>
      <c r="G508" s="2" t="s">
        <v>206</v>
      </c>
      <c r="H508" s="2">
        <v>100</v>
      </c>
      <c r="I508" s="2">
        <v>352.45</v>
      </c>
      <c r="J508" s="2" t="s">
        <v>52</v>
      </c>
      <c r="K508" s="20">
        <v>44742</v>
      </c>
      <c r="L508" s="20">
        <v>44382</v>
      </c>
      <c r="M508" s="20">
        <v>44382</v>
      </c>
      <c r="N508" s="2" t="s">
        <v>238</v>
      </c>
      <c r="O508" s="2" t="s">
        <v>40</v>
      </c>
      <c r="P508" s="2" t="s">
        <v>34</v>
      </c>
      <c r="Q508" s="2">
        <f t="shared" si="7"/>
        <v>1</v>
      </c>
    </row>
    <row r="509" spans="1:17" x14ac:dyDescent="0.25">
      <c r="A509" s="2" t="s">
        <v>1534</v>
      </c>
      <c r="B509" s="2" t="s">
        <v>1535</v>
      </c>
      <c r="C509" s="2" t="s">
        <v>19</v>
      </c>
      <c r="D509" s="2" t="s">
        <v>38</v>
      </c>
      <c r="E509" s="2" t="s">
        <v>212</v>
      </c>
      <c r="F509" s="2">
        <v>54.527999999999899</v>
      </c>
      <c r="G509" s="2" t="s">
        <v>206</v>
      </c>
      <c r="H509" s="2">
        <v>100</v>
      </c>
      <c r="I509" s="2">
        <v>54.527999999999899</v>
      </c>
      <c r="J509" s="2" t="s">
        <v>52</v>
      </c>
      <c r="K509" s="20">
        <v>44747</v>
      </c>
      <c r="L509" s="20">
        <v>44386</v>
      </c>
      <c r="M509" s="20">
        <v>44386</v>
      </c>
      <c r="N509" s="2" t="s">
        <v>207</v>
      </c>
      <c r="O509" s="2" t="s">
        <v>97</v>
      </c>
      <c r="P509" s="2" t="s">
        <v>68</v>
      </c>
      <c r="Q509" s="2">
        <f t="shared" si="7"/>
        <v>1</v>
      </c>
    </row>
    <row r="510" spans="1:17" x14ac:dyDescent="0.25">
      <c r="A510" s="2" t="s">
        <v>1537</v>
      </c>
      <c r="B510" s="2" t="s">
        <v>1538</v>
      </c>
      <c r="C510" s="2" t="s">
        <v>30</v>
      </c>
      <c r="D510" s="2" t="s">
        <v>31</v>
      </c>
      <c r="E510" s="2" t="s">
        <v>205</v>
      </c>
      <c r="F510" s="2">
        <v>55.47</v>
      </c>
      <c r="G510" s="2" t="s">
        <v>206</v>
      </c>
      <c r="H510" s="2">
        <v>80</v>
      </c>
      <c r="I510" s="2">
        <v>44.376000000000005</v>
      </c>
      <c r="J510" s="2" t="s">
        <v>52</v>
      </c>
      <c r="K510" s="20">
        <v>44749</v>
      </c>
      <c r="L510" s="20">
        <v>44389</v>
      </c>
      <c r="M510" s="20">
        <v>44389</v>
      </c>
      <c r="N510" s="2" t="s">
        <v>220</v>
      </c>
      <c r="O510" s="2" t="s">
        <v>82</v>
      </c>
      <c r="P510" s="2" t="s">
        <v>47</v>
      </c>
      <c r="Q510" s="2">
        <f t="shared" si="7"/>
        <v>1</v>
      </c>
    </row>
    <row r="511" spans="1:17" x14ac:dyDescent="0.25">
      <c r="A511" s="2" t="s">
        <v>1540</v>
      </c>
      <c r="B511" s="2" t="s">
        <v>1541</v>
      </c>
      <c r="C511" s="2" t="s">
        <v>30</v>
      </c>
      <c r="D511" s="2" t="s">
        <v>51</v>
      </c>
      <c r="E511" s="2" t="s">
        <v>205</v>
      </c>
      <c r="F511" s="2">
        <v>43.56</v>
      </c>
      <c r="G511" s="2" t="s">
        <v>206</v>
      </c>
      <c r="H511" s="2">
        <v>80</v>
      </c>
      <c r="I511" s="2">
        <v>34.848000000000006</v>
      </c>
      <c r="J511" s="2" t="s">
        <v>52</v>
      </c>
      <c r="K511" s="20">
        <v>44749</v>
      </c>
      <c r="L511" s="20">
        <v>44390</v>
      </c>
      <c r="M511" s="20">
        <v>44390</v>
      </c>
      <c r="N511" s="2" t="s">
        <v>248</v>
      </c>
      <c r="O511" s="2" t="s">
        <v>54</v>
      </c>
      <c r="P511" s="2" t="s">
        <v>26</v>
      </c>
      <c r="Q511" s="2">
        <f t="shared" si="7"/>
        <v>1</v>
      </c>
    </row>
    <row r="512" spans="1:17" x14ac:dyDescent="0.25">
      <c r="A512" s="2" t="s">
        <v>1543</v>
      </c>
      <c r="B512" s="2" t="s">
        <v>1544</v>
      </c>
      <c r="C512" s="2" t="s">
        <v>19</v>
      </c>
      <c r="D512" s="2" t="s">
        <v>324</v>
      </c>
      <c r="E512" s="2" t="s">
        <v>205</v>
      </c>
      <c r="F512" s="2">
        <v>50.351999999999997</v>
      </c>
      <c r="G512" s="2" t="s">
        <v>206</v>
      </c>
      <c r="H512" s="2">
        <v>80</v>
      </c>
      <c r="I512" s="2">
        <v>40.281599999999997</v>
      </c>
      <c r="J512" s="2" t="s">
        <v>52</v>
      </c>
      <c r="K512" s="20">
        <v>44756</v>
      </c>
      <c r="L512" s="20">
        <v>44393</v>
      </c>
      <c r="M512" s="20">
        <v>44393</v>
      </c>
      <c r="N512" s="2" t="s">
        <v>238</v>
      </c>
      <c r="O512" s="2" t="s">
        <v>97</v>
      </c>
      <c r="P512" s="2" t="s">
        <v>68</v>
      </c>
      <c r="Q512" s="2">
        <f t="shared" si="7"/>
        <v>1</v>
      </c>
    </row>
    <row r="513" spans="1:17" x14ac:dyDescent="0.25">
      <c r="A513" s="2" t="s">
        <v>1546</v>
      </c>
      <c r="B513" s="2" t="s">
        <v>1547</v>
      </c>
      <c r="C513" s="2" t="s">
        <v>19</v>
      </c>
      <c r="D513" s="2" t="s">
        <v>345</v>
      </c>
      <c r="E513" s="2" t="s">
        <v>205</v>
      </c>
      <c r="F513" s="2">
        <v>23.832000000000001</v>
      </c>
      <c r="G513" s="2" t="s">
        <v>206</v>
      </c>
      <c r="H513" s="2">
        <v>80</v>
      </c>
      <c r="I513" s="2">
        <v>19.0656</v>
      </c>
      <c r="J513" s="2" t="s">
        <v>52</v>
      </c>
      <c r="K513" s="20">
        <v>44761</v>
      </c>
      <c r="L513" s="20">
        <v>44399</v>
      </c>
      <c r="M513" s="20">
        <v>44399</v>
      </c>
      <c r="N513" s="2" t="s">
        <v>248</v>
      </c>
      <c r="O513" s="2" t="s">
        <v>25</v>
      </c>
      <c r="P513" s="2" t="s">
        <v>26</v>
      </c>
      <c r="Q513" s="2">
        <f t="shared" si="7"/>
        <v>1</v>
      </c>
    </row>
    <row r="514" spans="1:17" x14ac:dyDescent="0.25">
      <c r="A514" s="2" t="s">
        <v>1549</v>
      </c>
      <c r="B514" s="2" t="s">
        <v>1550</v>
      </c>
      <c r="C514" s="2" t="s">
        <v>30</v>
      </c>
      <c r="D514" s="2" t="s">
        <v>105</v>
      </c>
      <c r="E514" s="2" t="s">
        <v>205</v>
      </c>
      <c r="F514" s="2">
        <v>12.175999999999901</v>
      </c>
      <c r="G514" s="2" t="s">
        <v>206</v>
      </c>
      <c r="H514" s="2">
        <v>80</v>
      </c>
      <c r="I514" s="2">
        <v>9.740799999999922</v>
      </c>
      <c r="J514" s="2" t="s">
        <v>52</v>
      </c>
      <c r="K514" s="20">
        <v>44762</v>
      </c>
      <c r="L514" s="20">
        <v>44398</v>
      </c>
      <c r="M514" s="20">
        <v>44398</v>
      </c>
      <c r="N514" s="2" t="s">
        <v>213</v>
      </c>
      <c r="O514" s="2" t="s">
        <v>25</v>
      </c>
      <c r="P514" s="2" t="s">
        <v>26</v>
      </c>
      <c r="Q514" s="2">
        <f t="shared" ref="Q514:Q577" si="8">COUNTIF($A$2:$A$1778,A514)</f>
        <v>1</v>
      </c>
    </row>
    <row r="515" spans="1:17" x14ac:dyDescent="0.25">
      <c r="A515" s="2" t="s">
        <v>1552</v>
      </c>
      <c r="B515" s="2" t="s">
        <v>1553</v>
      </c>
      <c r="C515" s="2" t="s">
        <v>30</v>
      </c>
      <c r="D515" s="2" t="s">
        <v>230</v>
      </c>
      <c r="E515" s="2" t="s">
        <v>205</v>
      </c>
      <c r="F515" s="2">
        <v>172.70400000000001</v>
      </c>
      <c r="G515" s="2" t="s">
        <v>206</v>
      </c>
      <c r="H515" s="2">
        <v>80</v>
      </c>
      <c r="I515" s="2">
        <v>138.16320000000002</v>
      </c>
      <c r="J515" s="2" t="s">
        <v>52</v>
      </c>
      <c r="K515" s="20">
        <v>44766</v>
      </c>
      <c r="L515" s="20">
        <v>44404</v>
      </c>
      <c r="M515" s="20">
        <v>44404</v>
      </c>
      <c r="N515" s="2" t="s">
        <v>207</v>
      </c>
      <c r="O515" s="2" t="s">
        <v>33</v>
      </c>
      <c r="P515" s="2" t="s">
        <v>34</v>
      </c>
      <c r="Q515" s="2">
        <f t="shared" si="8"/>
        <v>1</v>
      </c>
    </row>
    <row r="516" spans="1:17" x14ac:dyDescent="0.25">
      <c r="A516" s="2" t="s">
        <v>1555</v>
      </c>
      <c r="B516" s="2" t="s">
        <v>1556</v>
      </c>
      <c r="C516" s="2" t="s">
        <v>19</v>
      </c>
      <c r="D516" s="2" t="s">
        <v>164</v>
      </c>
      <c r="E516" s="2" t="s">
        <v>212</v>
      </c>
      <c r="F516" s="2">
        <v>12.176</v>
      </c>
      <c r="G516" s="2" t="s">
        <v>206</v>
      </c>
      <c r="H516" s="2">
        <v>100</v>
      </c>
      <c r="I516" s="2">
        <v>12.176</v>
      </c>
      <c r="J516" s="2" t="s">
        <v>52</v>
      </c>
      <c r="K516" s="20">
        <v>44768</v>
      </c>
      <c r="L516" s="20">
        <v>44408</v>
      </c>
      <c r="M516" s="20">
        <v>44408</v>
      </c>
      <c r="N516" s="2" t="s">
        <v>234</v>
      </c>
      <c r="O516" s="2" t="s">
        <v>25</v>
      </c>
      <c r="P516" s="2" t="s">
        <v>26</v>
      </c>
      <c r="Q516" s="2">
        <f t="shared" si="8"/>
        <v>1</v>
      </c>
    </row>
    <row r="517" spans="1:17" x14ac:dyDescent="0.25">
      <c r="A517" s="2" t="s">
        <v>1557</v>
      </c>
      <c r="B517" s="2" t="s">
        <v>1558</v>
      </c>
      <c r="C517" s="2" t="s">
        <v>30</v>
      </c>
      <c r="D517" s="2" t="s">
        <v>324</v>
      </c>
      <c r="E517" s="2" t="s">
        <v>205</v>
      </c>
      <c r="F517" s="2">
        <v>19.8</v>
      </c>
      <c r="G517" s="2" t="s">
        <v>206</v>
      </c>
      <c r="H517" s="2">
        <v>80</v>
      </c>
      <c r="I517" s="2">
        <v>15.840000000000002</v>
      </c>
      <c r="J517" s="2" t="s">
        <v>52</v>
      </c>
      <c r="K517" s="20">
        <v>44769</v>
      </c>
      <c r="L517" s="20">
        <v>44409</v>
      </c>
      <c r="M517" s="20">
        <v>44409</v>
      </c>
      <c r="N517" s="2" t="s">
        <v>220</v>
      </c>
      <c r="O517" s="2" t="s">
        <v>25</v>
      </c>
      <c r="P517" s="2" t="s">
        <v>26</v>
      </c>
      <c r="Q517" s="2">
        <f t="shared" si="8"/>
        <v>1</v>
      </c>
    </row>
    <row r="518" spans="1:17" x14ac:dyDescent="0.25">
      <c r="A518" s="2" t="s">
        <v>1560</v>
      </c>
      <c r="B518" s="2" t="s">
        <v>1561</v>
      </c>
      <c r="C518" s="2" t="s">
        <v>30</v>
      </c>
      <c r="D518" s="2" t="s">
        <v>77</v>
      </c>
      <c r="E518" s="2" t="s">
        <v>212</v>
      </c>
      <c r="F518" s="2">
        <v>377.97</v>
      </c>
      <c r="G518" s="2" t="s">
        <v>206</v>
      </c>
      <c r="H518" s="2">
        <v>100</v>
      </c>
      <c r="I518" s="2">
        <v>377.97</v>
      </c>
      <c r="J518" s="2" t="s">
        <v>52</v>
      </c>
      <c r="K518" s="20">
        <v>44769</v>
      </c>
      <c r="L518" s="20">
        <v>44406</v>
      </c>
      <c r="M518" s="20">
        <v>44406</v>
      </c>
      <c r="N518" s="2" t="s">
        <v>207</v>
      </c>
      <c r="O518" s="2" t="s">
        <v>25</v>
      </c>
      <c r="P518" s="2" t="s">
        <v>26</v>
      </c>
      <c r="Q518" s="2">
        <f t="shared" si="8"/>
        <v>1</v>
      </c>
    </row>
    <row r="519" spans="1:17" x14ac:dyDescent="0.25">
      <c r="A519" s="2" t="s">
        <v>1562</v>
      </c>
      <c r="B519" s="2" t="s">
        <v>1563</v>
      </c>
      <c r="C519" s="2" t="s">
        <v>30</v>
      </c>
      <c r="D519" s="2" t="s">
        <v>51</v>
      </c>
      <c r="E519" s="2" t="s">
        <v>205</v>
      </c>
      <c r="F519" s="2">
        <v>123.96</v>
      </c>
      <c r="G519" s="2" t="s">
        <v>206</v>
      </c>
      <c r="H519" s="2">
        <v>80</v>
      </c>
      <c r="I519" s="2">
        <v>99.168000000000006</v>
      </c>
      <c r="J519" s="2" t="s">
        <v>52</v>
      </c>
      <c r="K519" s="20">
        <v>44770</v>
      </c>
      <c r="L519" s="20">
        <v>44411</v>
      </c>
      <c r="M519" s="20">
        <v>44411</v>
      </c>
      <c r="N519" s="2" t="s">
        <v>248</v>
      </c>
      <c r="O519" s="2" t="s">
        <v>33</v>
      </c>
      <c r="P519" s="2" t="s">
        <v>34</v>
      </c>
      <c r="Q519" s="2">
        <f t="shared" si="8"/>
        <v>1</v>
      </c>
    </row>
    <row r="520" spans="1:17" x14ac:dyDescent="0.25">
      <c r="A520" s="2" t="s">
        <v>1565</v>
      </c>
      <c r="B520" s="2" t="s">
        <v>1566</v>
      </c>
      <c r="C520" s="2" t="s">
        <v>30</v>
      </c>
      <c r="D520" s="2" t="s">
        <v>324</v>
      </c>
      <c r="E520" s="2" t="s">
        <v>212</v>
      </c>
      <c r="F520" s="2">
        <v>2799.944</v>
      </c>
      <c r="G520" s="2" t="s">
        <v>206</v>
      </c>
      <c r="H520" s="2">
        <v>100</v>
      </c>
      <c r="I520" s="2">
        <v>2799.944</v>
      </c>
      <c r="J520" s="2" t="s">
        <v>52</v>
      </c>
      <c r="K520" s="20">
        <v>44773</v>
      </c>
      <c r="L520" s="20">
        <v>44412</v>
      </c>
      <c r="M520" s="20">
        <v>44412</v>
      </c>
      <c r="N520" s="2" t="s">
        <v>207</v>
      </c>
      <c r="O520" s="2" t="s">
        <v>46</v>
      </c>
      <c r="P520" s="2" t="s">
        <v>47</v>
      </c>
      <c r="Q520" s="2">
        <f t="shared" si="8"/>
        <v>1</v>
      </c>
    </row>
    <row r="521" spans="1:17" x14ac:dyDescent="0.25">
      <c r="A521" s="2" t="s">
        <v>1568</v>
      </c>
      <c r="B521" s="2" t="s">
        <v>1569</v>
      </c>
      <c r="C521" s="2" t="s">
        <v>30</v>
      </c>
      <c r="D521" s="2" t="s">
        <v>324</v>
      </c>
      <c r="E521" s="2" t="s">
        <v>212</v>
      </c>
      <c r="F521" s="2">
        <v>13.05</v>
      </c>
      <c r="G521" s="2" t="s">
        <v>206</v>
      </c>
      <c r="H521" s="2">
        <v>100</v>
      </c>
      <c r="I521" s="2">
        <v>13.05</v>
      </c>
      <c r="J521" s="2" t="s">
        <v>52</v>
      </c>
      <c r="K521" s="20">
        <v>44781</v>
      </c>
      <c r="L521" s="20">
        <v>44420</v>
      </c>
      <c r="M521" s="20">
        <v>44420</v>
      </c>
      <c r="N521" s="2" t="s">
        <v>248</v>
      </c>
      <c r="O521" s="2" t="s">
        <v>54</v>
      </c>
      <c r="P521" s="2" t="s">
        <v>26</v>
      </c>
      <c r="Q521" s="2">
        <f t="shared" si="8"/>
        <v>1</v>
      </c>
    </row>
    <row r="522" spans="1:17" x14ac:dyDescent="0.25">
      <c r="A522" s="2" t="s">
        <v>1571</v>
      </c>
      <c r="B522" s="2" t="s">
        <v>1572</v>
      </c>
      <c r="C522" s="2" t="s">
        <v>30</v>
      </c>
      <c r="D522" s="2" t="s">
        <v>44</v>
      </c>
      <c r="E522" s="2" t="s">
        <v>212</v>
      </c>
      <c r="F522" s="2">
        <v>186.69</v>
      </c>
      <c r="G522" s="2" t="s">
        <v>206</v>
      </c>
      <c r="H522" s="2">
        <v>100</v>
      </c>
      <c r="I522" s="2">
        <v>186.69</v>
      </c>
      <c r="J522" s="2" t="s">
        <v>52</v>
      </c>
      <c r="K522" s="20">
        <v>44781</v>
      </c>
      <c r="L522" s="20">
        <v>44421</v>
      </c>
      <c r="M522" s="20">
        <v>44421</v>
      </c>
      <c r="N522" s="2" t="s">
        <v>207</v>
      </c>
      <c r="O522" s="2" t="s">
        <v>25</v>
      </c>
      <c r="P522" s="2" t="s">
        <v>26</v>
      </c>
      <c r="Q522" s="2">
        <f t="shared" si="8"/>
        <v>1</v>
      </c>
    </row>
    <row r="523" spans="1:17" x14ac:dyDescent="0.25">
      <c r="A523" s="2" t="s">
        <v>1573</v>
      </c>
      <c r="B523" s="2" t="s">
        <v>1574</v>
      </c>
      <c r="C523" s="2" t="s">
        <v>30</v>
      </c>
      <c r="D523" s="2" t="s">
        <v>62</v>
      </c>
      <c r="E523" s="2" t="s">
        <v>212</v>
      </c>
      <c r="F523" s="2">
        <v>121.792</v>
      </c>
      <c r="G523" s="2" t="s">
        <v>206</v>
      </c>
      <c r="H523" s="2">
        <v>100</v>
      </c>
      <c r="I523" s="2">
        <v>121.792</v>
      </c>
      <c r="J523" s="2" t="s">
        <v>52</v>
      </c>
      <c r="K523" s="20">
        <v>44781</v>
      </c>
      <c r="L523" s="20">
        <v>44421</v>
      </c>
      <c r="M523" s="20">
        <v>44421</v>
      </c>
      <c r="N523" s="2" t="s">
        <v>207</v>
      </c>
      <c r="O523" s="2" t="s">
        <v>97</v>
      </c>
      <c r="P523" s="2" t="s">
        <v>68</v>
      </c>
      <c r="Q523" s="2">
        <f t="shared" si="8"/>
        <v>1</v>
      </c>
    </row>
    <row r="524" spans="1:17" x14ac:dyDescent="0.25">
      <c r="A524" s="2" t="s">
        <v>1575</v>
      </c>
      <c r="B524" s="2" t="s">
        <v>1576</v>
      </c>
      <c r="C524" s="2" t="s">
        <v>30</v>
      </c>
      <c r="D524" s="2" t="s">
        <v>115</v>
      </c>
      <c r="E524" s="2" t="s">
        <v>212</v>
      </c>
      <c r="F524" s="2">
        <v>16.239999999999998</v>
      </c>
      <c r="G524" s="2" t="s">
        <v>206</v>
      </c>
      <c r="H524" s="2">
        <v>100</v>
      </c>
      <c r="I524" s="2">
        <v>16.239999999999998</v>
      </c>
      <c r="J524" s="2" t="s">
        <v>52</v>
      </c>
      <c r="K524" s="20">
        <v>44783</v>
      </c>
      <c r="L524" s="20">
        <v>44423</v>
      </c>
      <c r="M524" s="20">
        <v>44423</v>
      </c>
      <c r="N524" s="2" t="s">
        <v>234</v>
      </c>
      <c r="O524" s="2" t="s">
        <v>46</v>
      </c>
      <c r="P524" s="2" t="s">
        <v>47</v>
      </c>
      <c r="Q524" s="2">
        <f t="shared" si="8"/>
        <v>1</v>
      </c>
    </row>
    <row r="525" spans="1:17" x14ac:dyDescent="0.25">
      <c r="A525" s="2" t="s">
        <v>1578</v>
      </c>
      <c r="B525" s="2" t="s">
        <v>1579</v>
      </c>
      <c r="C525" s="2" t="s">
        <v>19</v>
      </c>
      <c r="D525" s="2" t="s">
        <v>370</v>
      </c>
      <c r="E525" s="2" t="s">
        <v>212</v>
      </c>
      <c r="F525" s="2">
        <v>25.92</v>
      </c>
      <c r="G525" s="2" t="s">
        <v>206</v>
      </c>
      <c r="H525" s="2">
        <v>100</v>
      </c>
      <c r="I525" s="2">
        <v>25.92</v>
      </c>
      <c r="J525" s="2" t="s">
        <v>52</v>
      </c>
      <c r="K525" s="20">
        <v>44787</v>
      </c>
      <c r="L525" s="20">
        <v>44426</v>
      </c>
      <c r="M525" s="20">
        <v>44426</v>
      </c>
      <c r="N525" s="2" t="s">
        <v>234</v>
      </c>
      <c r="O525" s="2" t="s">
        <v>40</v>
      </c>
      <c r="P525" s="2" t="s">
        <v>34</v>
      </c>
      <c r="Q525" s="2">
        <f t="shared" si="8"/>
        <v>1</v>
      </c>
    </row>
    <row r="526" spans="1:17" x14ac:dyDescent="0.25">
      <c r="A526" s="2" t="s">
        <v>1581</v>
      </c>
      <c r="B526" s="2" t="s">
        <v>1582</v>
      </c>
      <c r="C526" s="2" t="s">
        <v>19</v>
      </c>
      <c r="D526" s="2" t="s">
        <v>105</v>
      </c>
      <c r="E526" s="2" t="s">
        <v>212</v>
      </c>
      <c r="F526" s="2">
        <v>12.96</v>
      </c>
      <c r="G526" s="2" t="s">
        <v>206</v>
      </c>
      <c r="H526" s="2">
        <v>100</v>
      </c>
      <c r="I526" s="2">
        <v>12.96</v>
      </c>
      <c r="J526" s="2" t="s">
        <v>52</v>
      </c>
      <c r="K526" s="20">
        <v>44787</v>
      </c>
      <c r="L526" s="20">
        <v>44422</v>
      </c>
      <c r="M526" s="20">
        <v>44422</v>
      </c>
      <c r="N526" s="2" t="s">
        <v>213</v>
      </c>
      <c r="O526" s="2" t="s">
        <v>72</v>
      </c>
      <c r="P526" s="2" t="s">
        <v>73</v>
      </c>
      <c r="Q526" s="2">
        <f t="shared" si="8"/>
        <v>1</v>
      </c>
    </row>
    <row r="527" spans="1:17" x14ac:dyDescent="0.25">
      <c r="A527" s="2" t="s">
        <v>1584</v>
      </c>
      <c r="B527" s="2" t="s">
        <v>1585</v>
      </c>
      <c r="C527" s="2" t="s">
        <v>30</v>
      </c>
      <c r="D527" s="2" t="s">
        <v>62</v>
      </c>
      <c r="E527" s="2" t="s">
        <v>205</v>
      </c>
      <c r="F527" s="2">
        <v>6.2080000000000002</v>
      </c>
      <c r="G527" s="2" t="s">
        <v>206</v>
      </c>
      <c r="H527" s="2">
        <v>80</v>
      </c>
      <c r="I527" s="2">
        <v>4.9664000000000001</v>
      </c>
      <c r="J527" s="2" t="s">
        <v>52</v>
      </c>
      <c r="K527" s="20">
        <v>44791</v>
      </c>
      <c r="L527" s="20">
        <v>44430</v>
      </c>
      <c r="M527" s="20">
        <v>44430</v>
      </c>
      <c r="N527" s="2" t="s">
        <v>213</v>
      </c>
      <c r="O527" s="2" t="s">
        <v>97</v>
      </c>
      <c r="P527" s="2" t="s">
        <v>68</v>
      </c>
      <c r="Q527" s="2">
        <f t="shared" si="8"/>
        <v>1</v>
      </c>
    </row>
    <row r="528" spans="1:17" x14ac:dyDescent="0.25">
      <c r="A528" s="2" t="s">
        <v>1587</v>
      </c>
      <c r="B528" s="2" t="s">
        <v>1588</v>
      </c>
      <c r="C528" s="2" t="s">
        <v>30</v>
      </c>
      <c r="D528" s="2" t="s">
        <v>345</v>
      </c>
      <c r="E528" s="2" t="s">
        <v>212</v>
      </c>
      <c r="F528" s="2">
        <v>9.5679999999999996</v>
      </c>
      <c r="G528" s="2" t="s">
        <v>206</v>
      </c>
      <c r="H528" s="2">
        <v>100</v>
      </c>
      <c r="I528" s="2">
        <v>9.5679999999999996</v>
      </c>
      <c r="J528" s="2" t="s">
        <v>52</v>
      </c>
      <c r="K528" s="20">
        <v>44796</v>
      </c>
      <c r="L528" s="20">
        <v>44435</v>
      </c>
      <c r="M528" s="20">
        <v>44435</v>
      </c>
      <c r="N528" s="2" t="s">
        <v>213</v>
      </c>
      <c r="O528" s="2" t="s">
        <v>97</v>
      </c>
      <c r="P528" s="2" t="s">
        <v>68</v>
      </c>
      <c r="Q528" s="2">
        <f t="shared" si="8"/>
        <v>1</v>
      </c>
    </row>
    <row r="529" spans="1:17" x14ac:dyDescent="0.25">
      <c r="A529" s="2" t="s">
        <v>1589</v>
      </c>
      <c r="B529" s="2" t="s">
        <v>1590</v>
      </c>
      <c r="C529" s="2" t="s">
        <v>30</v>
      </c>
      <c r="D529" s="2" t="s">
        <v>105</v>
      </c>
      <c r="E529" s="2" t="s">
        <v>205</v>
      </c>
      <c r="F529" s="2">
        <v>82.367999999999896</v>
      </c>
      <c r="G529" s="2" t="s">
        <v>206</v>
      </c>
      <c r="H529" s="2">
        <v>80</v>
      </c>
      <c r="I529" s="2">
        <v>65.894399999999919</v>
      </c>
      <c r="J529" s="2" t="s">
        <v>52</v>
      </c>
      <c r="K529" s="20">
        <v>44796</v>
      </c>
      <c r="L529" s="20">
        <v>44434</v>
      </c>
      <c r="M529" s="20">
        <v>44434</v>
      </c>
      <c r="N529" s="2" t="s">
        <v>234</v>
      </c>
      <c r="O529" s="2" t="s">
        <v>146</v>
      </c>
      <c r="P529" s="2" t="s">
        <v>73</v>
      </c>
      <c r="Q529" s="2">
        <f t="shared" si="8"/>
        <v>1</v>
      </c>
    </row>
    <row r="530" spans="1:17" x14ac:dyDescent="0.25">
      <c r="A530" s="2" t="s">
        <v>1592</v>
      </c>
      <c r="B530" s="2" t="s">
        <v>1593</v>
      </c>
      <c r="C530" s="2" t="s">
        <v>30</v>
      </c>
      <c r="D530" s="2" t="s">
        <v>58</v>
      </c>
      <c r="E530" s="2" t="s">
        <v>212</v>
      </c>
      <c r="F530" s="2">
        <v>364.70400000000001</v>
      </c>
      <c r="G530" s="2" t="s">
        <v>206</v>
      </c>
      <c r="H530" s="2">
        <v>100</v>
      </c>
      <c r="I530" s="2">
        <v>364.70400000000001</v>
      </c>
      <c r="J530" s="2" t="s">
        <v>52</v>
      </c>
      <c r="K530" s="20">
        <v>44798</v>
      </c>
      <c r="L530" s="20">
        <v>44437</v>
      </c>
      <c r="M530" s="20">
        <v>44437</v>
      </c>
      <c r="N530" s="2" t="s">
        <v>220</v>
      </c>
      <c r="O530" s="2" t="s">
        <v>146</v>
      </c>
      <c r="P530" s="2" t="s">
        <v>73</v>
      </c>
      <c r="Q530" s="2">
        <f t="shared" si="8"/>
        <v>1</v>
      </c>
    </row>
    <row r="531" spans="1:17" x14ac:dyDescent="0.25">
      <c r="A531" s="2" t="s">
        <v>1595</v>
      </c>
      <c r="B531" s="2" t="s">
        <v>1596</v>
      </c>
      <c r="C531" s="2" t="s">
        <v>19</v>
      </c>
      <c r="D531" s="2" t="s">
        <v>96</v>
      </c>
      <c r="E531" s="2" t="s">
        <v>205</v>
      </c>
      <c r="F531" s="2">
        <v>5.79199999999999</v>
      </c>
      <c r="G531" s="2" t="s">
        <v>206</v>
      </c>
      <c r="H531" s="2">
        <v>80</v>
      </c>
      <c r="I531" s="2">
        <v>4.6335999999999924</v>
      </c>
      <c r="J531" s="2" t="s">
        <v>52</v>
      </c>
      <c r="K531" s="20">
        <v>44802</v>
      </c>
      <c r="L531" s="20">
        <v>44441</v>
      </c>
      <c r="M531" s="20">
        <v>44441</v>
      </c>
      <c r="N531" s="2" t="s">
        <v>234</v>
      </c>
      <c r="O531" s="2" t="s">
        <v>146</v>
      </c>
      <c r="P531" s="2" t="s">
        <v>73</v>
      </c>
      <c r="Q531" s="2">
        <f t="shared" si="8"/>
        <v>1</v>
      </c>
    </row>
    <row r="532" spans="1:17" x14ac:dyDescent="0.25">
      <c r="A532" s="2" t="s">
        <v>1597</v>
      </c>
      <c r="B532" s="2" t="s">
        <v>1598</v>
      </c>
      <c r="C532" s="2" t="s">
        <v>19</v>
      </c>
      <c r="D532" s="2" t="s">
        <v>186</v>
      </c>
      <c r="E532" s="2" t="s">
        <v>212</v>
      </c>
      <c r="F532" s="2">
        <v>128.82</v>
      </c>
      <c r="G532" s="2" t="s">
        <v>206</v>
      </c>
      <c r="H532" s="2">
        <v>100</v>
      </c>
      <c r="I532" s="2">
        <v>128.82</v>
      </c>
      <c r="J532" s="2" t="s">
        <v>52</v>
      </c>
      <c r="K532" s="20">
        <v>44811</v>
      </c>
      <c r="L532" s="20">
        <v>44449</v>
      </c>
      <c r="M532" s="20">
        <v>44449</v>
      </c>
      <c r="N532" s="2" t="s">
        <v>207</v>
      </c>
      <c r="O532" s="2" t="s">
        <v>46</v>
      </c>
      <c r="P532" s="2" t="s">
        <v>47</v>
      </c>
      <c r="Q532" s="2">
        <f t="shared" si="8"/>
        <v>1</v>
      </c>
    </row>
    <row r="533" spans="1:17" x14ac:dyDescent="0.25">
      <c r="A533" s="2" t="s">
        <v>1599</v>
      </c>
      <c r="B533" s="2" t="s">
        <v>1600</v>
      </c>
      <c r="C533" s="2" t="s">
        <v>19</v>
      </c>
      <c r="D533" s="2" t="s">
        <v>77</v>
      </c>
      <c r="E533" s="2" t="s">
        <v>205</v>
      </c>
      <c r="F533" s="2">
        <v>25.175999999999998</v>
      </c>
      <c r="G533" s="2" t="s">
        <v>206</v>
      </c>
      <c r="H533" s="2">
        <v>80</v>
      </c>
      <c r="I533" s="2">
        <v>20.140799999999999</v>
      </c>
      <c r="J533" s="2" t="s">
        <v>52</v>
      </c>
      <c r="K533" s="20">
        <v>44812</v>
      </c>
      <c r="L533" s="20">
        <v>44451</v>
      </c>
      <c r="M533" s="20">
        <v>44451</v>
      </c>
      <c r="N533" s="2" t="s">
        <v>238</v>
      </c>
      <c r="O533" s="2" t="s">
        <v>40</v>
      </c>
      <c r="P533" s="2" t="s">
        <v>34</v>
      </c>
      <c r="Q533" s="2">
        <f t="shared" si="8"/>
        <v>1</v>
      </c>
    </row>
    <row r="534" spans="1:17" x14ac:dyDescent="0.25">
      <c r="A534" s="2" t="s">
        <v>1601</v>
      </c>
      <c r="B534" s="2" t="s">
        <v>1602</v>
      </c>
      <c r="C534" s="2" t="s">
        <v>30</v>
      </c>
      <c r="D534" s="2" t="s">
        <v>58</v>
      </c>
      <c r="E534" s="2" t="s">
        <v>205</v>
      </c>
      <c r="F534" s="2">
        <v>98.46</v>
      </c>
      <c r="G534" s="2" t="s">
        <v>206</v>
      </c>
      <c r="H534" s="2">
        <v>80</v>
      </c>
      <c r="I534" s="2">
        <v>78.768000000000001</v>
      </c>
      <c r="J534" s="2" t="s">
        <v>52</v>
      </c>
      <c r="K534" s="20">
        <v>44812</v>
      </c>
      <c r="L534" s="20">
        <v>44449</v>
      </c>
      <c r="M534" s="20">
        <v>44449</v>
      </c>
      <c r="N534" s="2" t="s">
        <v>238</v>
      </c>
      <c r="O534" s="2" t="s">
        <v>46</v>
      </c>
      <c r="P534" s="2" t="s">
        <v>47</v>
      </c>
      <c r="Q534" s="2">
        <f t="shared" si="8"/>
        <v>1</v>
      </c>
    </row>
    <row r="535" spans="1:17" x14ac:dyDescent="0.25">
      <c r="A535" s="2" t="s">
        <v>1604</v>
      </c>
      <c r="B535" s="2" t="s">
        <v>1605</v>
      </c>
      <c r="C535" s="2" t="s">
        <v>19</v>
      </c>
      <c r="D535" s="2" t="s">
        <v>96</v>
      </c>
      <c r="E535" s="2" t="s">
        <v>212</v>
      </c>
      <c r="F535" s="2">
        <v>558.4</v>
      </c>
      <c r="G535" s="2" t="s">
        <v>206</v>
      </c>
      <c r="H535" s="2">
        <v>100</v>
      </c>
      <c r="I535" s="2">
        <v>558.4</v>
      </c>
      <c r="J535" s="2" t="s">
        <v>52</v>
      </c>
      <c r="K535" s="20">
        <v>44813</v>
      </c>
      <c r="L535" s="20">
        <v>44454</v>
      </c>
      <c r="M535" s="20">
        <v>44454</v>
      </c>
      <c r="N535" s="2" t="s">
        <v>213</v>
      </c>
      <c r="O535" s="2" t="s">
        <v>67</v>
      </c>
      <c r="P535" s="2" t="s">
        <v>68</v>
      </c>
      <c r="Q535" s="2">
        <f t="shared" si="8"/>
        <v>1</v>
      </c>
    </row>
    <row r="536" spans="1:17" x14ac:dyDescent="0.25">
      <c r="A536" s="2" t="s">
        <v>1607</v>
      </c>
      <c r="B536" s="2" t="s">
        <v>1608</v>
      </c>
      <c r="C536" s="2" t="s">
        <v>30</v>
      </c>
      <c r="D536" s="2" t="s">
        <v>31</v>
      </c>
      <c r="E536" s="2" t="s">
        <v>205</v>
      </c>
      <c r="F536" s="2">
        <v>14.76</v>
      </c>
      <c r="G536" s="2" t="s">
        <v>206</v>
      </c>
      <c r="H536" s="2">
        <v>80</v>
      </c>
      <c r="I536" s="2">
        <v>11.808</v>
      </c>
      <c r="J536" s="2" t="s">
        <v>52</v>
      </c>
      <c r="K536" s="20">
        <v>44815</v>
      </c>
      <c r="L536" s="20">
        <v>44457</v>
      </c>
      <c r="M536" s="20">
        <v>44457</v>
      </c>
      <c r="N536" s="2" t="s">
        <v>207</v>
      </c>
      <c r="O536" s="2" t="s">
        <v>25</v>
      </c>
      <c r="P536" s="2" t="s">
        <v>26</v>
      </c>
      <c r="Q536" s="2">
        <f t="shared" si="8"/>
        <v>1</v>
      </c>
    </row>
    <row r="537" spans="1:17" x14ac:dyDescent="0.25">
      <c r="A537" s="2" t="s">
        <v>1609</v>
      </c>
      <c r="B537" s="2" t="s">
        <v>1610</v>
      </c>
      <c r="C537" s="2" t="s">
        <v>19</v>
      </c>
      <c r="D537" s="2" t="s">
        <v>164</v>
      </c>
      <c r="E537" s="2" t="s">
        <v>212</v>
      </c>
      <c r="F537" s="2">
        <v>19.152000000000001</v>
      </c>
      <c r="G537" s="2" t="s">
        <v>206</v>
      </c>
      <c r="H537" s="2">
        <v>100</v>
      </c>
      <c r="I537" s="2">
        <v>19.152000000000001</v>
      </c>
      <c r="J537" s="2" t="s">
        <v>52</v>
      </c>
      <c r="K537" s="20">
        <v>44815</v>
      </c>
      <c r="L537" s="20">
        <v>44454</v>
      </c>
      <c r="M537" s="20">
        <v>44454</v>
      </c>
      <c r="N537" s="2" t="s">
        <v>238</v>
      </c>
      <c r="O537" s="2" t="s">
        <v>33</v>
      </c>
      <c r="P537" s="2" t="s">
        <v>34</v>
      </c>
      <c r="Q537" s="2">
        <f t="shared" si="8"/>
        <v>1</v>
      </c>
    </row>
    <row r="538" spans="1:17" x14ac:dyDescent="0.25">
      <c r="A538" s="2" t="s">
        <v>1612</v>
      </c>
      <c r="B538" s="2" t="s">
        <v>1613</v>
      </c>
      <c r="C538" s="2" t="s">
        <v>30</v>
      </c>
      <c r="D538" s="2" t="s">
        <v>164</v>
      </c>
      <c r="E538" s="2" t="s">
        <v>205</v>
      </c>
      <c r="F538" s="2">
        <v>106.8</v>
      </c>
      <c r="G538" s="2" t="s">
        <v>206</v>
      </c>
      <c r="H538" s="2">
        <v>80</v>
      </c>
      <c r="I538" s="2">
        <v>85.44</v>
      </c>
      <c r="J538" s="2" t="s">
        <v>52</v>
      </c>
      <c r="K538" s="20">
        <v>44815</v>
      </c>
      <c r="L538" s="20">
        <v>44455</v>
      </c>
      <c r="M538" s="20">
        <v>44455</v>
      </c>
      <c r="N538" s="2" t="s">
        <v>248</v>
      </c>
      <c r="O538" s="2" t="s">
        <v>72</v>
      </c>
      <c r="P538" s="2" t="s">
        <v>73</v>
      </c>
      <c r="Q538" s="2">
        <f t="shared" si="8"/>
        <v>1</v>
      </c>
    </row>
    <row r="539" spans="1:17" x14ac:dyDescent="0.25">
      <c r="A539" s="2" t="s">
        <v>1615</v>
      </c>
      <c r="B539" s="2" t="s">
        <v>1616</v>
      </c>
      <c r="C539" s="2" t="s">
        <v>30</v>
      </c>
      <c r="D539" s="2" t="s">
        <v>164</v>
      </c>
      <c r="E539" s="2" t="s">
        <v>212</v>
      </c>
      <c r="F539" s="2">
        <v>4.6079999999999997</v>
      </c>
      <c r="G539" s="2" t="s">
        <v>206</v>
      </c>
      <c r="H539" s="2">
        <v>100</v>
      </c>
      <c r="I539" s="2">
        <v>4.6079999999999997</v>
      </c>
      <c r="J539" s="2" t="s">
        <v>52</v>
      </c>
      <c r="K539" s="20">
        <v>44816</v>
      </c>
      <c r="L539" s="20">
        <v>44456</v>
      </c>
      <c r="M539" s="20">
        <v>44456</v>
      </c>
      <c r="N539" s="2" t="s">
        <v>248</v>
      </c>
      <c r="O539" s="2" t="s">
        <v>40</v>
      </c>
      <c r="P539" s="2" t="s">
        <v>34</v>
      </c>
      <c r="Q539" s="2">
        <f t="shared" si="8"/>
        <v>1</v>
      </c>
    </row>
    <row r="540" spans="1:17" x14ac:dyDescent="0.25">
      <c r="A540" s="2" t="s">
        <v>1618</v>
      </c>
      <c r="B540" s="2" t="s">
        <v>1619</v>
      </c>
      <c r="C540" s="2" t="s">
        <v>19</v>
      </c>
      <c r="D540" s="2" t="s">
        <v>77</v>
      </c>
      <c r="E540" s="2" t="s">
        <v>212</v>
      </c>
      <c r="F540" s="2">
        <v>64.75</v>
      </c>
      <c r="G540" s="2" t="s">
        <v>206</v>
      </c>
      <c r="H540" s="2">
        <v>100</v>
      </c>
      <c r="I540" s="2">
        <v>64.75</v>
      </c>
      <c r="J540" s="2" t="s">
        <v>52</v>
      </c>
      <c r="K540" s="20">
        <v>44817</v>
      </c>
      <c r="L540" s="20">
        <v>44457</v>
      </c>
      <c r="M540" s="20">
        <v>44457</v>
      </c>
      <c r="N540" s="2" t="s">
        <v>213</v>
      </c>
      <c r="O540" s="2" t="s">
        <v>54</v>
      </c>
      <c r="P540" s="2" t="s">
        <v>26</v>
      </c>
      <c r="Q540" s="2">
        <f t="shared" si="8"/>
        <v>1</v>
      </c>
    </row>
    <row r="541" spans="1:17" x14ac:dyDescent="0.25">
      <c r="A541" s="2" t="s">
        <v>1621</v>
      </c>
      <c r="B541" s="2" t="s">
        <v>1622</v>
      </c>
      <c r="C541" s="2" t="s">
        <v>19</v>
      </c>
      <c r="D541" s="2" t="s">
        <v>150</v>
      </c>
      <c r="E541" s="2" t="s">
        <v>212</v>
      </c>
      <c r="F541" s="2">
        <v>70.260000000000005</v>
      </c>
      <c r="G541" s="2" t="s">
        <v>206</v>
      </c>
      <c r="H541" s="2">
        <v>100</v>
      </c>
      <c r="I541" s="2">
        <v>70.260000000000005</v>
      </c>
      <c r="J541" s="2" t="s">
        <v>52</v>
      </c>
      <c r="K541" s="20">
        <v>44819</v>
      </c>
      <c r="L541" s="20">
        <v>44457</v>
      </c>
      <c r="M541" s="20">
        <v>44457</v>
      </c>
      <c r="N541" s="2" t="s">
        <v>234</v>
      </c>
      <c r="O541" s="2" t="s">
        <v>72</v>
      </c>
      <c r="P541" s="2" t="s">
        <v>73</v>
      </c>
      <c r="Q541" s="2">
        <f t="shared" si="8"/>
        <v>1</v>
      </c>
    </row>
    <row r="542" spans="1:17" x14ac:dyDescent="0.25">
      <c r="A542" s="2" t="s">
        <v>1624</v>
      </c>
      <c r="B542" s="2" t="s">
        <v>1625</v>
      </c>
      <c r="C542" s="2" t="s">
        <v>30</v>
      </c>
      <c r="D542" s="2" t="s">
        <v>230</v>
      </c>
      <c r="E542" s="2" t="s">
        <v>212</v>
      </c>
      <c r="F542" s="2">
        <v>25.984000000000002</v>
      </c>
      <c r="G542" s="2" t="s">
        <v>206</v>
      </c>
      <c r="H542" s="2">
        <v>100</v>
      </c>
      <c r="I542" s="2">
        <v>25.984000000000002</v>
      </c>
      <c r="J542" s="2" t="s">
        <v>52</v>
      </c>
      <c r="K542" s="20">
        <v>44822</v>
      </c>
      <c r="L542" s="20">
        <v>44461</v>
      </c>
      <c r="M542" s="20">
        <v>44461</v>
      </c>
      <c r="N542" s="2" t="s">
        <v>248</v>
      </c>
      <c r="O542" s="2" t="s">
        <v>82</v>
      </c>
      <c r="P542" s="2" t="s">
        <v>47</v>
      </c>
      <c r="Q542" s="2">
        <f t="shared" si="8"/>
        <v>1</v>
      </c>
    </row>
    <row r="543" spans="1:17" x14ac:dyDescent="0.25">
      <c r="A543" s="2" t="s">
        <v>1627</v>
      </c>
      <c r="B543" s="2" t="s">
        <v>1628</v>
      </c>
      <c r="C543" s="2" t="s">
        <v>30</v>
      </c>
      <c r="D543" s="2" t="s">
        <v>154</v>
      </c>
      <c r="E543" s="2" t="s">
        <v>205</v>
      </c>
      <c r="F543" s="2">
        <v>598.45799999999997</v>
      </c>
      <c r="G543" s="2" t="s">
        <v>206</v>
      </c>
      <c r="H543" s="2">
        <v>80</v>
      </c>
      <c r="I543" s="2">
        <v>478.76639999999998</v>
      </c>
      <c r="J543" s="2" t="s">
        <v>52</v>
      </c>
      <c r="K543" s="20">
        <v>44822</v>
      </c>
      <c r="L543" s="20">
        <v>44460</v>
      </c>
      <c r="M543" s="20">
        <v>44460</v>
      </c>
      <c r="N543" s="2" t="s">
        <v>207</v>
      </c>
      <c r="O543" s="2" t="s">
        <v>72</v>
      </c>
      <c r="P543" s="2" t="s">
        <v>73</v>
      </c>
      <c r="Q543" s="2">
        <f t="shared" si="8"/>
        <v>1</v>
      </c>
    </row>
    <row r="544" spans="1:17" x14ac:dyDescent="0.25">
      <c r="A544" s="2" t="s">
        <v>1630</v>
      </c>
      <c r="B544" s="2" t="s">
        <v>1631</v>
      </c>
      <c r="C544" s="2" t="s">
        <v>30</v>
      </c>
      <c r="D544" s="2" t="s">
        <v>230</v>
      </c>
      <c r="E544" s="2" t="s">
        <v>212</v>
      </c>
      <c r="F544" s="2">
        <v>49.567999999999998</v>
      </c>
      <c r="G544" s="2" t="s">
        <v>206</v>
      </c>
      <c r="H544" s="2">
        <v>100</v>
      </c>
      <c r="I544" s="2">
        <v>49.567999999999998</v>
      </c>
      <c r="J544" s="2" t="s">
        <v>52</v>
      </c>
      <c r="K544" s="20">
        <v>44823</v>
      </c>
      <c r="L544" s="20">
        <v>44464</v>
      </c>
      <c r="M544" s="20">
        <v>44464</v>
      </c>
      <c r="N544" s="2" t="s">
        <v>238</v>
      </c>
      <c r="O544" s="2" t="s">
        <v>67</v>
      </c>
      <c r="P544" s="2" t="s">
        <v>68</v>
      </c>
      <c r="Q544" s="2">
        <f t="shared" si="8"/>
        <v>1</v>
      </c>
    </row>
    <row r="545" spans="1:17" x14ac:dyDescent="0.25">
      <c r="A545" s="2" t="s">
        <v>1633</v>
      </c>
      <c r="B545" s="2" t="s">
        <v>1634</v>
      </c>
      <c r="C545" s="2" t="s">
        <v>30</v>
      </c>
      <c r="D545" s="2" t="s">
        <v>105</v>
      </c>
      <c r="E545" s="2" t="s">
        <v>212</v>
      </c>
      <c r="F545" s="2">
        <v>21.728000000000002</v>
      </c>
      <c r="G545" s="2" t="s">
        <v>206</v>
      </c>
      <c r="H545" s="2">
        <v>100</v>
      </c>
      <c r="I545" s="2">
        <v>21.728000000000002</v>
      </c>
      <c r="J545" s="2" t="s">
        <v>52</v>
      </c>
      <c r="K545" s="20">
        <v>44823</v>
      </c>
      <c r="L545" s="20">
        <v>44463</v>
      </c>
      <c r="M545" s="20">
        <v>44463</v>
      </c>
      <c r="N545" s="2" t="s">
        <v>248</v>
      </c>
      <c r="O545" s="2" t="s">
        <v>67</v>
      </c>
      <c r="P545" s="2" t="s">
        <v>68</v>
      </c>
      <c r="Q545" s="2">
        <f t="shared" si="8"/>
        <v>1</v>
      </c>
    </row>
    <row r="546" spans="1:17" x14ac:dyDescent="0.25">
      <c r="A546" s="2" t="s">
        <v>1636</v>
      </c>
      <c r="B546" s="2" t="s">
        <v>1637</v>
      </c>
      <c r="C546" s="2" t="s">
        <v>30</v>
      </c>
      <c r="D546" s="2" t="s">
        <v>38</v>
      </c>
      <c r="E546" s="2" t="s">
        <v>205</v>
      </c>
      <c r="F546" s="2">
        <v>4.16</v>
      </c>
      <c r="G546" s="2" t="s">
        <v>206</v>
      </c>
      <c r="H546" s="2">
        <v>80</v>
      </c>
      <c r="I546" s="2">
        <v>3.3280000000000003</v>
      </c>
      <c r="J546" s="2" t="s">
        <v>52</v>
      </c>
      <c r="K546" s="20">
        <v>44826</v>
      </c>
      <c r="L546" s="20">
        <v>44467</v>
      </c>
      <c r="M546" s="20">
        <v>44467</v>
      </c>
      <c r="N546" s="2" t="s">
        <v>238</v>
      </c>
      <c r="O546" s="2" t="s">
        <v>146</v>
      </c>
      <c r="P546" s="2" t="s">
        <v>73</v>
      </c>
      <c r="Q546" s="2">
        <f t="shared" si="8"/>
        <v>1</v>
      </c>
    </row>
    <row r="547" spans="1:17" x14ac:dyDescent="0.25">
      <c r="A547" s="2" t="s">
        <v>1639</v>
      </c>
      <c r="B547" s="2" t="s">
        <v>1640</v>
      </c>
      <c r="C547" s="2" t="s">
        <v>19</v>
      </c>
      <c r="D547" s="2" t="s">
        <v>44</v>
      </c>
      <c r="E547" s="2" t="s">
        <v>212</v>
      </c>
      <c r="F547" s="2">
        <v>31.44</v>
      </c>
      <c r="G547" s="2" t="s">
        <v>206</v>
      </c>
      <c r="H547" s="2">
        <v>100</v>
      </c>
      <c r="I547" s="2">
        <v>31.44</v>
      </c>
      <c r="J547" s="2" t="s">
        <v>52</v>
      </c>
      <c r="K547" s="20">
        <v>44829</v>
      </c>
      <c r="L547" s="20">
        <v>44469</v>
      </c>
      <c r="M547" s="20">
        <v>44469</v>
      </c>
      <c r="N547" s="2" t="s">
        <v>238</v>
      </c>
      <c r="O547" s="2" t="s">
        <v>67</v>
      </c>
      <c r="P547" s="2" t="s">
        <v>68</v>
      </c>
      <c r="Q547" s="2">
        <f t="shared" si="8"/>
        <v>1</v>
      </c>
    </row>
    <row r="548" spans="1:17" x14ac:dyDescent="0.25">
      <c r="A548" s="2" t="s">
        <v>1642</v>
      </c>
      <c r="B548" s="2" t="s">
        <v>1643</v>
      </c>
      <c r="C548" s="2" t="s">
        <v>30</v>
      </c>
      <c r="D548" s="2" t="s">
        <v>51</v>
      </c>
      <c r="E548" s="2" t="s">
        <v>212</v>
      </c>
      <c r="F548" s="2">
        <v>17.899999999999999</v>
      </c>
      <c r="G548" s="2" t="s">
        <v>206</v>
      </c>
      <c r="H548" s="2">
        <v>100</v>
      </c>
      <c r="I548" s="2">
        <v>17.899999999999999</v>
      </c>
      <c r="J548" s="2" t="s">
        <v>52</v>
      </c>
      <c r="K548" s="20">
        <v>44829</v>
      </c>
      <c r="L548" s="20">
        <v>44470</v>
      </c>
      <c r="M548" s="20">
        <v>44470</v>
      </c>
      <c r="N548" s="2" t="s">
        <v>213</v>
      </c>
      <c r="O548" s="2" t="s">
        <v>25</v>
      </c>
      <c r="P548" s="2" t="s">
        <v>26</v>
      </c>
      <c r="Q548" s="2">
        <f t="shared" si="8"/>
        <v>1</v>
      </c>
    </row>
    <row r="549" spans="1:17" x14ac:dyDescent="0.25">
      <c r="A549" s="2" t="s">
        <v>1644</v>
      </c>
      <c r="B549" s="2" t="s">
        <v>1645</v>
      </c>
      <c r="C549" s="2" t="s">
        <v>30</v>
      </c>
      <c r="D549" s="2" t="s">
        <v>115</v>
      </c>
      <c r="E549" s="2" t="s">
        <v>212</v>
      </c>
      <c r="F549" s="2">
        <v>4.46999999999999</v>
      </c>
      <c r="G549" s="2" t="s">
        <v>206</v>
      </c>
      <c r="H549" s="2">
        <v>100</v>
      </c>
      <c r="I549" s="2">
        <v>4.46999999999999</v>
      </c>
      <c r="J549" s="2" t="s">
        <v>52</v>
      </c>
      <c r="K549" s="20">
        <v>44829</v>
      </c>
      <c r="L549" s="20">
        <v>44467</v>
      </c>
      <c r="M549" s="20">
        <v>44467</v>
      </c>
      <c r="N549" s="2" t="s">
        <v>234</v>
      </c>
      <c r="O549" s="2" t="s">
        <v>46</v>
      </c>
      <c r="P549" s="2" t="s">
        <v>47</v>
      </c>
      <c r="Q549" s="2">
        <f t="shared" si="8"/>
        <v>1</v>
      </c>
    </row>
    <row r="550" spans="1:17" x14ac:dyDescent="0.25">
      <c r="A550" s="2" t="s">
        <v>1647</v>
      </c>
      <c r="B550" s="2" t="s">
        <v>1648</v>
      </c>
      <c r="C550" s="2" t="s">
        <v>30</v>
      </c>
      <c r="D550" s="2" t="s">
        <v>186</v>
      </c>
      <c r="E550" s="2" t="s">
        <v>212</v>
      </c>
      <c r="F550" s="2">
        <v>21.36</v>
      </c>
      <c r="G550" s="2" t="s">
        <v>206</v>
      </c>
      <c r="H550" s="2">
        <v>100</v>
      </c>
      <c r="I550" s="2">
        <v>21.36</v>
      </c>
      <c r="J550" s="2" t="s">
        <v>52</v>
      </c>
      <c r="K550" s="20">
        <v>44830</v>
      </c>
      <c r="L550" s="20">
        <v>44469</v>
      </c>
      <c r="M550" s="20">
        <v>44469</v>
      </c>
      <c r="N550" s="2" t="s">
        <v>207</v>
      </c>
      <c r="O550" s="2" t="s">
        <v>25</v>
      </c>
      <c r="P550" s="2" t="s">
        <v>26</v>
      </c>
      <c r="Q550" s="2">
        <f t="shared" si="8"/>
        <v>1</v>
      </c>
    </row>
    <row r="551" spans="1:17" x14ac:dyDescent="0.25">
      <c r="A551" s="2" t="s">
        <v>1649</v>
      </c>
      <c r="B551" s="2" t="s">
        <v>1650</v>
      </c>
      <c r="C551" s="2" t="s">
        <v>30</v>
      </c>
      <c r="D551" s="2" t="s">
        <v>230</v>
      </c>
      <c r="E551" s="2" t="s">
        <v>205</v>
      </c>
      <c r="F551" s="2">
        <v>4.923</v>
      </c>
      <c r="G551" s="2" t="s">
        <v>206</v>
      </c>
      <c r="H551" s="2">
        <v>80</v>
      </c>
      <c r="I551" s="2">
        <v>3.9384000000000001</v>
      </c>
      <c r="J551" s="2" t="s">
        <v>52</v>
      </c>
      <c r="K551" s="20">
        <v>44830</v>
      </c>
      <c r="L551" s="20">
        <v>44469</v>
      </c>
      <c r="M551" s="20">
        <v>44469</v>
      </c>
      <c r="N551" s="2" t="s">
        <v>238</v>
      </c>
      <c r="O551" s="2" t="s">
        <v>25</v>
      </c>
      <c r="P551" s="2" t="s">
        <v>26</v>
      </c>
      <c r="Q551" s="2">
        <f t="shared" si="8"/>
        <v>1</v>
      </c>
    </row>
    <row r="552" spans="1:17" x14ac:dyDescent="0.25">
      <c r="A552" s="2" t="s">
        <v>1652</v>
      </c>
      <c r="B552" s="2" t="s">
        <v>1653</v>
      </c>
      <c r="C552" s="2" t="s">
        <v>19</v>
      </c>
      <c r="D552" s="2" t="s">
        <v>31</v>
      </c>
      <c r="E552" s="2" t="s">
        <v>212</v>
      </c>
      <c r="F552" s="2">
        <v>209.6</v>
      </c>
      <c r="G552" s="2" t="s">
        <v>206</v>
      </c>
      <c r="H552" s="2">
        <v>100</v>
      </c>
      <c r="I552" s="2">
        <v>209.6</v>
      </c>
      <c r="J552" s="2" t="s">
        <v>52</v>
      </c>
      <c r="K552" s="20">
        <v>44837</v>
      </c>
      <c r="L552" s="20">
        <v>44477</v>
      </c>
      <c r="M552" s="20">
        <v>44477</v>
      </c>
      <c r="N552" s="2" t="s">
        <v>238</v>
      </c>
      <c r="O552" s="2" t="s">
        <v>67</v>
      </c>
      <c r="P552" s="2" t="s">
        <v>68</v>
      </c>
      <c r="Q552" s="2">
        <f t="shared" si="8"/>
        <v>1</v>
      </c>
    </row>
    <row r="553" spans="1:17" x14ac:dyDescent="0.25">
      <c r="A553" s="2" t="s">
        <v>1655</v>
      </c>
      <c r="B553" s="2" t="s">
        <v>1656</v>
      </c>
      <c r="C553" s="2" t="s">
        <v>30</v>
      </c>
      <c r="D553" s="2" t="s">
        <v>58</v>
      </c>
      <c r="E553" s="2" t="s">
        <v>205</v>
      </c>
      <c r="F553" s="2">
        <v>147.184</v>
      </c>
      <c r="G553" s="2" t="s">
        <v>206</v>
      </c>
      <c r="H553" s="2">
        <v>80</v>
      </c>
      <c r="I553" s="2">
        <v>117.74720000000001</v>
      </c>
      <c r="J553" s="2" t="s">
        <v>52</v>
      </c>
      <c r="K553" s="20">
        <v>44837</v>
      </c>
      <c r="L553" s="20">
        <v>44476</v>
      </c>
      <c r="M553" s="20">
        <v>44476</v>
      </c>
      <c r="N553" s="2" t="s">
        <v>207</v>
      </c>
      <c r="O553" s="2" t="s">
        <v>54</v>
      </c>
      <c r="P553" s="2" t="s">
        <v>26</v>
      </c>
      <c r="Q553" s="2">
        <f t="shared" si="8"/>
        <v>1</v>
      </c>
    </row>
    <row r="554" spans="1:17" x14ac:dyDescent="0.25">
      <c r="A554" s="2" t="s">
        <v>1658</v>
      </c>
      <c r="B554" s="2" t="s">
        <v>1659</v>
      </c>
      <c r="C554" s="2" t="s">
        <v>30</v>
      </c>
      <c r="D554" s="2" t="s">
        <v>96</v>
      </c>
      <c r="E554" s="2" t="s">
        <v>212</v>
      </c>
      <c r="F554" s="2">
        <v>1056.8599999999999</v>
      </c>
      <c r="G554" s="2" t="s">
        <v>206</v>
      </c>
      <c r="H554" s="2">
        <v>100</v>
      </c>
      <c r="I554" s="2">
        <v>1056.8599999999999</v>
      </c>
      <c r="J554" s="2" t="s">
        <v>52</v>
      </c>
      <c r="K554" s="20">
        <v>44837</v>
      </c>
      <c r="L554" s="20">
        <v>44477</v>
      </c>
      <c r="M554" s="20">
        <v>44477</v>
      </c>
      <c r="N554" s="2" t="s">
        <v>248</v>
      </c>
      <c r="O554" s="2" t="s">
        <v>67</v>
      </c>
      <c r="P554" s="2" t="s">
        <v>68</v>
      </c>
      <c r="Q554" s="2">
        <f t="shared" si="8"/>
        <v>1</v>
      </c>
    </row>
    <row r="555" spans="1:17" x14ac:dyDescent="0.25">
      <c r="A555" s="2" t="s">
        <v>1661</v>
      </c>
      <c r="B555" s="2" t="s">
        <v>1662</v>
      </c>
      <c r="C555" s="2" t="s">
        <v>30</v>
      </c>
      <c r="D555" s="2" t="s">
        <v>154</v>
      </c>
      <c r="E555" s="2" t="s">
        <v>205</v>
      </c>
      <c r="F555" s="2">
        <v>11.68</v>
      </c>
      <c r="G555" s="2" t="s">
        <v>206</v>
      </c>
      <c r="H555" s="2">
        <v>80</v>
      </c>
      <c r="I555" s="2">
        <v>9.3439999999999994</v>
      </c>
      <c r="J555" s="2" t="s">
        <v>52</v>
      </c>
      <c r="K555" s="20">
        <v>44843</v>
      </c>
      <c r="L555" s="20">
        <v>44483</v>
      </c>
      <c r="M555" s="20">
        <v>44483</v>
      </c>
      <c r="N555" s="2" t="s">
        <v>213</v>
      </c>
      <c r="O555" s="2" t="s">
        <v>67</v>
      </c>
      <c r="P555" s="2" t="s">
        <v>68</v>
      </c>
      <c r="Q555" s="2">
        <f t="shared" si="8"/>
        <v>1</v>
      </c>
    </row>
    <row r="556" spans="1:17" x14ac:dyDescent="0.25">
      <c r="A556" s="2" t="s">
        <v>1664</v>
      </c>
      <c r="B556" s="2" t="s">
        <v>1665</v>
      </c>
      <c r="C556" s="2" t="s">
        <v>30</v>
      </c>
      <c r="D556" s="2" t="s">
        <v>31</v>
      </c>
      <c r="E556" s="2" t="s">
        <v>212</v>
      </c>
      <c r="F556" s="2">
        <v>23.92</v>
      </c>
      <c r="G556" s="2" t="s">
        <v>206</v>
      </c>
      <c r="H556" s="2">
        <v>100</v>
      </c>
      <c r="I556" s="2">
        <v>23.92</v>
      </c>
      <c r="J556" s="2" t="s">
        <v>52</v>
      </c>
      <c r="K556" s="20">
        <v>44847</v>
      </c>
      <c r="L556" s="20">
        <v>44487</v>
      </c>
      <c r="M556" s="20">
        <v>44487</v>
      </c>
      <c r="N556" s="2" t="s">
        <v>213</v>
      </c>
      <c r="O556" s="2" t="s">
        <v>33</v>
      </c>
      <c r="P556" s="2" t="s">
        <v>34</v>
      </c>
      <c r="Q556" s="2">
        <f t="shared" si="8"/>
        <v>1</v>
      </c>
    </row>
    <row r="557" spans="1:17" x14ac:dyDescent="0.25">
      <c r="A557" s="2" t="s">
        <v>1667</v>
      </c>
      <c r="B557" s="2" t="s">
        <v>1668</v>
      </c>
      <c r="C557" s="2" t="s">
        <v>30</v>
      </c>
      <c r="D557" s="2" t="s">
        <v>211</v>
      </c>
      <c r="E557" s="2" t="s">
        <v>212</v>
      </c>
      <c r="F557" s="2">
        <v>720.06399999999996</v>
      </c>
      <c r="G557" s="2" t="s">
        <v>206</v>
      </c>
      <c r="H557" s="2">
        <v>100</v>
      </c>
      <c r="I557" s="2">
        <v>720.06399999999996</v>
      </c>
      <c r="J557" s="2" t="s">
        <v>52</v>
      </c>
      <c r="K557" s="20">
        <v>44851</v>
      </c>
      <c r="L557" s="20">
        <v>44490</v>
      </c>
      <c r="M557" s="20">
        <v>44490</v>
      </c>
      <c r="N557" s="2" t="s">
        <v>238</v>
      </c>
      <c r="O557" s="2" t="s">
        <v>82</v>
      </c>
      <c r="P557" s="2" t="s">
        <v>47</v>
      </c>
      <c r="Q557" s="2">
        <f t="shared" si="8"/>
        <v>1</v>
      </c>
    </row>
    <row r="558" spans="1:17" x14ac:dyDescent="0.25">
      <c r="A558" s="2" t="s">
        <v>1670</v>
      </c>
      <c r="B558" s="2" t="s">
        <v>1671</v>
      </c>
      <c r="C558" s="2" t="s">
        <v>19</v>
      </c>
      <c r="D558" s="2" t="s">
        <v>211</v>
      </c>
      <c r="E558" s="2" t="s">
        <v>205</v>
      </c>
      <c r="F558" s="2">
        <v>50</v>
      </c>
      <c r="G558" s="2" t="s">
        <v>206</v>
      </c>
      <c r="H558" s="2">
        <v>80</v>
      </c>
      <c r="I558" s="2">
        <v>40</v>
      </c>
      <c r="J558" s="2" t="s">
        <v>52</v>
      </c>
      <c r="K558" s="20">
        <v>44859</v>
      </c>
      <c r="L558" s="20">
        <v>44499</v>
      </c>
      <c r="M558" s="20">
        <v>44499</v>
      </c>
      <c r="N558" s="2" t="s">
        <v>207</v>
      </c>
      <c r="O558" s="2" t="s">
        <v>46</v>
      </c>
      <c r="P558" s="2" t="s">
        <v>47</v>
      </c>
      <c r="Q558" s="2">
        <f t="shared" si="8"/>
        <v>1</v>
      </c>
    </row>
    <row r="559" spans="1:17" x14ac:dyDescent="0.25">
      <c r="A559" s="2" t="s">
        <v>1673</v>
      </c>
      <c r="B559" s="2" t="s">
        <v>1674</v>
      </c>
      <c r="C559" s="2" t="s">
        <v>19</v>
      </c>
      <c r="D559" s="2" t="s">
        <v>51</v>
      </c>
      <c r="E559" s="2" t="s">
        <v>205</v>
      </c>
      <c r="F559" s="2">
        <v>307.13600000000002</v>
      </c>
      <c r="G559" s="2" t="s">
        <v>206</v>
      </c>
      <c r="H559" s="2">
        <v>80</v>
      </c>
      <c r="I559" s="2">
        <v>245.70880000000002</v>
      </c>
      <c r="J559" s="2" t="s">
        <v>52</v>
      </c>
      <c r="K559" s="20">
        <v>44860</v>
      </c>
      <c r="L559" s="20">
        <v>44497</v>
      </c>
      <c r="M559" s="20">
        <v>44497</v>
      </c>
      <c r="N559" s="2" t="s">
        <v>248</v>
      </c>
      <c r="O559" s="2" t="s">
        <v>146</v>
      </c>
      <c r="P559" s="2" t="s">
        <v>73</v>
      </c>
      <c r="Q559" s="2">
        <f t="shared" si="8"/>
        <v>1</v>
      </c>
    </row>
    <row r="560" spans="1:17" x14ac:dyDescent="0.25">
      <c r="A560" s="2" t="s">
        <v>1676</v>
      </c>
      <c r="B560" s="2" t="s">
        <v>1677</v>
      </c>
      <c r="C560" s="2" t="s">
        <v>19</v>
      </c>
      <c r="D560" s="2" t="s">
        <v>20</v>
      </c>
      <c r="E560" s="2" t="s">
        <v>212</v>
      </c>
      <c r="F560" s="2">
        <v>159.97999999999999</v>
      </c>
      <c r="G560" s="2" t="s">
        <v>206</v>
      </c>
      <c r="H560" s="2">
        <v>100</v>
      </c>
      <c r="I560" s="2">
        <v>159.97999999999999</v>
      </c>
      <c r="J560" s="2" t="s">
        <v>52</v>
      </c>
      <c r="K560" s="20">
        <v>44861</v>
      </c>
      <c r="L560" s="20">
        <v>44500</v>
      </c>
      <c r="M560" s="20">
        <v>44500</v>
      </c>
      <c r="N560" s="2" t="s">
        <v>213</v>
      </c>
      <c r="O560" s="2" t="s">
        <v>82</v>
      </c>
      <c r="P560" s="2" t="s">
        <v>47</v>
      </c>
      <c r="Q560" s="2">
        <f t="shared" si="8"/>
        <v>1</v>
      </c>
    </row>
    <row r="561" spans="1:17" x14ac:dyDescent="0.25">
      <c r="A561" s="2" t="s">
        <v>1679</v>
      </c>
      <c r="B561" s="2" t="s">
        <v>1680</v>
      </c>
      <c r="C561" s="2" t="s">
        <v>30</v>
      </c>
      <c r="D561" s="2" t="s">
        <v>58</v>
      </c>
      <c r="E561" s="2" t="s">
        <v>212</v>
      </c>
      <c r="F561" s="2">
        <v>51.12</v>
      </c>
      <c r="G561" s="2" t="s">
        <v>206</v>
      </c>
      <c r="H561" s="2">
        <v>100</v>
      </c>
      <c r="I561" s="2">
        <v>51.12</v>
      </c>
      <c r="J561" s="2" t="s">
        <v>52</v>
      </c>
      <c r="K561" s="20">
        <v>44867</v>
      </c>
      <c r="L561" s="20">
        <v>44504</v>
      </c>
      <c r="M561" s="20">
        <v>44504</v>
      </c>
      <c r="N561" s="2" t="s">
        <v>207</v>
      </c>
      <c r="O561" s="2" t="s">
        <v>25</v>
      </c>
      <c r="P561" s="2" t="s">
        <v>26</v>
      </c>
      <c r="Q561" s="2">
        <f t="shared" si="8"/>
        <v>1</v>
      </c>
    </row>
    <row r="562" spans="1:17" x14ac:dyDescent="0.25">
      <c r="A562" s="2" t="s">
        <v>1682</v>
      </c>
      <c r="B562" s="2" t="s">
        <v>1683</v>
      </c>
      <c r="C562" s="2" t="s">
        <v>30</v>
      </c>
      <c r="D562" s="2" t="s">
        <v>38</v>
      </c>
      <c r="E562" s="2" t="s">
        <v>212</v>
      </c>
      <c r="F562" s="2">
        <v>90</v>
      </c>
      <c r="G562" s="2" t="s">
        <v>206</v>
      </c>
      <c r="H562" s="2">
        <v>100</v>
      </c>
      <c r="I562" s="2">
        <v>90</v>
      </c>
      <c r="J562" s="2" t="s">
        <v>52</v>
      </c>
      <c r="K562" s="20">
        <v>44867</v>
      </c>
      <c r="L562" s="20">
        <v>44507</v>
      </c>
      <c r="M562" s="20">
        <v>44507</v>
      </c>
      <c r="N562" s="2" t="s">
        <v>238</v>
      </c>
      <c r="O562" s="2" t="s">
        <v>54</v>
      </c>
      <c r="P562" s="2" t="s">
        <v>26</v>
      </c>
      <c r="Q562" s="2">
        <f t="shared" si="8"/>
        <v>1</v>
      </c>
    </row>
    <row r="563" spans="1:17" x14ac:dyDescent="0.25">
      <c r="A563" s="2" t="s">
        <v>1684</v>
      </c>
      <c r="B563" s="2" t="s">
        <v>1685</v>
      </c>
      <c r="C563" s="2" t="s">
        <v>30</v>
      </c>
      <c r="D563" s="2" t="s">
        <v>230</v>
      </c>
      <c r="E563" s="2" t="s">
        <v>212</v>
      </c>
      <c r="F563" s="2">
        <v>11.214</v>
      </c>
      <c r="G563" s="2" t="s">
        <v>206</v>
      </c>
      <c r="H563" s="2">
        <v>100</v>
      </c>
      <c r="I563" s="2">
        <v>11.214</v>
      </c>
      <c r="J563" s="2" t="s">
        <v>52</v>
      </c>
      <c r="K563" s="20">
        <v>44867</v>
      </c>
      <c r="L563" s="20">
        <v>44505</v>
      </c>
      <c r="M563" s="20">
        <v>44505</v>
      </c>
      <c r="N563" s="2" t="s">
        <v>213</v>
      </c>
      <c r="O563" s="2" t="s">
        <v>72</v>
      </c>
      <c r="P563" s="2" t="s">
        <v>73</v>
      </c>
      <c r="Q563" s="2">
        <f t="shared" si="8"/>
        <v>1</v>
      </c>
    </row>
    <row r="564" spans="1:17" x14ac:dyDescent="0.25">
      <c r="A564" s="2" t="s">
        <v>1687</v>
      </c>
      <c r="B564" s="2" t="s">
        <v>1688</v>
      </c>
      <c r="C564" s="2" t="s">
        <v>19</v>
      </c>
      <c r="D564" s="2" t="s">
        <v>139</v>
      </c>
      <c r="E564" s="2" t="s">
        <v>212</v>
      </c>
      <c r="F564" s="2">
        <v>8.016</v>
      </c>
      <c r="G564" s="2" t="s">
        <v>206</v>
      </c>
      <c r="H564" s="2">
        <v>100</v>
      </c>
      <c r="I564" s="2">
        <v>8.016</v>
      </c>
      <c r="J564" s="2" t="s">
        <v>52</v>
      </c>
      <c r="K564" s="20">
        <v>44868</v>
      </c>
      <c r="L564" s="20">
        <v>44505</v>
      </c>
      <c r="M564" s="20">
        <v>44505</v>
      </c>
      <c r="N564" s="2" t="s">
        <v>238</v>
      </c>
      <c r="O564" s="2" t="s">
        <v>146</v>
      </c>
      <c r="P564" s="2" t="s">
        <v>73</v>
      </c>
      <c r="Q564" s="2">
        <f t="shared" si="8"/>
        <v>1</v>
      </c>
    </row>
    <row r="565" spans="1:17" x14ac:dyDescent="0.25">
      <c r="A565" s="2" t="s">
        <v>1690</v>
      </c>
      <c r="B565" s="2" t="s">
        <v>1691</v>
      </c>
      <c r="C565" s="2" t="s">
        <v>19</v>
      </c>
      <c r="D565" s="2" t="s">
        <v>119</v>
      </c>
      <c r="E565" s="2" t="s">
        <v>205</v>
      </c>
      <c r="F565" s="2">
        <v>81.959999999999894</v>
      </c>
      <c r="G565" s="2" t="s">
        <v>206</v>
      </c>
      <c r="H565" s="2">
        <v>80</v>
      </c>
      <c r="I565" s="2">
        <v>65.567999999999913</v>
      </c>
      <c r="J565" s="2" t="s">
        <v>52</v>
      </c>
      <c r="K565" s="20">
        <v>44869</v>
      </c>
      <c r="L565" s="20">
        <v>44506</v>
      </c>
      <c r="M565" s="20">
        <v>44506</v>
      </c>
      <c r="N565" s="2" t="s">
        <v>248</v>
      </c>
      <c r="O565" s="2" t="s">
        <v>146</v>
      </c>
      <c r="P565" s="2" t="s">
        <v>73</v>
      </c>
      <c r="Q565" s="2">
        <f t="shared" si="8"/>
        <v>1</v>
      </c>
    </row>
    <row r="566" spans="1:17" x14ac:dyDescent="0.25">
      <c r="A566" s="2" t="s">
        <v>1693</v>
      </c>
      <c r="B566" s="2" t="s">
        <v>1694</v>
      </c>
      <c r="C566" s="2" t="s">
        <v>30</v>
      </c>
      <c r="D566" s="2" t="s">
        <v>345</v>
      </c>
      <c r="E566" s="2" t="s">
        <v>205</v>
      </c>
      <c r="F566" s="2">
        <v>3.5919999999999899</v>
      </c>
      <c r="G566" s="2" t="s">
        <v>206</v>
      </c>
      <c r="H566" s="2">
        <v>80</v>
      </c>
      <c r="I566" s="2">
        <v>2.8735999999999922</v>
      </c>
      <c r="J566" s="2" t="s">
        <v>52</v>
      </c>
      <c r="K566" s="20">
        <v>44871</v>
      </c>
      <c r="L566" s="20">
        <v>44512</v>
      </c>
      <c r="M566" s="20">
        <v>44512</v>
      </c>
      <c r="N566" s="2" t="s">
        <v>213</v>
      </c>
      <c r="O566" s="2" t="s">
        <v>33</v>
      </c>
      <c r="P566" s="2" t="s">
        <v>34</v>
      </c>
      <c r="Q566" s="2">
        <f t="shared" si="8"/>
        <v>1</v>
      </c>
    </row>
    <row r="567" spans="1:17" x14ac:dyDescent="0.25">
      <c r="A567" s="2" t="s">
        <v>1695</v>
      </c>
      <c r="B567" s="2" t="s">
        <v>1696</v>
      </c>
      <c r="C567" s="2" t="s">
        <v>19</v>
      </c>
      <c r="D567" s="2" t="s">
        <v>51</v>
      </c>
      <c r="E567" s="2" t="s">
        <v>212</v>
      </c>
      <c r="F567" s="2">
        <v>5.76</v>
      </c>
      <c r="G567" s="2" t="s">
        <v>206</v>
      </c>
      <c r="H567" s="2">
        <v>100</v>
      </c>
      <c r="I567" s="2">
        <v>5.76</v>
      </c>
      <c r="J567" s="2" t="s">
        <v>52</v>
      </c>
      <c r="K567" s="20">
        <v>44871</v>
      </c>
      <c r="L567" s="20">
        <v>44506</v>
      </c>
      <c r="M567" s="20">
        <v>44506</v>
      </c>
      <c r="N567" s="2" t="s">
        <v>238</v>
      </c>
      <c r="O567" s="2" t="s">
        <v>40</v>
      </c>
      <c r="P567" s="2" t="s">
        <v>34</v>
      </c>
      <c r="Q567" s="2">
        <f t="shared" si="8"/>
        <v>1</v>
      </c>
    </row>
    <row r="568" spans="1:17" x14ac:dyDescent="0.25">
      <c r="A568" s="2" t="s">
        <v>1698</v>
      </c>
      <c r="B568" s="2" t="s">
        <v>1699</v>
      </c>
      <c r="C568" s="2" t="s">
        <v>19</v>
      </c>
      <c r="D568" s="2" t="s">
        <v>126</v>
      </c>
      <c r="E568" s="2" t="s">
        <v>205</v>
      </c>
      <c r="F568" s="2">
        <v>10.67</v>
      </c>
      <c r="G568" s="2" t="s">
        <v>206</v>
      </c>
      <c r="H568" s="2">
        <v>80</v>
      </c>
      <c r="I568" s="2">
        <v>8.5359999999999996</v>
      </c>
      <c r="J568" s="2" t="s">
        <v>52</v>
      </c>
      <c r="K568" s="20">
        <v>44873</v>
      </c>
      <c r="L568" s="20">
        <v>44514</v>
      </c>
      <c r="M568" s="20">
        <v>44514</v>
      </c>
      <c r="N568" s="2" t="s">
        <v>248</v>
      </c>
      <c r="O568" s="2" t="s">
        <v>25</v>
      </c>
      <c r="P568" s="2" t="s">
        <v>26</v>
      </c>
      <c r="Q568" s="2">
        <f t="shared" si="8"/>
        <v>1</v>
      </c>
    </row>
    <row r="569" spans="1:17" x14ac:dyDescent="0.25">
      <c r="A569" s="2" t="s">
        <v>1700</v>
      </c>
      <c r="B569" s="2" t="s">
        <v>1701</v>
      </c>
      <c r="C569" s="2" t="s">
        <v>30</v>
      </c>
      <c r="D569" s="2" t="s">
        <v>150</v>
      </c>
      <c r="E569" s="2" t="s">
        <v>212</v>
      </c>
      <c r="F569" s="2">
        <v>70.12</v>
      </c>
      <c r="G569" s="2" t="s">
        <v>206</v>
      </c>
      <c r="H569" s="2">
        <v>100</v>
      </c>
      <c r="I569" s="2">
        <v>70.12</v>
      </c>
      <c r="J569" s="2" t="s">
        <v>52</v>
      </c>
      <c r="K569" s="20">
        <v>44873</v>
      </c>
      <c r="L569" s="20">
        <v>44510</v>
      </c>
      <c r="M569" s="20">
        <v>44510</v>
      </c>
      <c r="N569" s="2" t="s">
        <v>207</v>
      </c>
      <c r="O569" s="2" t="s">
        <v>33</v>
      </c>
      <c r="P569" s="2" t="s">
        <v>34</v>
      </c>
      <c r="Q569" s="2">
        <f t="shared" si="8"/>
        <v>1</v>
      </c>
    </row>
    <row r="570" spans="1:17" x14ac:dyDescent="0.25">
      <c r="A570" s="2" t="s">
        <v>1702</v>
      </c>
      <c r="B570" s="2" t="s">
        <v>1703</v>
      </c>
      <c r="C570" s="2" t="s">
        <v>19</v>
      </c>
      <c r="D570" s="2" t="s">
        <v>38</v>
      </c>
      <c r="E570" s="2" t="s">
        <v>212</v>
      </c>
      <c r="F570" s="2">
        <v>11.952</v>
      </c>
      <c r="G570" s="2" t="s">
        <v>206</v>
      </c>
      <c r="H570" s="2">
        <v>100</v>
      </c>
      <c r="I570" s="2">
        <v>11.952</v>
      </c>
      <c r="J570" s="2" t="s">
        <v>52</v>
      </c>
      <c r="K570" s="20">
        <v>44874</v>
      </c>
      <c r="L570" s="20">
        <v>44513</v>
      </c>
      <c r="M570" s="20">
        <v>44513</v>
      </c>
      <c r="N570" s="2" t="s">
        <v>248</v>
      </c>
      <c r="O570" s="2" t="s">
        <v>82</v>
      </c>
      <c r="P570" s="2" t="s">
        <v>47</v>
      </c>
      <c r="Q570" s="2">
        <f t="shared" si="8"/>
        <v>1</v>
      </c>
    </row>
    <row r="571" spans="1:17" x14ac:dyDescent="0.25">
      <c r="A571" s="2" t="s">
        <v>1705</v>
      </c>
      <c r="B571" s="2" t="s">
        <v>1706</v>
      </c>
      <c r="C571" s="2" t="s">
        <v>19</v>
      </c>
      <c r="D571" s="2" t="s">
        <v>58</v>
      </c>
      <c r="E571" s="2" t="s">
        <v>205</v>
      </c>
      <c r="F571" s="2">
        <v>24.4</v>
      </c>
      <c r="G571" s="2" t="s">
        <v>206</v>
      </c>
      <c r="H571" s="2">
        <v>80</v>
      </c>
      <c r="I571" s="2">
        <v>19.52</v>
      </c>
      <c r="J571" s="2" t="s">
        <v>52</v>
      </c>
      <c r="K571" s="20">
        <v>44876</v>
      </c>
      <c r="L571" s="20">
        <v>44515</v>
      </c>
      <c r="M571" s="20">
        <v>44515</v>
      </c>
      <c r="N571" s="2" t="s">
        <v>248</v>
      </c>
      <c r="O571" s="2" t="s">
        <v>54</v>
      </c>
      <c r="P571" s="2" t="s">
        <v>26</v>
      </c>
      <c r="Q571" s="2">
        <f t="shared" si="8"/>
        <v>1</v>
      </c>
    </row>
    <row r="572" spans="1:17" x14ac:dyDescent="0.25">
      <c r="A572" s="2" t="s">
        <v>1707</v>
      </c>
      <c r="B572" s="2" t="s">
        <v>1708</v>
      </c>
      <c r="C572" s="2" t="s">
        <v>19</v>
      </c>
      <c r="D572" s="2" t="s">
        <v>58</v>
      </c>
      <c r="E572" s="2" t="s">
        <v>212</v>
      </c>
      <c r="F572" s="2">
        <v>16.146000000000001</v>
      </c>
      <c r="G572" s="2" t="s">
        <v>206</v>
      </c>
      <c r="H572" s="2">
        <v>100</v>
      </c>
      <c r="I572" s="2">
        <v>16.146000000000001</v>
      </c>
      <c r="J572" s="2" t="s">
        <v>52</v>
      </c>
      <c r="K572" s="20">
        <v>44878</v>
      </c>
      <c r="L572" s="20">
        <v>44515</v>
      </c>
      <c r="M572" s="20">
        <v>44515</v>
      </c>
      <c r="N572" s="2" t="s">
        <v>248</v>
      </c>
      <c r="O572" s="2" t="s">
        <v>40</v>
      </c>
      <c r="P572" s="2" t="s">
        <v>34</v>
      </c>
      <c r="Q572" s="2">
        <f t="shared" si="8"/>
        <v>1</v>
      </c>
    </row>
    <row r="573" spans="1:17" x14ac:dyDescent="0.25">
      <c r="A573" s="2" t="s">
        <v>1710</v>
      </c>
      <c r="B573" s="2" t="s">
        <v>1711</v>
      </c>
      <c r="C573" s="2" t="s">
        <v>30</v>
      </c>
      <c r="D573" s="2" t="s">
        <v>119</v>
      </c>
      <c r="E573" s="2" t="s">
        <v>205</v>
      </c>
      <c r="F573" s="2">
        <v>1345.4849999999999</v>
      </c>
      <c r="G573" s="2" t="s">
        <v>206</v>
      </c>
      <c r="H573" s="2">
        <v>80</v>
      </c>
      <c r="I573" s="2">
        <v>1076.3879999999999</v>
      </c>
      <c r="J573" s="2" t="s">
        <v>52</v>
      </c>
      <c r="K573" s="20">
        <v>44878</v>
      </c>
      <c r="L573" s="20">
        <v>44519</v>
      </c>
      <c r="M573" s="20">
        <v>44519</v>
      </c>
      <c r="N573" s="2" t="s">
        <v>220</v>
      </c>
      <c r="O573" s="2" t="s">
        <v>54</v>
      </c>
      <c r="P573" s="2" t="s">
        <v>26</v>
      </c>
      <c r="Q573" s="2">
        <f t="shared" si="8"/>
        <v>1</v>
      </c>
    </row>
    <row r="574" spans="1:17" x14ac:dyDescent="0.25">
      <c r="A574" s="2" t="s">
        <v>1713</v>
      </c>
      <c r="B574" s="2" t="s">
        <v>1714</v>
      </c>
      <c r="C574" s="2" t="s">
        <v>19</v>
      </c>
      <c r="D574" s="2" t="s">
        <v>31</v>
      </c>
      <c r="E574" s="2" t="s">
        <v>212</v>
      </c>
      <c r="F574" s="2">
        <v>119.9</v>
      </c>
      <c r="G574" s="2" t="s">
        <v>206</v>
      </c>
      <c r="H574" s="2">
        <v>100</v>
      </c>
      <c r="I574" s="2">
        <v>119.9</v>
      </c>
      <c r="J574" s="2" t="s">
        <v>52</v>
      </c>
      <c r="K574" s="20">
        <v>44879</v>
      </c>
      <c r="L574" s="20">
        <v>44518</v>
      </c>
      <c r="M574" s="20">
        <v>44518</v>
      </c>
      <c r="N574" s="2" t="s">
        <v>213</v>
      </c>
      <c r="O574" s="2" t="s">
        <v>67</v>
      </c>
      <c r="P574" s="2" t="s">
        <v>68</v>
      </c>
      <c r="Q574" s="2">
        <f t="shared" si="8"/>
        <v>1</v>
      </c>
    </row>
    <row r="575" spans="1:17" x14ac:dyDescent="0.25">
      <c r="A575" s="2" t="s">
        <v>1716</v>
      </c>
      <c r="B575" s="2" t="s">
        <v>1717</v>
      </c>
      <c r="C575" s="2" t="s">
        <v>30</v>
      </c>
      <c r="D575" s="2" t="s">
        <v>77</v>
      </c>
      <c r="E575" s="2" t="s">
        <v>205</v>
      </c>
      <c r="F575" s="2">
        <v>17.22</v>
      </c>
      <c r="G575" s="2" t="s">
        <v>206</v>
      </c>
      <c r="H575" s="2">
        <v>80</v>
      </c>
      <c r="I575" s="2">
        <v>13.776</v>
      </c>
      <c r="J575" s="2" t="s">
        <v>52</v>
      </c>
      <c r="K575" s="20">
        <v>44879</v>
      </c>
      <c r="L575" s="20">
        <v>44514</v>
      </c>
      <c r="M575" s="20">
        <v>44514</v>
      </c>
      <c r="N575" s="2" t="s">
        <v>234</v>
      </c>
      <c r="O575" s="2" t="s">
        <v>54</v>
      </c>
      <c r="P575" s="2" t="s">
        <v>26</v>
      </c>
      <c r="Q575" s="2">
        <f t="shared" si="8"/>
        <v>1</v>
      </c>
    </row>
    <row r="576" spans="1:17" x14ac:dyDescent="0.25">
      <c r="A576" s="2" t="s">
        <v>1718</v>
      </c>
      <c r="B576" s="2" t="s">
        <v>1719</v>
      </c>
      <c r="C576" s="2" t="s">
        <v>30</v>
      </c>
      <c r="D576" s="2" t="s">
        <v>62</v>
      </c>
      <c r="E576" s="2" t="s">
        <v>212</v>
      </c>
      <c r="F576" s="2">
        <v>17.940000000000001</v>
      </c>
      <c r="G576" s="2" t="s">
        <v>206</v>
      </c>
      <c r="H576" s="2">
        <v>100</v>
      </c>
      <c r="I576" s="2">
        <v>17.940000000000001</v>
      </c>
      <c r="J576" s="2" t="s">
        <v>52</v>
      </c>
      <c r="K576" s="20">
        <v>44882</v>
      </c>
      <c r="L576" s="20">
        <v>44519</v>
      </c>
      <c r="M576" s="20">
        <v>44519</v>
      </c>
      <c r="N576" s="2" t="s">
        <v>220</v>
      </c>
      <c r="O576" s="2" t="s">
        <v>25</v>
      </c>
      <c r="P576" s="2" t="s">
        <v>26</v>
      </c>
      <c r="Q576" s="2">
        <f t="shared" si="8"/>
        <v>1</v>
      </c>
    </row>
    <row r="577" spans="1:17" x14ac:dyDescent="0.25">
      <c r="A577" s="2" t="s">
        <v>1721</v>
      </c>
      <c r="B577" s="2" t="s">
        <v>1722</v>
      </c>
      <c r="C577" s="2" t="s">
        <v>30</v>
      </c>
      <c r="D577" s="2" t="s">
        <v>164</v>
      </c>
      <c r="E577" s="2" t="s">
        <v>205</v>
      </c>
      <c r="F577" s="2">
        <v>39.878999999999998</v>
      </c>
      <c r="G577" s="2" t="s">
        <v>206</v>
      </c>
      <c r="H577" s="2">
        <v>80</v>
      </c>
      <c r="I577" s="2">
        <v>31.903199999999998</v>
      </c>
      <c r="J577" s="2" t="s">
        <v>52</v>
      </c>
      <c r="K577" s="20">
        <v>44882</v>
      </c>
      <c r="L577" s="20">
        <v>44523</v>
      </c>
      <c r="M577" s="20">
        <v>44523</v>
      </c>
      <c r="N577" s="2" t="s">
        <v>207</v>
      </c>
      <c r="O577" s="2" t="s">
        <v>25</v>
      </c>
      <c r="P577" s="2" t="s">
        <v>26</v>
      </c>
      <c r="Q577" s="2">
        <f t="shared" si="8"/>
        <v>1</v>
      </c>
    </row>
    <row r="578" spans="1:17" x14ac:dyDescent="0.25">
      <c r="A578" s="2" t="s">
        <v>1724</v>
      </c>
      <c r="B578" s="2" t="s">
        <v>1725</v>
      </c>
      <c r="C578" s="2" t="s">
        <v>30</v>
      </c>
      <c r="D578" s="2" t="s">
        <v>324</v>
      </c>
      <c r="E578" s="2" t="s">
        <v>212</v>
      </c>
      <c r="F578" s="2">
        <v>50.97</v>
      </c>
      <c r="G578" s="2" t="s">
        <v>206</v>
      </c>
      <c r="H578" s="2">
        <v>100</v>
      </c>
      <c r="I578" s="2">
        <v>50.97</v>
      </c>
      <c r="J578" s="2" t="s">
        <v>52</v>
      </c>
      <c r="K578" s="20">
        <v>44883</v>
      </c>
      <c r="L578" s="20">
        <v>44522</v>
      </c>
      <c r="M578" s="20">
        <v>44522</v>
      </c>
      <c r="N578" s="2" t="s">
        <v>213</v>
      </c>
      <c r="O578" s="2" t="s">
        <v>72</v>
      </c>
      <c r="P578" s="2" t="s">
        <v>73</v>
      </c>
      <c r="Q578" s="2">
        <f t="shared" ref="Q578:Q641" si="9">COUNTIF($A$2:$A$1778,A578)</f>
        <v>1</v>
      </c>
    </row>
    <row r="579" spans="1:17" x14ac:dyDescent="0.25">
      <c r="A579" s="2" t="s">
        <v>1727</v>
      </c>
      <c r="B579" s="2" t="s">
        <v>1728</v>
      </c>
      <c r="C579" s="2" t="s">
        <v>19</v>
      </c>
      <c r="D579" s="2" t="s">
        <v>38</v>
      </c>
      <c r="E579" s="2" t="s">
        <v>212</v>
      </c>
      <c r="F579" s="2">
        <v>96.08</v>
      </c>
      <c r="G579" s="2" t="s">
        <v>206</v>
      </c>
      <c r="H579" s="2">
        <v>100</v>
      </c>
      <c r="I579" s="2">
        <v>96.08</v>
      </c>
      <c r="J579" s="2" t="s">
        <v>52</v>
      </c>
      <c r="K579" s="20">
        <v>44885</v>
      </c>
      <c r="L579" s="20">
        <v>44522</v>
      </c>
      <c r="M579" s="20">
        <v>44522</v>
      </c>
      <c r="N579" s="2" t="s">
        <v>234</v>
      </c>
      <c r="O579" s="2" t="s">
        <v>54</v>
      </c>
      <c r="P579" s="2" t="s">
        <v>26</v>
      </c>
      <c r="Q579" s="2">
        <f t="shared" si="9"/>
        <v>1</v>
      </c>
    </row>
    <row r="580" spans="1:17" x14ac:dyDescent="0.25">
      <c r="A580" s="2" t="s">
        <v>1730</v>
      </c>
      <c r="B580" s="2" t="s">
        <v>1731</v>
      </c>
      <c r="C580" s="2" t="s">
        <v>30</v>
      </c>
      <c r="D580" s="2" t="s">
        <v>154</v>
      </c>
      <c r="E580" s="2" t="s">
        <v>205</v>
      </c>
      <c r="F580" s="2">
        <v>29.96</v>
      </c>
      <c r="G580" s="2" t="s">
        <v>206</v>
      </c>
      <c r="H580" s="2">
        <v>80</v>
      </c>
      <c r="I580" s="2">
        <v>23.968000000000004</v>
      </c>
      <c r="J580" s="2" t="s">
        <v>52</v>
      </c>
      <c r="K580" s="20">
        <v>44885</v>
      </c>
      <c r="L580" s="20">
        <v>44527</v>
      </c>
      <c r="M580" s="20">
        <v>44527</v>
      </c>
      <c r="N580" s="2" t="s">
        <v>238</v>
      </c>
      <c r="O580" s="2" t="s">
        <v>40</v>
      </c>
      <c r="P580" s="2" t="s">
        <v>34</v>
      </c>
      <c r="Q580" s="2">
        <f t="shared" si="9"/>
        <v>1</v>
      </c>
    </row>
    <row r="581" spans="1:17" x14ac:dyDescent="0.25">
      <c r="A581" s="2" t="s">
        <v>1733</v>
      </c>
      <c r="B581" s="2" t="s">
        <v>1734</v>
      </c>
      <c r="C581" s="2" t="s">
        <v>30</v>
      </c>
      <c r="D581" s="2" t="s">
        <v>31</v>
      </c>
      <c r="E581" s="2" t="s">
        <v>205</v>
      </c>
      <c r="F581" s="2">
        <v>377.97</v>
      </c>
      <c r="G581" s="2" t="s">
        <v>206</v>
      </c>
      <c r="H581" s="2">
        <v>80</v>
      </c>
      <c r="I581" s="2">
        <v>302.37600000000003</v>
      </c>
      <c r="J581" s="2" t="s">
        <v>52</v>
      </c>
      <c r="K581" s="20">
        <v>44886</v>
      </c>
      <c r="L581" s="20">
        <v>44527</v>
      </c>
      <c r="M581" s="20">
        <v>44527</v>
      </c>
      <c r="N581" s="2" t="s">
        <v>234</v>
      </c>
      <c r="O581" s="2" t="s">
        <v>146</v>
      </c>
      <c r="P581" s="2" t="s">
        <v>73</v>
      </c>
      <c r="Q581" s="2">
        <f t="shared" si="9"/>
        <v>1</v>
      </c>
    </row>
    <row r="582" spans="1:17" x14ac:dyDescent="0.25">
      <c r="A582" s="2" t="s">
        <v>1736</v>
      </c>
      <c r="B582" s="2" t="s">
        <v>1737</v>
      </c>
      <c r="C582" s="2" t="s">
        <v>30</v>
      </c>
      <c r="D582" s="2" t="s">
        <v>230</v>
      </c>
      <c r="E582" s="2" t="s">
        <v>212</v>
      </c>
      <c r="F582" s="2">
        <v>76.14</v>
      </c>
      <c r="G582" s="2" t="s">
        <v>206</v>
      </c>
      <c r="H582" s="2">
        <v>100</v>
      </c>
      <c r="I582" s="2">
        <v>76.14</v>
      </c>
      <c r="J582" s="2" t="s">
        <v>52</v>
      </c>
      <c r="K582" s="20">
        <v>44886</v>
      </c>
      <c r="L582" s="20">
        <v>44527</v>
      </c>
      <c r="M582" s="20">
        <v>44527</v>
      </c>
      <c r="N582" s="2" t="s">
        <v>220</v>
      </c>
      <c r="O582" s="2" t="s">
        <v>72</v>
      </c>
      <c r="P582" s="2" t="s">
        <v>73</v>
      </c>
      <c r="Q582" s="2">
        <f t="shared" si="9"/>
        <v>1</v>
      </c>
    </row>
    <row r="583" spans="1:17" x14ac:dyDescent="0.25">
      <c r="A583" s="2" t="s">
        <v>1739</v>
      </c>
      <c r="B583" s="2" t="s">
        <v>1740</v>
      </c>
      <c r="C583" s="2" t="s">
        <v>30</v>
      </c>
      <c r="D583" s="2" t="s">
        <v>150</v>
      </c>
      <c r="E583" s="2" t="s">
        <v>212</v>
      </c>
      <c r="F583" s="2">
        <v>42.28</v>
      </c>
      <c r="G583" s="2" t="s">
        <v>206</v>
      </c>
      <c r="H583" s="2">
        <v>100</v>
      </c>
      <c r="I583" s="2">
        <v>42.28</v>
      </c>
      <c r="J583" s="2" t="s">
        <v>52</v>
      </c>
      <c r="K583" s="20">
        <v>44886</v>
      </c>
      <c r="L583" s="20">
        <v>44525</v>
      </c>
      <c r="M583" s="20">
        <v>44525</v>
      </c>
      <c r="N583" s="2" t="s">
        <v>238</v>
      </c>
      <c r="O583" s="2" t="s">
        <v>25</v>
      </c>
      <c r="P583" s="2" t="s">
        <v>26</v>
      </c>
      <c r="Q583" s="2">
        <f t="shared" si="9"/>
        <v>1</v>
      </c>
    </row>
    <row r="584" spans="1:17" x14ac:dyDescent="0.25">
      <c r="A584" s="2" t="s">
        <v>1742</v>
      </c>
      <c r="B584" s="2" t="s">
        <v>1743</v>
      </c>
      <c r="C584" s="2" t="s">
        <v>19</v>
      </c>
      <c r="D584" s="2" t="s">
        <v>31</v>
      </c>
      <c r="E584" s="2" t="s">
        <v>205</v>
      </c>
      <c r="F584" s="2">
        <v>47.984000000000002</v>
      </c>
      <c r="G584" s="2" t="s">
        <v>206</v>
      </c>
      <c r="H584" s="2">
        <v>80</v>
      </c>
      <c r="I584" s="2">
        <v>38.387200000000007</v>
      </c>
      <c r="J584" s="2" t="s">
        <v>52</v>
      </c>
      <c r="K584" s="20">
        <v>44887</v>
      </c>
      <c r="L584" s="20">
        <v>44525</v>
      </c>
      <c r="M584" s="20">
        <v>44525</v>
      </c>
      <c r="N584" s="2" t="s">
        <v>234</v>
      </c>
      <c r="O584" s="2" t="s">
        <v>40</v>
      </c>
      <c r="P584" s="2" t="s">
        <v>34</v>
      </c>
      <c r="Q584" s="2">
        <f t="shared" si="9"/>
        <v>1</v>
      </c>
    </row>
    <row r="585" spans="1:17" x14ac:dyDescent="0.25">
      <c r="A585" s="2" t="s">
        <v>1745</v>
      </c>
      <c r="B585" s="2" t="s">
        <v>1746</v>
      </c>
      <c r="C585" s="2" t="s">
        <v>19</v>
      </c>
      <c r="D585" s="2" t="s">
        <v>31</v>
      </c>
      <c r="E585" s="2" t="s">
        <v>212</v>
      </c>
      <c r="F585" s="2">
        <v>541.24</v>
      </c>
      <c r="G585" s="2" t="s">
        <v>206</v>
      </c>
      <c r="H585" s="2">
        <v>100</v>
      </c>
      <c r="I585" s="2">
        <v>541.24</v>
      </c>
      <c r="J585" s="2" t="s">
        <v>52</v>
      </c>
      <c r="K585" s="20">
        <v>44892</v>
      </c>
      <c r="L585" s="20">
        <v>44532</v>
      </c>
      <c r="M585" s="20">
        <v>44532</v>
      </c>
      <c r="N585" s="2" t="s">
        <v>238</v>
      </c>
      <c r="O585" s="2" t="s">
        <v>40</v>
      </c>
      <c r="P585" s="2" t="s">
        <v>34</v>
      </c>
      <c r="Q585" s="2">
        <f t="shared" si="9"/>
        <v>1</v>
      </c>
    </row>
    <row r="586" spans="1:17" x14ac:dyDescent="0.25">
      <c r="A586" s="2" t="s">
        <v>1748</v>
      </c>
      <c r="B586" s="2" t="s">
        <v>1749</v>
      </c>
      <c r="C586" s="2" t="s">
        <v>30</v>
      </c>
      <c r="D586" s="2" t="s">
        <v>126</v>
      </c>
      <c r="E586" s="2" t="s">
        <v>205</v>
      </c>
      <c r="F586" s="2">
        <v>106.32</v>
      </c>
      <c r="G586" s="2" t="s">
        <v>206</v>
      </c>
      <c r="H586" s="2">
        <v>80</v>
      </c>
      <c r="I586" s="2">
        <v>85.055999999999997</v>
      </c>
      <c r="J586" s="2" t="s">
        <v>52</v>
      </c>
      <c r="K586" s="20">
        <v>44892</v>
      </c>
      <c r="L586" s="20">
        <v>44531</v>
      </c>
      <c r="M586" s="20">
        <v>44531</v>
      </c>
      <c r="N586" s="2" t="s">
        <v>234</v>
      </c>
      <c r="O586" s="2" t="s">
        <v>40</v>
      </c>
      <c r="P586" s="2" t="s">
        <v>34</v>
      </c>
      <c r="Q586" s="2">
        <f t="shared" si="9"/>
        <v>1</v>
      </c>
    </row>
    <row r="587" spans="1:17" x14ac:dyDescent="0.25">
      <c r="A587" s="2" t="s">
        <v>1750</v>
      </c>
      <c r="B587" s="2" t="s">
        <v>1751</v>
      </c>
      <c r="C587" s="2" t="s">
        <v>30</v>
      </c>
      <c r="D587" s="2" t="s">
        <v>77</v>
      </c>
      <c r="E587" s="2" t="s">
        <v>212</v>
      </c>
      <c r="F587" s="2">
        <v>63.823999999999998</v>
      </c>
      <c r="G587" s="2" t="s">
        <v>206</v>
      </c>
      <c r="H587" s="2">
        <v>100</v>
      </c>
      <c r="I587" s="2">
        <v>63.823999999999998</v>
      </c>
      <c r="J587" s="2" t="s">
        <v>52</v>
      </c>
      <c r="K587" s="20">
        <v>44893</v>
      </c>
      <c r="L587" s="20">
        <v>44532</v>
      </c>
      <c r="M587" s="20">
        <v>44532</v>
      </c>
      <c r="N587" s="2" t="s">
        <v>238</v>
      </c>
      <c r="O587" s="2" t="s">
        <v>82</v>
      </c>
      <c r="P587" s="2" t="s">
        <v>47</v>
      </c>
      <c r="Q587" s="2">
        <f t="shared" si="9"/>
        <v>1</v>
      </c>
    </row>
    <row r="588" spans="1:17" x14ac:dyDescent="0.25">
      <c r="A588" s="2" t="s">
        <v>1753</v>
      </c>
      <c r="B588" s="2" t="s">
        <v>1754</v>
      </c>
      <c r="C588" s="2" t="s">
        <v>19</v>
      </c>
      <c r="D588" s="2" t="s">
        <v>186</v>
      </c>
      <c r="E588" s="2" t="s">
        <v>205</v>
      </c>
      <c r="F588" s="2">
        <v>13.12</v>
      </c>
      <c r="G588" s="2" t="s">
        <v>206</v>
      </c>
      <c r="H588" s="2">
        <v>80</v>
      </c>
      <c r="I588" s="2">
        <v>10.496</v>
      </c>
      <c r="J588" s="2" t="s">
        <v>52</v>
      </c>
      <c r="K588" s="20">
        <v>44894</v>
      </c>
      <c r="L588" s="20">
        <v>44534</v>
      </c>
      <c r="M588" s="20">
        <v>44534</v>
      </c>
      <c r="N588" s="2" t="s">
        <v>248</v>
      </c>
      <c r="O588" s="2" t="s">
        <v>25</v>
      </c>
      <c r="P588" s="2" t="s">
        <v>26</v>
      </c>
      <c r="Q588" s="2">
        <f t="shared" si="9"/>
        <v>1</v>
      </c>
    </row>
    <row r="589" spans="1:17" x14ac:dyDescent="0.25">
      <c r="A589" s="2" t="s">
        <v>1756</v>
      </c>
      <c r="B589" s="2" t="s">
        <v>1757</v>
      </c>
      <c r="C589" s="2" t="s">
        <v>19</v>
      </c>
      <c r="D589" s="2" t="s">
        <v>62</v>
      </c>
      <c r="E589" s="2" t="s">
        <v>212</v>
      </c>
      <c r="F589" s="2">
        <v>19.440000000000001</v>
      </c>
      <c r="G589" s="2" t="s">
        <v>206</v>
      </c>
      <c r="H589" s="2">
        <v>100</v>
      </c>
      <c r="I589" s="2">
        <v>19.440000000000001</v>
      </c>
      <c r="J589" s="2" t="s">
        <v>52</v>
      </c>
      <c r="K589" s="20">
        <v>44895</v>
      </c>
      <c r="L589" s="20">
        <v>44531</v>
      </c>
      <c r="M589" s="20">
        <v>44531</v>
      </c>
      <c r="N589" s="2" t="s">
        <v>220</v>
      </c>
      <c r="O589" s="2" t="s">
        <v>72</v>
      </c>
      <c r="P589" s="2" t="s">
        <v>73</v>
      </c>
      <c r="Q589" s="2">
        <f t="shared" si="9"/>
        <v>1</v>
      </c>
    </row>
    <row r="590" spans="1:17" x14ac:dyDescent="0.25">
      <c r="A590" s="2" t="s">
        <v>1759</v>
      </c>
      <c r="B590" s="2" t="s">
        <v>1760</v>
      </c>
      <c r="C590" s="2" t="s">
        <v>30</v>
      </c>
      <c r="D590" s="2" t="s">
        <v>119</v>
      </c>
      <c r="E590" s="2" t="s">
        <v>212</v>
      </c>
      <c r="F590" s="2">
        <v>301.95999999999998</v>
      </c>
      <c r="G590" s="2" t="s">
        <v>206</v>
      </c>
      <c r="H590" s="2">
        <v>100</v>
      </c>
      <c r="I590" s="2">
        <v>301.95999999999998</v>
      </c>
      <c r="J590" s="2" t="s">
        <v>52</v>
      </c>
      <c r="K590" s="20">
        <v>44897</v>
      </c>
      <c r="L590" s="20">
        <v>44537</v>
      </c>
      <c r="M590" s="20">
        <v>44537</v>
      </c>
      <c r="N590" s="2" t="s">
        <v>213</v>
      </c>
      <c r="O590" s="2" t="s">
        <v>33</v>
      </c>
      <c r="P590" s="2" t="s">
        <v>34</v>
      </c>
      <c r="Q590" s="2">
        <f t="shared" si="9"/>
        <v>1</v>
      </c>
    </row>
    <row r="591" spans="1:17" x14ac:dyDescent="0.25">
      <c r="A591" s="2" t="s">
        <v>1761</v>
      </c>
      <c r="B591" s="2" t="s">
        <v>1762</v>
      </c>
      <c r="C591" s="2" t="s">
        <v>30</v>
      </c>
      <c r="D591" s="2" t="s">
        <v>51</v>
      </c>
      <c r="E591" s="2" t="s">
        <v>212</v>
      </c>
      <c r="F591" s="2">
        <v>681.40800000000002</v>
      </c>
      <c r="G591" s="2" t="s">
        <v>206</v>
      </c>
      <c r="H591" s="2">
        <v>100</v>
      </c>
      <c r="I591" s="2">
        <v>681.40800000000002</v>
      </c>
      <c r="J591" s="2" t="s">
        <v>52</v>
      </c>
      <c r="K591" s="20">
        <v>44899</v>
      </c>
      <c r="L591" s="20">
        <v>44536</v>
      </c>
      <c r="M591" s="20">
        <v>44536</v>
      </c>
      <c r="N591" s="2" t="s">
        <v>220</v>
      </c>
      <c r="O591" s="2" t="s">
        <v>25</v>
      </c>
      <c r="P591" s="2" t="s">
        <v>26</v>
      </c>
      <c r="Q591" s="2">
        <f t="shared" si="9"/>
        <v>1</v>
      </c>
    </row>
    <row r="592" spans="1:17" x14ac:dyDescent="0.25">
      <c r="A592" s="2" t="s">
        <v>1764</v>
      </c>
      <c r="B592" s="2" t="s">
        <v>1765</v>
      </c>
      <c r="C592" s="2" t="s">
        <v>19</v>
      </c>
      <c r="D592" s="2" t="s">
        <v>51</v>
      </c>
      <c r="E592" s="2" t="s">
        <v>205</v>
      </c>
      <c r="F592" s="2">
        <v>2.96</v>
      </c>
      <c r="G592" s="2" t="s">
        <v>206</v>
      </c>
      <c r="H592" s="2">
        <v>80</v>
      </c>
      <c r="I592" s="2">
        <v>2.3679999999999999</v>
      </c>
      <c r="J592" s="2" t="s">
        <v>52</v>
      </c>
      <c r="K592" s="20">
        <v>44900</v>
      </c>
      <c r="L592" s="20">
        <v>44540</v>
      </c>
      <c r="M592" s="20">
        <v>44540</v>
      </c>
      <c r="N592" s="2" t="s">
        <v>213</v>
      </c>
      <c r="O592" s="2" t="s">
        <v>146</v>
      </c>
      <c r="P592" s="2" t="s">
        <v>73</v>
      </c>
      <c r="Q592" s="2">
        <f t="shared" si="9"/>
        <v>1</v>
      </c>
    </row>
    <row r="593" spans="1:17" x14ac:dyDescent="0.25">
      <c r="A593" s="2" t="s">
        <v>1766</v>
      </c>
      <c r="B593" s="2" t="s">
        <v>1767</v>
      </c>
      <c r="C593" s="2" t="s">
        <v>30</v>
      </c>
      <c r="D593" s="2" t="s">
        <v>81</v>
      </c>
      <c r="E593" s="2" t="s">
        <v>205</v>
      </c>
      <c r="F593" s="2">
        <v>105.584</v>
      </c>
      <c r="G593" s="2" t="s">
        <v>206</v>
      </c>
      <c r="H593" s="2">
        <v>80</v>
      </c>
      <c r="I593" s="2">
        <v>84.467200000000005</v>
      </c>
      <c r="J593" s="2" t="s">
        <v>52</v>
      </c>
      <c r="K593" s="20">
        <v>44901</v>
      </c>
      <c r="L593" s="20">
        <v>44542</v>
      </c>
      <c r="M593" s="20">
        <v>44542</v>
      </c>
      <c r="N593" s="2" t="s">
        <v>207</v>
      </c>
      <c r="O593" s="2" t="s">
        <v>54</v>
      </c>
      <c r="P593" s="2" t="s">
        <v>26</v>
      </c>
      <c r="Q593" s="2">
        <f t="shared" si="9"/>
        <v>1</v>
      </c>
    </row>
    <row r="594" spans="1:17" x14ac:dyDescent="0.25">
      <c r="A594" s="2" t="s">
        <v>1769</v>
      </c>
      <c r="B594" s="2" t="s">
        <v>1770</v>
      </c>
      <c r="C594" s="2" t="s">
        <v>19</v>
      </c>
      <c r="D594" s="2" t="s">
        <v>96</v>
      </c>
      <c r="E594" s="2" t="s">
        <v>205</v>
      </c>
      <c r="F594" s="2">
        <v>9.3439999999999994</v>
      </c>
      <c r="G594" s="2" t="s">
        <v>206</v>
      </c>
      <c r="H594" s="2">
        <v>80</v>
      </c>
      <c r="I594" s="2">
        <v>7.4752000000000001</v>
      </c>
      <c r="J594" s="2" t="s">
        <v>52</v>
      </c>
      <c r="K594" s="20">
        <v>44901</v>
      </c>
      <c r="L594" s="20">
        <v>44537</v>
      </c>
      <c r="M594" s="20">
        <v>44537</v>
      </c>
      <c r="N594" s="2" t="s">
        <v>213</v>
      </c>
      <c r="O594" s="2" t="s">
        <v>146</v>
      </c>
      <c r="P594" s="2" t="s">
        <v>73</v>
      </c>
      <c r="Q594" s="2">
        <f t="shared" si="9"/>
        <v>1</v>
      </c>
    </row>
    <row r="595" spans="1:17" x14ac:dyDescent="0.25">
      <c r="A595" s="2" t="s">
        <v>1772</v>
      </c>
      <c r="B595" s="2" t="s">
        <v>1773</v>
      </c>
      <c r="C595" s="2" t="s">
        <v>30</v>
      </c>
      <c r="D595" s="2" t="s">
        <v>230</v>
      </c>
      <c r="E595" s="2" t="s">
        <v>205</v>
      </c>
      <c r="F595" s="2">
        <v>10.752000000000001</v>
      </c>
      <c r="G595" s="2" t="s">
        <v>206</v>
      </c>
      <c r="H595" s="2">
        <v>80</v>
      </c>
      <c r="I595" s="2">
        <v>8.6016000000000012</v>
      </c>
      <c r="J595" s="2" t="s">
        <v>52</v>
      </c>
      <c r="K595" s="20">
        <v>44901</v>
      </c>
      <c r="L595" s="20">
        <v>44537</v>
      </c>
      <c r="M595" s="20">
        <v>44537</v>
      </c>
      <c r="N595" s="2" t="s">
        <v>248</v>
      </c>
      <c r="O595" s="2" t="s">
        <v>146</v>
      </c>
      <c r="P595" s="2" t="s">
        <v>73</v>
      </c>
      <c r="Q595" s="2">
        <f t="shared" si="9"/>
        <v>1</v>
      </c>
    </row>
    <row r="596" spans="1:17" x14ac:dyDescent="0.25">
      <c r="A596" s="2" t="s">
        <v>1775</v>
      </c>
      <c r="B596" s="2" t="s">
        <v>1776</v>
      </c>
      <c r="C596" s="2" t="s">
        <v>30</v>
      </c>
      <c r="D596" s="2" t="s">
        <v>96</v>
      </c>
      <c r="E596" s="2" t="s">
        <v>212</v>
      </c>
      <c r="F596" s="2">
        <v>55.423999999999999</v>
      </c>
      <c r="G596" s="2" t="s">
        <v>206</v>
      </c>
      <c r="H596" s="2">
        <v>100</v>
      </c>
      <c r="I596" s="2">
        <v>55.423999999999999</v>
      </c>
      <c r="J596" s="2" t="s">
        <v>52</v>
      </c>
      <c r="K596" s="20">
        <v>44901</v>
      </c>
      <c r="L596" s="20">
        <v>44540</v>
      </c>
      <c r="M596" s="20">
        <v>44540</v>
      </c>
      <c r="N596" s="2" t="s">
        <v>248</v>
      </c>
      <c r="O596" s="2" t="s">
        <v>146</v>
      </c>
      <c r="P596" s="2" t="s">
        <v>73</v>
      </c>
      <c r="Q596" s="2">
        <f t="shared" si="9"/>
        <v>1</v>
      </c>
    </row>
    <row r="597" spans="1:17" x14ac:dyDescent="0.25">
      <c r="A597" s="2" t="s">
        <v>1778</v>
      </c>
      <c r="B597" s="2" t="s">
        <v>1779</v>
      </c>
      <c r="C597" s="2" t="s">
        <v>30</v>
      </c>
      <c r="D597" s="2" t="s">
        <v>86</v>
      </c>
      <c r="E597" s="2" t="s">
        <v>212</v>
      </c>
      <c r="F597" s="2">
        <v>41.86</v>
      </c>
      <c r="G597" s="2" t="s">
        <v>206</v>
      </c>
      <c r="H597" s="2">
        <v>100</v>
      </c>
      <c r="I597" s="2">
        <v>41.86</v>
      </c>
      <c r="J597" s="2" t="s">
        <v>52</v>
      </c>
      <c r="K597" s="20">
        <v>44902</v>
      </c>
      <c r="L597" s="20">
        <v>44542</v>
      </c>
      <c r="M597" s="20">
        <v>44542</v>
      </c>
      <c r="N597" s="2" t="s">
        <v>220</v>
      </c>
      <c r="O597" s="2" t="s">
        <v>54</v>
      </c>
      <c r="P597" s="2" t="s">
        <v>26</v>
      </c>
      <c r="Q597" s="2">
        <f t="shared" si="9"/>
        <v>1</v>
      </c>
    </row>
    <row r="598" spans="1:17" x14ac:dyDescent="0.25">
      <c r="A598" s="2" t="s">
        <v>1781</v>
      </c>
      <c r="B598" s="2" t="s">
        <v>1782</v>
      </c>
      <c r="C598" s="2" t="s">
        <v>19</v>
      </c>
      <c r="D598" s="2" t="s">
        <v>86</v>
      </c>
      <c r="E598" s="2" t="s">
        <v>205</v>
      </c>
      <c r="F598" s="2">
        <v>39</v>
      </c>
      <c r="G598" s="2" t="s">
        <v>206</v>
      </c>
      <c r="H598" s="2">
        <v>80</v>
      </c>
      <c r="I598" s="2">
        <v>31.200000000000003</v>
      </c>
      <c r="J598" s="2" t="s">
        <v>52</v>
      </c>
      <c r="K598" s="20">
        <v>44902</v>
      </c>
      <c r="L598" s="20">
        <v>44538</v>
      </c>
      <c r="M598" s="20">
        <v>44538</v>
      </c>
      <c r="N598" s="2" t="s">
        <v>213</v>
      </c>
      <c r="O598" s="2" t="s">
        <v>25</v>
      </c>
      <c r="P598" s="2" t="s">
        <v>26</v>
      </c>
      <c r="Q598" s="2">
        <f t="shared" si="9"/>
        <v>1</v>
      </c>
    </row>
    <row r="599" spans="1:17" x14ac:dyDescent="0.25">
      <c r="A599" s="2" t="s">
        <v>1784</v>
      </c>
      <c r="B599" s="2" t="s">
        <v>1785</v>
      </c>
      <c r="C599" s="2" t="s">
        <v>30</v>
      </c>
      <c r="D599" s="2" t="s">
        <v>81</v>
      </c>
      <c r="E599" s="2" t="s">
        <v>212</v>
      </c>
      <c r="F599" s="2">
        <v>19.920000000000002</v>
      </c>
      <c r="G599" s="2" t="s">
        <v>206</v>
      </c>
      <c r="H599" s="2">
        <v>100</v>
      </c>
      <c r="I599" s="2">
        <v>19.920000000000002</v>
      </c>
      <c r="J599" s="2" t="s">
        <v>52</v>
      </c>
      <c r="K599" s="20">
        <v>44902</v>
      </c>
      <c r="L599" s="20">
        <v>44542</v>
      </c>
      <c r="M599" s="20">
        <v>44542</v>
      </c>
      <c r="N599" s="2" t="s">
        <v>213</v>
      </c>
      <c r="O599" s="2" t="s">
        <v>25</v>
      </c>
      <c r="P599" s="2" t="s">
        <v>26</v>
      </c>
      <c r="Q599" s="2">
        <f t="shared" si="9"/>
        <v>1</v>
      </c>
    </row>
    <row r="600" spans="1:17" x14ac:dyDescent="0.25">
      <c r="A600" s="2" t="s">
        <v>1787</v>
      </c>
      <c r="B600" s="2" t="s">
        <v>1788</v>
      </c>
      <c r="C600" s="2" t="s">
        <v>19</v>
      </c>
      <c r="D600" s="2" t="s">
        <v>38</v>
      </c>
      <c r="E600" s="2" t="s">
        <v>205</v>
      </c>
      <c r="F600" s="2">
        <v>56.3</v>
      </c>
      <c r="G600" s="2" t="s">
        <v>206</v>
      </c>
      <c r="H600" s="2">
        <v>80</v>
      </c>
      <c r="I600" s="2">
        <v>45.04</v>
      </c>
      <c r="J600" s="2" t="s">
        <v>52</v>
      </c>
      <c r="K600" s="20">
        <v>44903</v>
      </c>
      <c r="L600" s="20">
        <v>44538</v>
      </c>
      <c r="M600" s="20">
        <v>44538</v>
      </c>
      <c r="N600" s="2" t="s">
        <v>248</v>
      </c>
      <c r="O600" s="2" t="s">
        <v>72</v>
      </c>
      <c r="P600" s="2" t="s">
        <v>73</v>
      </c>
      <c r="Q600" s="2">
        <f t="shared" si="9"/>
        <v>1</v>
      </c>
    </row>
    <row r="601" spans="1:17" x14ac:dyDescent="0.25">
      <c r="A601" s="2" t="s">
        <v>1790</v>
      </c>
      <c r="B601" s="2" t="s">
        <v>1791</v>
      </c>
      <c r="C601" s="2" t="s">
        <v>30</v>
      </c>
      <c r="D601" s="2" t="s">
        <v>154</v>
      </c>
      <c r="E601" s="2" t="s">
        <v>212</v>
      </c>
      <c r="F601" s="2">
        <v>12.224</v>
      </c>
      <c r="G601" s="2" t="s">
        <v>206</v>
      </c>
      <c r="H601" s="2">
        <v>100</v>
      </c>
      <c r="I601" s="2">
        <v>12.224</v>
      </c>
      <c r="J601" s="2" t="s">
        <v>52</v>
      </c>
      <c r="K601" s="20">
        <v>44903</v>
      </c>
      <c r="L601" s="20">
        <v>44543</v>
      </c>
      <c r="M601" s="20">
        <v>44543</v>
      </c>
      <c r="N601" s="2" t="s">
        <v>248</v>
      </c>
      <c r="O601" s="2" t="s">
        <v>25</v>
      </c>
      <c r="P601" s="2" t="s">
        <v>26</v>
      </c>
      <c r="Q601" s="2">
        <f t="shared" si="9"/>
        <v>1</v>
      </c>
    </row>
    <row r="602" spans="1:17" x14ac:dyDescent="0.25">
      <c r="A602" s="2" t="s">
        <v>1793</v>
      </c>
      <c r="B602" s="2" t="s">
        <v>1794</v>
      </c>
      <c r="C602" s="2" t="s">
        <v>30</v>
      </c>
      <c r="D602" s="2" t="s">
        <v>38</v>
      </c>
      <c r="E602" s="2" t="s">
        <v>205</v>
      </c>
      <c r="F602" s="2">
        <v>53.088000000000001</v>
      </c>
      <c r="G602" s="2" t="s">
        <v>206</v>
      </c>
      <c r="H602" s="2">
        <v>80</v>
      </c>
      <c r="I602" s="2">
        <v>42.470400000000005</v>
      </c>
      <c r="J602" s="2" t="s">
        <v>52</v>
      </c>
      <c r="K602" s="20">
        <v>44904</v>
      </c>
      <c r="L602" s="20">
        <v>44541</v>
      </c>
      <c r="M602" s="20">
        <v>44541</v>
      </c>
      <c r="N602" s="2" t="s">
        <v>207</v>
      </c>
      <c r="O602" s="2" t="s">
        <v>72</v>
      </c>
      <c r="P602" s="2" t="s">
        <v>73</v>
      </c>
      <c r="Q602" s="2">
        <f t="shared" si="9"/>
        <v>1</v>
      </c>
    </row>
    <row r="603" spans="1:17" x14ac:dyDescent="0.25">
      <c r="A603" s="2" t="s">
        <v>1796</v>
      </c>
      <c r="B603" s="2" t="s">
        <v>1797</v>
      </c>
      <c r="C603" s="2" t="s">
        <v>19</v>
      </c>
      <c r="D603" s="2" t="s">
        <v>105</v>
      </c>
      <c r="E603" s="2" t="s">
        <v>205</v>
      </c>
      <c r="F603" s="2">
        <v>52.415999999999997</v>
      </c>
      <c r="G603" s="2" t="s">
        <v>206</v>
      </c>
      <c r="H603" s="2">
        <v>80</v>
      </c>
      <c r="I603" s="2">
        <v>41.9328</v>
      </c>
      <c r="J603" s="2" t="s">
        <v>52</v>
      </c>
      <c r="K603" s="20">
        <v>44906</v>
      </c>
      <c r="L603" s="20">
        <v>44545</v>
      </c>
      <c r="M603" s="20">
        <v>44545</v>
      </c>
      <c r="N603" s="2" t="s">
        <v>234</v>
      </c>
      <c r="O603" s="2" t="s">
        <v>46</v>
      </c>
      <c r="P603" s="2" t="s">
        <v>47</v>
      </c>
      <c r="Q603" s="2">
        <f t="shared" si="9"/>
        <v>1</v>
      </c>
    </row>
    <row r="604" spans="1:17" x14ac:dyDescent="0.25">
      <c r="A604" s="2" t="s">
        <v>1799</v>
      </c>
      <c r="B604" s="2" t="s">
        <v>1800</v>
      </c>
      <c r="C604" s="2" t="s">
        <v>19</v>
      </c>
      <c r="D604" s="2" t="s">
        <v>62</v>
      </c>
      <c r="E604" s="2" t="s">
        <v>205</v>
      </c>
      <c r="F604" s="2">
        <v>6.8479999999999999</v>
      </c>
      <c r="G604" s="2" t="s">
        <v>206</v>
      </c>
      <c r="H604" s="2">
        <v>80</v>
      </c>
      <c r="I604" s="2">
        <v>5.4784000000000006</v>
      </c>
      <c r="J604" s="2" t="s">
        <v>52</v>
      </c>
      <c r="K604" s="20">
        <v>44909</v>
      </c>
      <c r="L604" s="20">
        <v>44546</v>
      </c>
      <c r="M604" s="20">
        <v>44546</v>
      </c>
      <c r="N604" s="2" t="s">
        <v>248</v>
      </c>
      <c r="O604" s="2" t="s">
        <v>97</v>
      </c>
      <c r="P604" s="2" t="s">
        <v>68</v>
      </c>
      <c r="Q604" s="2">
        <f t="shared" si="9"/>
        <v>1</v>
      </c>
    </row>
    <row r="605" spans="1:17" x14ac:dyDescent="0.25">
      <c r="A605" s="2" t="s">
        <v>1801</v>
      </c>
      <c r="B605" s="2" t="s">
        <v>1802</v>
      </c>
      <c r="C605" s="2" t="s">
        <v>19</v>
      </c>
      <c r="D605" s="2" t="s">
        <v>20</v>
      </c>
      <c r="E605" s="2" t="s">
        <v>205</v>
      </c>
      <c r="F605" s="2">
        <v>18.431999999999999</v>
      </c>
      <c r="G605" s="2" t="s">
        <v>206</v>
      </c>
      <c r="H605" s="2">
        <v>80</v>
      </c>
      <c r="I605" s="2">
        <v>14.7456</v>
      </c>
      <c r="J605" s="2" t="s">
        <v>52</v>
      </c>
      <c r="K605" s="20">
        <v>44910</v>
      </c>
      <c r="L605" s="20">
        <v>44549</v>
      </c>
      <c r="M605" s="20">
        <v>44549</v>
      </c>
      <c r="N605" s="2" t="s">
        <v>207</v>
      </c>
      <c r="O605" s="2" t="s">
        <v>146</v>
      </c>
      <c r="P605" s="2" t="s">
        <v>73</v>
      </c>
      <c r="Q605" s="2">
        <f t="shared" si="9"/>
        <v>1</v>
      </c>
    </row>
    <row r="606" spans="1:17" x14ac:dyDescent="0.25">
      <c r="A606" s="2" t="s">
        <v>1803</v>
      </c>
      <c r="B606" s="2" t="s">
        <v>1804</v>
      </c>
      <c r="C606" s="2" t="s">
        <v>30</v>
      </c>
      <c r="D606" s="2" t="s">
        <v>115</v>
      </c>
      <c r="E606" s="2" t="s">
        <v>212</v>
      </c>
      <c r="F606" s="2">
        <v>547.13599999999997</v>
      </c>
      <c r="G606" s="2" t="s">
        <v>206</v>
      </c>
      <c r="H606" s="2">
        <v>100</v>
      </c>
      <c r="I606" s="2">
        <v>547.13599999999997</v>
      </c>
      <c r="J606" s="2" t="s">
        <v>52</v>
      </c>
      <c r="K606" s="20">
        <v>44911</v>
      </c>
      <c r="L606" s="20">
        <v>44551</v>
      </c>
      <c r="M606" s="20">
        <v>44551</v>
      </c>
      <c r="N606" s="2" t="s">
        <v>234</v>
      </c>
      <c r="O606" s="2" t="s">
        <v>82</v>
      </c>
      <c r="P606" s="2" t="s">
        <v>47</v>
      </c>
      <c r="Q606" s="2">
        <f t="shared" si="9"/>
        <v>1</v>
      </c>
    </row>
    <row r="607" spans="1:17" x14ac:dyDescent="0.25">
      <c r="A607" s="2" t="s">
        <v>1805</v>
      </c>
      <c r="B607" s="2" t="s">
        <v>1806</v>
      </c>
      <c r="C607" s="2" t="s">
        <v>19</v>
      </c>
      <c r="D607" s="2" t="s">
        <v>51</v>
      </c>
      <c r="E607" s="2" t="s">
        <v>212</v>
      </c>
      <c r="F607" s="2">
        <v>668.16</v>
      </c>
      <c r="G607" s="2" t="s">
        <v>206</v>
      </c>
      <c r="H607" s="2">
        <v>100</v>
      </c>
      <c r="I607" s="2">
        <v>668.16</v>
      </c>
      <c r="J607" s="2" t="s">
        <v>52</v>
      </c>
      <c r="K607" s="20">
        <v>44915</v>
      </c>
      <c r="L607" s="20">
        <v>44554</v>
      </c>
      <c r="M607" s="20">
        <v>44554</v>
      </c>
      <c r="N607" s="2" t="s">
        <v>234</v>
      </c>
      <c r="O607" s="2" t="s">
        <v>82</v>
      </c>
      <c r="P607" s="2" t="s">
        <v>47</v>
      </c>
      <c r="Q607" s="2">
        <f t="shared" si="9"/>
        <v>1</v>
      </c>
    </row>
    <row r="608" spans="1:17" x14ac:dyDescent="0.25">
      <c r="A608" s="2" t="s">
        <v>1807</v>
      </c>
      <c r="B608" s="2" t="s">
        <v>1808</v>
      </c>
      <c r="C608" s="2" t="s">
        <v>30</v>
      </c>
      <c r="D608" s="2" t="s">
        <v>86</v>
      </c>
      <c r="E608" s="2" t="s">
        <v>205</v>
      </c>
      <c r="F608" s="2">
        <v>73.98</v>
      </c>
      <c r="G608" s="2" t="s">
        <v>206</v>
      </c>
      <c r="H608" s="2">
        <v>80</v>
      </c>
      <c r="I608" s="2">
        <v>59.184000000000005</v>
      </c>
      <c r="J608" s="2" t="s">
        <v>52</v>
      </c>
      <c r="K608" s="20">
        <v>44916</v>
      </c>
      <c r="L608" s="20">
        <v>44552</v>
      </c>
      <c r="M608" s="20">
        <v>44552</v>
      </c>
      <c r="N608" s="2" t="s">
        <v>234</v>
      </c>
      <c r="O608" s="2" t="s">
        <v>82</v>
      </c>
      <c r="P608" s="2" t="s">
        <v>47</v>
      </c>
      <c r="Q608" s="2">
        <f t="shared" si="9"/>
        <v>1</v>
      </c>
    </row>
    <row r="609" spans="1:17" x14ac:dyDescent="0.25">
      <c r="A609" s="2" t="s">
        <v>1810</v>
      </c>
      <c r="B609" s="2" t="s">
        <v>1811</v>
      </c>
      <c r="C609" s="2" t="s">
        <v>19</v>
      </c>
      <c r="D609" s="2" t="s">
        <v>126</v>
      </c>
      <c r="E609" s="2" t="s">
        <v>212</v>
      </c>
      <c r="F609" s="2">
        <v>34.58</v>
      </c>
      <c r="G609" s="2" t="s">
        <v>206</v>
      </c>
      <c r="H609" s="2">
        <v>100</v>
      </c>
      <c r="I609" s="2">
        <v>34.58</v>
      </c>
      <c r="J609" s="2" t="s">
        <v>52</v>
      </c>
      <c r="K609" s="20">
        <v>44917</v>
      </c>
      <c r="L609" s="20">
        <v>44554</v>
      </c>
      <c r="M609" s="20">
        <v>44554</v>
      </c>
      <c r="N609" s="2" t="s">
        <v>213</v>
      </c>
      <c r="O609" s="2" t="s">
        <v>46</v>
      </c>
      <c r="P609" s="2" t="s">
        <v>47</v>
      </c>
      <c r="Q609" s="2">
        <f t="shared" si="9"/>
        <v>1</v>
      </c>
    </row>
    <row r="610" spans="1:17" x14ac:dyDescent="0.25">
      <c r="A610" s="2" t="s">
        <v>1812</v>
      </c>
      <c r="B610" s="2" t="s">
        <v>1813</v>
      </c>
      <c r="C610" s="2" t="s">
        <v>19</v>
      </c>
      <c r="D610" s="2" t="s">
        <v>154</v>
      </c>
      <c r="E610" s="2" t="s">
        <v>212</v>
      </c>
      <c r="F610" s="2">
        <v>108.78400000000001</v>
      </c>
      <c r="G610" s="2" t="s">
        <v>206</v>
      </c>
      <c r="H610" s="2">
        <v>100</v>
      </c>
      <c r="I610" s="2">
        <v>108.78400000000001</v>
      </c>
      <c r="J610" s="2" t="s">
        <v>52</v>
      </c>
      <c r="K610" s="20">
        <v>44919</v>
      </c>
      <c r="L610" s="20">
        <v>44557</v>
      </c>
      <c r="M610" s="20">
        <v>44557</v>
      </c>
      <c r="N610" s="2" t="s">
        <v>213</v>
      </c>
      <c r="O610" s="2" t="s">
        <v>97</v>
      </c>
      <c r="P610" s="2" t="s">
        <v>68</v>
      </c>
      <c r="Q610" s="2">
        <f t="shared" si="9"/>
        <v>1</v>
      </c>
    </row>
    <row r="611" spans="1:17" x14ac:dyDescent="0.25">
      <c r="A611" s="2" t="s">
        <v>1815</v>
      </c>
      <c r="B611" s="2" t="s">
        <v>1816</v>
      </c>
      <c r="C611" s="2" t="s">
        <v>19</v>
      </c>
      <c r="D611" s="2" t="s">
        <v>119</v>
      </c>
      <c r="E611" s="2" t="s">
        <v>212</v>
      </c>
      <c r="F611" s="2">
        <v>322.58999999999997</v>
      </c>
      <c r="G611" s="2" t="s">
        <v>206</v>
      </c>
      <c r="H611" s="2">
        <v>100</v>
      </c>
      <c r="I611" s="2">
        <v>322.58999999999997</v>
      </c>
      <c r="J611" s="2" t="s">
        <v>52</v>
      </c>
      <c r="K611" s="20">
        <v>44921</v>
      </c>
      <c r="L611" s="20">
        <v>44560</v>
      </c>
      <c r="M611" s="20">
        <v>44560</v>
      </c>
      <c r="N611" s="2" t="s">
        <v>248</v>
      </c>
      <c r="O611" s="2" t="s">
        <v>67</v>
      </c>
      <c r="P611" s="2" t="s">
        <v>68</v>
      </c>
      <c r="Q611" s="2">
        <f t="shared" si="9"/>
        <v>1</v>
      </c>
    </row>
    <row r="612" spans="1:17" x14ac:dyDescent="0.25">
      <c r="A612" s="2" t="s">
        <v>1818</v>
      </c>
      <c r="B612" s="2" t="s">
        <v>1819</v>
      </c>
      <c r="C612" s="2" t="s">
        <v>19</v>
      </c>
      <c r="D612" s="2" t="s">
        <v>126</v>
      </c>
      <c r="E612" s="2" t="s">
        <v>212</v>
      </c>
      <c r="F612" s="2">
        <v>49.536000000000001</v>
      </c>
      <c r="G612" s="2" t="s">
        <v>206</v>
      </c>
      <c r="H612" s="2">
        <v>100</v>
      </c>
      <c r="I612" s="2">
        <v>49.536000000000001</v>
      </c>
      <c r="J612" s="2" t="s">
        <v>52</v>
      </c>
      <c r="K612" s="20">
        <v>44922</v>
      </c>
      <c r="L612" s="20">
        <v>44562</v>
      </c>
      <c r="M612" s="20">
        <v>44562</v>
      </c>
      <c r="N612" s="2" t="s">
        <v>234</v>
      </c>
      <c r="O612" s="2" t="s">
        <v>72</v>
      </c>
      <c r="P612" s="2" t="s">
        <v>73</v>
      </c>
      <c r="Q612" s="2">
        <f t="shared" si="9"/>
        <v>1</v>
      </c>
    </row>
    <row r="613" spans="1:17" x14ac:dyDescent="0.25">
      <c r="A613" s="2" t="s">
        <v>1821</v>
      </c>
      <c r="B613" s="2" t="s">
        <v>1822</v>
      </c>
      <c r="C613" s="2" t="s">
        <v>19</v>
      </c>
      <c r="D613" s="2" t="s">
        <v>139</v>
      </c>
      <c r="E613" s="2" t="s">
        <v>205</v>
      </c>
      <c r="F613" s="2">
        <v>20.65</v>
      </c>
      <c r="G613" s="2" t="s">
        <v>206</v>
      </c>
      <c r="H613" s="2">
        <v>80</v>
      </c>
      <c r="I613" s="2">
        <v>16.52</v>
      </c>
      <c r="J613" s="2" t="s">
        <v>52</v>
      </c>
      <c r="K613" s="20">
        <v>44922</v>
      </c>
      <c r="L613" s="20">
        <v>44561</v>
      </c>
      <c r="M613" s="20">
        <v>44561</v>
      </c>
      <c r="N613" s="2" t="s">
        <v>234</v>
      </c>
      <c r="O613" s="2" t="s">
        <v>54</v>
      </c>
      <c r="P613" s="2" t="s">
        <v>26</v>
      </c>
      <c r="Q613" s="2">
        <f t="shared" si="9"/>
        <v>1</v>
      </c>
    </row>
    <row r="614" spans="1:17" x14ac:dyDescent="0.25">
      <c r="A614" s="2" t="s">
        <v>1824</v>
      </c>
      <c r="B614" s="2" t="s">
        <v>1825</v>
      </c>
      <c r="C614" s="2" t="s">
        <v>19</v>
      </c>
      <c r="D614" s="2" t="s">
        <v>211</v>
      </c>
      <c r="E614" s="2" t="s">
        <v>205</v>
      </c>
      <c r="F614" s="2">
        <v>56.7</v>
      </c>
      <c r="G614" s="2" t="s">
        <v>206</v>
      </c>
      <c r="H614" s="2">
        <v>80</v>
      </c>
      <c r="I614" s="2">
        <v>45.360000000000007</v>
      </c>
      <c r="J614" s="2" t="s">
        <v>52</v>
      </c>
      <c r="K614" s="20">
        <v>44922</v>
      </c>
      <c r="L614" s="20">
        <v>44929</v>
      </c>
      <c r="M614" s="20">
        <v>44929</v>
      </c>
      <c r="N614" s="2" t="s">
        <v>248</v>
      </c>
      <c r="O614" s="2" t="s">
        <v>33</v>
      </c>
      <c r="P614" s="2" t="s">
        <v>34</v>
      </c>
      <c r="Q614" s="2">
        <f t="shared" si="9"/>
        <v>1</v>
      </c>
    </row>
    <row r="615" spans="1:17" x14ac:dyDescent="0.25">
      <c r="A615" s="2" t="s">
        <v>1826</v>
      </c>
      <c r="B615" s="2" t="s">
        <v>1827</v>
      </c>
      <c r="C615" s="2" t="s">
        <v>19</v>
      </c>
      <c r="D615" s="2" t="s">
        <v>62</v>
      </c>
      <c r="E615" s="2" t="s">
        <v>212</v>
      </c>
      <c r="F615" s="2">
        <v>90.48</v>
      </c>
      <c r="G615" s="2" t="s">
        <v>206</v>
      </c>
      <c r="H615" s="2">
        <v>100</v>
      </c>
      <c r="I615" s="2">
        <v>90.48</v>
      </c>
      <c r="J615" s="2" t="s">
        <v>52</v>
      </c>
      <c r="K615" s="20">
        <v>44924</v>
      </c>
      <c r="L615" s="20">
        <v>44562</v>
      </c>
      <c r="M615" s="20">
        <v>44562</v>
      </c>
      <c r="N615" s="2" t="s">
        <v>238</v>
      </c>
      <c r="O615" s="2" t="s">
        <v>46</v>
      </c>
      <c r="P615" s="2" t="s">
        <v>47</v>
      </c>
      <c r="Q615" s="2">
        <f t="shared" si="9"/>
        <v>1</v>
      </c>
    </row>
    <row r="616" spans="1:17" x14ac:dyDescent="0.25">
      <c r="A616" s="2" t="s">
        <v>1829</v>
      </c>
      <c r="B616" s="2" t="s">
        <v>1830</v>
      </c>
      <c r="C616" s="2" t="s">
        <v>30</v>
      </c>
      <c r="D616" s="2" t="s">
        <v>139</v>
      </c>
      <c r="E616" s="2" t="s">
        <v>205</v>
      </c>
      <c r="F616" s="2">
        <v>326.64600000000002</v>
      </c>
      <c r="G616" s="2" t="s">
        <v>206</v>
      </c>
      <c r="H616" s="2">
        <v>80</v>
      </c>
      <c r="I616" s="2">
        <v>261.3168</v>
      </c>
      <c r="J616" s="2" t="s">
        <v>52</v>
      </c>
      <c r="K616" s="20">
        <v>44937</v>
      </c>
      <c r="L616" s="20">
        <v>44940</v>
      </c>
      <c r="M616" s="20">
        <v>44940</v>
      </c>
      <c r="N616" s="2" t="s">
        <v>234</v>
      </c>
      <c r="O616" s="2" t="s">
        <v>146</v>
      </c>
      <c r="P616" s="2" t="s">
        <v>73</v>
      </c>
      <c r="Q616" s="2">
        <f t="shared" si="9"/>
        <v>1</v>
      </c>
    </row>
    <row r="617" spans="1:17" x14ac:dyDescent="0.25">
      <c r="A617" s="2" t="s">
        <v>1832</v>
      </c>
      <c r="B617" s="2" t="s">
        <v>1833</v>
      </c>
      <c r="C617" s="2" t="s">
        <v>30</v>
      </c>
      <c r="D617" s="2" t="s">
        <v>44</v>
      </c>
      <c r="E617" s="2" t="s">
        <v>212</v>
      </c>
      <c r="F617" s="2">
        <v>199.75</v>
      </c>
      <c r="G617" s="2" t="s">
        <v>206</v>
      </c>
      <c r="H617" s="2">
        <v>100</v>
      </c>
      <c r="I617" s="2">
        <v>199.75</v>
      </c>
      <c r="J617" s="2" t="s">
        <v>52</v>
      </c>
      <c r="K617" s="20">
        <v>44951</v>
      </c>
      <c r="L617" s="20">
        <v>44953</v>
      </c>
      <c r="M617" s="20">
        <v>44953</v>
      </c>
      <c r="N617" s="2" t="s">
        <v>248</v>
      </c>
      <c r="O617" s="2" t="s">
        <v>97</v>
      </c>
      <c r="P617" s="2" t="s">
        <v>68</v>
      </c>
      <c r="Q617" s="2">
        <f t="shared" si="9"/>
        <v>1</v>
      </c>
    </row>
    <row r="618" spans="1:17" x14ac:dyDescent="0.25">
      <c r="A618" s="2" t="s">
        <v>1835</v>
      </c>
      <c r="B618" s="2" t="s">
        <v>1836</v>
      </c>
      <c r="C618" s="2" t="s">
        <v>19</v>
      </c>
      <c r="D618" s="2" t="s">
        <v>186</v>
      </c>
      <c r="E618" s="2" t="s">
        <v>21</v>
      </c>
      <c r="F618" s="2">
        <v>27.21</v>
      </c>
      <c r="G618" s="2" t="s">
        <v>22</v>
      </c>
      <c r="H618" s="2">
        <v>0</v>
      </c>
      <c r="I618" s="2">
        <v>0</v>
      </c>
      <c r="J618" s="2" t="s">
        <v>52</v>
      </c>
      <c r="K618" s="20">
        <v>44952</v>
      </c>
      <c r="L618" s="20">
        <v>44954</v>
      </c>
      <c r="M618" s="20">
        <v>44954</v>
      </c>
      <c r="N618" s="2" t="s">
        <v>24</v>
      </c>
      <c r="O618" s="2" t="s">
        <v>72</v>
      </c>
      <c r="P618" s="2" t="s">
        <v>73</v>
      </c>
      <c r="Q618" s="2">
        <f t="shared" si="9"/>
        <v>1</v>
      </c>
    </row>
    <row r="619" spans="1:17" x14ac:dyDescent="0.25">
      <c r="A619" s="2" t="s">
        <v>1838</v>
      </c>
      <c r="B619" s="2" t="s">
        <v>1839</v>
      </c>
      <c r="C619" s="2" t="s">
        <v>30</v>
      </c>
      <c r="D619" s="2" t="s">
        <v>211</v>
      </c>
      <c r="E619" s="2" t="s">
        <v>212</v>
      </c>
      <c r="F619" s="2">
        <v>39.68</v>
      </c>
      <c r="G619" s="2" t="s">
        <v>206</v>
      </c>
      <c r="H619" s="2">
        <v>100</v>
      </c>
      <c r="I619" s="2">
        <v>39.68</v>
      </c>
      <c r="J619" s="2" t="s">
        <v>52</v>
      </c>
      <c r="K619" s="20">
        <v>44959</v>
      </c>
      <c r="L619" s="20">
        <v>44961</v>
      </c>
      <c r="M619" s="20">
        <v>44961</v>
      </c>
      <c r="N619" s="2" t="s">
        <v>207</v>
      </c>
      <c r="O619" s="2" t="s">
        <v>25</v>
      </c>
      <c r="P619" s="2" t="s">
        <v>26</v>
      </c>
      <c r="Q619" s="2">
        <f t="shared" si="9"/>
        <v>1</v>
      </c>
    </row>
    <row r="620" spans="1:17" x14ac:dyDescent="0.25">
      <c r="A620" s="2" t="s">
        <v>1841</v>
      </c>
      <c r="B620" s="2" t="s">
        <v>1842</v>
      </c>
      <c r="C620" s="2" t="s">
        <v>30</v>
      </c>
      <c r="D620" s="2" t="s">
        <v>96</v>
      </c>
      <c r="E620" s="2" t="s">
        <v>212</v>
      </c>
      <c r="F620" s="2">
        <v>99.372</v>
      </c>
      <c r="G620" s="2" t="s">
        <v>206</v>
      </c>
      <c r="H620" s="2">
        <v>100</v>
      </c>
      <c r="I620" s="2">
        <v>99.372</v>
      </c>
      <c r="J620" s="2" t="s">
        <v>52</v>
      </c>
      <c r="K620" s="20">
        <v>44962</v>
      </c>
      <c r="L620" s="20">
        <v>44967</v>
      </c>
      <c r="M620" s="20">
        <v>44967</v>
      </c>
      <c r="N620" s="2" t="s">
        <v>213</v>
      </c>
      <c r="O620" s="2" t="s">
        <v>40</v>
      </c>
      <c r="P620" s="2" t="s">
        <v>34</v>
      </c>
      <c r="Q620" s="2">
        <f t="shared" si="9"/>
        <v>1</v>
      </c>
    </row>
    <row r="621" spans="1:17" x14ac:dyDescent="0.25">
      <c r="A621" s="2" t="s">
        <v>1844</v>
      </c>
      <c r="B621" s="2" t="s">
        <v>1845</v>
      </c>
      <c r="C621" s="2" t="s">
        <v>30</v>
      </c>
      <c r="D621" s="2" t="s">
        <v>126</v>
      </c>
      <c r="E621" s="2" t="s">
        <v>212</v>
      </c>
      <c r="F621" s="2">
        <v>13.48</v>
      </c>
      <c r="G621" s="2" t="s">
        <v>206</v>
      </c>
      <c r="H621" s="2">
        <v>100</v>
      </c>
      <c r="I621" s="2">
        <v>13.48</v>
      </c>
      <c r="J621" s="2" t="s">
        <v>52</v>
      </c>
      <c r="K621" s="20">
        <v>44964</v>
      </c>
      <c r="L621" s="20">
        <v>44969</v>
      </c>
      <c r="M621" s="20">
        <v>44969</v>
      </c>
      <c r="N621" s="2" t="s">
        <v>213</v>
      </c>
      <c r="O621" s="2" t="s">
        <v>25</v>
      </c>
      <c r="P621" s="2" t="s">
        <v>26</v>
      </c>
      <c r="Q621" s="2">
        <f t="shared" si="9"/>
        <v>1</v>
      </c>
    </row>
    <row r="622" spans="1:17" x14ac:dyDescent="0.25">
      <c r="A622" s="2" t="s">
        <v>1847</v>
      </c>
      <c r="B622" s="2" t="s">
        <v>1848</v>
      </c>
      <c r="C622" s="2" t="s">
        <v>30</v>
      </c>
      <c r="D622" s="2" t="s">
        <v>370</v>
      </c>
      <c r="E622" s="2" t="s">
        <v>205</v>
      </c>
      <c r="F622" s="2">
        <v>64.959999999999994</v>
      </c>
      <c r="G622" s="2" t="s">
        <v>206</v>
      </c>
      <c r="H622" s="2">
        <v>80</v>
      </c>
      <c r="I622" s="2">
        <v>51.967999999999996</v>
      </c>
      <c r="J622" s="2" t="s">
        <v>52</v>
      </c>
      <c r="K622" s="20">
        <v>44966</v>
      </c>
      <c r="L622" s="20">
        <v>44973</v>
      </c>
      <c r="M622" s="20">
        <v>44973</v>
      </c>
      <c r="N622" s="2" t="s">
        <v>220</v>
      </c>
      <c r="O622" s="2" t="s">
        <v>67</v>
      </c>
      <c r="P622" s="2" t="s">
        <v>68</v>
      </c>
      <c r="Q622" s="2">
        <f t="shared" si="9"/>
        <v>1</v>
      </c>
    </row>
    <row r="623" spans="1:17" x14ac:dyDescent="0.25">
      <c r="A623" s="2" t="s">
        <v>1850</v>
      </c>
      <c r="B623" s="2" t="s">
        <v>1851</v>
      </c>
      <c r="C623" s="2" t="s">
        <v>30</v>
      </c>
      <c r="D623" s="2" t="s">
        <v>58</v>
      </c>
      <c r="E623" s="2" t="s">
        <v>205</v>
      </c>
      <c r="F623" s="2">
        <v>431.928</v>
      </c>
      <c r="G623" s="2" t="s">
        <v>206</v>
      </c>
      <c r="H623" s="2">
        <v>80</v>
      </c>
      <c r="I623" s="2">
        <v>345.54240000000004</v>
      </c>
      <c r="J623" s="2" t="s">
        <v>52</v>
      </c>
      <c r="K623" s="20">
        <v>44971</v>
      </c>
      <c r="L623" s="20">
        <v>44976</v>
      </c>
      <c r="M623" s="20">
        <v>44976</v>
      </c>
      <c r="N623" s="2" t="s">
        <v>220</v>
      </c>
      <c r="O623" s="2" t="s">
        <v>54</v>
      </c>
      <c r="P623" s="2" t="s">
        <v>26</v>
      </c>
      <c r="Q623" s="2">
        <f t="shared" si="9"/>
        <v>1</v>
      </c>
    </row>
    <row r="624" spans="1:17" x14ac:dyDescent="0.25">
      <c r="A624" s="2" t="s">
        <v>1853</v>
      </c>
      <c r="B624" s="2" t="s">
        <v>1854</v>
      </c>
      <c r="C624" s="2" t="s">
        <v>19</v>
      </c>
      <c r="D624" s="2" t="s">
        <v>211</v>
      </c>
      <c r="E624" s="2" t="s">
        <v>205</v>
      </c>
      <c r="F624" s="2">
        <v>343.92</v>
      </c>
      <c r="G624" s="2" t="s">
        <v>206</v>
      </c>
      <c r="H624" s="2">
        <v>80</v>
      </c>
      <c r="I624" s="2">
        <v>275.13600000000002</v>
      </c>
      <c r="J624" s="2" t="s">
        <v>52</v>
      </c>
      <c r="K624" s="20">
        <v>44981</v>
      </c>
      <c r="L624" s="20">
        <v>44985</v>
      </c>
      <c r="M624" s="20">
        <v>44985</v>
      </c>
      <c r="N624" s="2" t="s">
        <v>213</v>
      </c>
      <c r="O624" s="2" t="s">
        <v>40</v>
      </c>
      <c r="P624" s="2" t="s">
        <v>34</v>
      </c>
      <c r="Q624" s="2">
        <f t="shared" si="9"/>
        <v>1</v>
      </c>
    </row>
    <row r="625" spans="1:17" x14ac:dyDescent="0.25">
      <c r="A625" s="2" t="s">
        <v>1856</v>
      </c>
      <c r="B625" s="2" t="s">
        <v>1857</v>
      </c>
      <c r="C625" s="2" t="s">
        <v>30</v>
      </c>
      <c r="D625" s="2" t="s">
        <v>31</v>
      </c>
      <c r="E625" s="2" t="s">
        <v>205</v>
      </c>
      <c r="F625" s="2">
        <v>48.031999999999996</v>
      </c>
      <c r="G625" s="2" t="s">
        <v>206</v>
      </c>
      <c r="H625" s="2">
        <v>80</v>
      </c>
      <c r="I625" s="2">
        <v>38.425600000000003</v>
      </c>
      <c r="J625" s="2" t="s">
        <v>52</v>
      </c>
      <c r="K625" s="20">
        <v>44985</v>
      </c>
      <c r="L625" s="20">
        <v>44987</v>
      </c>
      <c r="M625" s="20">
        <v>44987</v>
      </c>
      <c r="N625" s="2" t="s">
        <v>207</v>
      </c>
      <c r="O625" s="2" t="s">
        <v>72</v>
      </c>
      <c r="P625" s="2" t="s">
        <v>73</v>
      </c>
      <c r="Q625" s="2">
        <f t="shared" si="9"/>
        <v>1</v>
      </c>
    </row>
    <row r="626" spans="1:17" x14ac:dyDescent="0.25">
      <c r="A626" s="2" t="s">
        <v>1859</v>
      </c>
      <c r="B626" s="2" t="s">
        <v>1860</v>
      </c>
      <c r="C626" s="2" t="s">
        <v>19</v>
      </c>
      <c r="D626" s="2" t="s">
        <v>62</v>
      </c>
      <c r="E626" s="2" t="s">
        <v>212</v>
      </c>
      <c r="F626" s="2">
        <v>246.16800000000001</v>
      </c>
      <c r="G626" s="2" t="s">
        <v>206</v>
      </c>
      <c r="H626" s="2">
        <v>100</v>
      </c>
      <c r="I626" s="2">
        <v>246.16800000000001</v>
      </c>
      <c r="J626" s="2" t="s">
        <v>52</v>
      </c>
      <c r="K626" s="20">
        <v>44997</v>
      </c>
      <c r="L626" s="20">
        <v>44997</v>
      </c>
      <c r="M626" s="20">
        <v>44997</v>
      </c>
      <c r="N626" s="2" t="s">
        <v>248</v>
      </c>
      <c r="O626" s="2" t="s">
        <v>40</v>
      </c>
      <c r="P626" s="2" t="s">
        <v>34</v>
      </c>
      <c r="Q626" s="2">
        <f t="shared" si="9"/>
        <v>1</v>
      </c>
    </row>
    <row r="627" spans="1:17" x14ac:dyDescent="0.25">
      <c r="A627" s="2" t="s">
        <v>1862</v>
      </c>
      <c r="B627" s="2" t="s">
        <v>1863</v>
      </c>
      <c r="C627" s="2" t="s">
        <v>19</v>
      </c>
      <c r="D627" s="2" t="s">
        <v>324</v>
      </c>
      <c r="E627" s="2" t="s">
        <v>205</v>
      </c>
      <c r="F627" s="2">
        <v>19.135999999999999</v>
      </c>
      <c r="G627" s="2" t="s">
        <v>206</v>
      </c>
      <c r="H627" s="2">
        <v>80</v>
      </c>
      <c r="I627" s="2">
        <v>15.3088</v>
      </c>
      <c r="J627" s="2" t="s">
        <v>52</v>
      </c>
      <c r="K627" s="20">
        <v>44998</v>
      </c>
      <c r="L627" s="20">
        <v>45002</v>
      </c>
      <c r="M627" s="20">
        <v>45002</v>
      </c>
      <c r="N627" s="2" t="s">
        <v>238</v>
      </c>
      <c r="O627" s="2" t="s">
        <v>33</v>
      </c>
      <c r="P627" s="2" t="s">
        <v>34</v>
      </c>
      <c r="Q627" s="2">
        <f t="shared" si="9"/>
        <v>1</v>
      </c>
    </row>
    <row r="628" spans="1:17" x14ac:dyDescent="0.25">
      <c r="A628" s="2" t="s">
        <v>1864</v>
      </c>
      <c r="B628" s="2" t="s">
        <v>1865</v>
      </c>
      <c r="C628" s="2" t="s">
        <v>19</v>
      </c>
      <c r="D628" s="2" t="s">
        <v>31</v>
      </c>
      <c r="E628" s="2" t="s">
        <v>205</v>
      </c>
      <c r="F628" s="2">
        <v>8</v>
      </c>
      <c r="G628" s="2" t="s">
        <v>206</v>
      </c>
      <c r="H628" s="2">
        <v>80</v>
      </c>
      <c r="I628" s="2">
        <v>6.4</v>
      </c>
      <c r="J628" s="2" t="s">
        <v>52</v>
      </c>
      <c r="K628" s="20">
        <v>44998</v>
      </c>
      <c r="L628" s="20">
        <v>45003</v>
      </c>
      <c r="M628" s="20">
        <v>45003</v>
      </c>
      <c r="N628" s="2" t="s">
        <v>213</v>
      </c>
      <c r="O628" s="2" t="s">
        <v>33</v>
      </c>
      <c r="P628" s="2" t="s">
        <v>34</v>
      </c>
      <c r="Q628" s="2">
        <f t="shared" si="9"/>
        <v>1</v>
      </c>
    </row>
    <row r="629" spans="1:17" x14ac:dyDescent="0.25">
      <c r="A629" s="2" t="s">
        <v>1867</v>
      </c>
      <c r="B629" s="2" t="s">
        <v>1868</v>
      </c>
      <c r="C629" s="2" t="s">
        <v>19</v>
      </c>
      <c r="D629" s="2" t="s">
        <v>230</v>
      </c>
      <c r="E629" s="2" t="s">
        <v>21</v>
      </c>
      <c r="F629" s="2">
        <v>361.10399999999998</v>
      </c>
      <c r="G629" s="2" t="s">
        <v>22</v>
      </c>
      <c r="H629" s="2">
        <v>0</v>
      </c>
      <c r="I629" s="2">
        <v>0</v>
      </c>
      <c r="J629" s="2" t="s">
        <v>52</v>
      </c>
      <c r="K629" s="20">
        <v>44999</v>
      </c>
      <c r="L629" s="20">
        <v>45002</v>
      </c>
      <c r="M629" s="20">
        <v>45002</v>
      </c>
      <c r="N629" s="2" t="s">
        <v>39</v>
      </c>
      <c r="O629" s="2" t="s">
        <v>54</v>
      </c>
      <c r="P629" s="2" t="s">
        <v>26</v>
      </c>
      <c r="Q629" s="2">
        <f t="shared" si="9"/>
        <v>1</v>
      </c>
    </row>
    <row r="630" spans="1:17" x14ac:dyDescent="0.25">
      <c r="A630" s="2" t="s">
        <v>1870</v>
      </c>
      <c r="B630" s="2" t="s">
        <v>1871</v>
      </c>
      <c r="C630" s="2" t="s">
        <v>19</v>
      </c>
      <c r="D630" s="2" t="s">
        <v>126</v>
      </c>
      <c r="E630" s="2" t="s">
        <v>212</v>
      </c>
      <c r="F630" s="2">
        <v>13.776</v>
      </c>
      <c r="G630" s="2" t="s">
        <v>206</v>
      </c>
      <c r="H630" s="2">
        <v>100</v>
      </c>
      <c r="I630" s="2">
        <v>13.776</v>
      </c>
      <c r="J630" s="2" t="s">
        <v>52</v>
      </c>
      <c r="K630" s="20">
        <v>45000</v>
      </c>
      <c r="L630" s="20">
        <v>45005</v>
      </c>
      <c r="M630" s="20">
        <v>45005</v>
      </c>
      <c r="N630" s="2" t="s">
        <v>220</v>
      </c>
      <c r="O630" s="2" t="s">
        <v>46</v>
      </c>
      <c r="P630" s="2" t="s">
        <v>47</v>
      </c>
      <c r="Q630" s="2">
        <f t="shared" si="9"/>
        <v>1</v>
      </c>
    </row>
    <row r="631" spans="1:17" x14ac:dyDescent="0.25">
      <c r="A631" s="2" t="s">
        <v>1872</v>
      </c>
      <c r="B631" s="2" t="s">
        <v>1873</v>
      </c>
      <c r="C631" s="2" t="s">
        <v>30</v>
      </c>
      <c r="D631" s="2" t="s">
        <v>62</v>
      </c>
      <c r="E631" s="2" t="s">
        <v>212</v>
      </c>
      <c r="F631" s="2">
        <v>87.84</v>
      </c>
      <c r="G631" s="2" t="s">
        <v>206</v>
      </c>
      <c r="H631" s="2">
        <v>100</v>
      </c>
      <c r="I631" s="2">
        <v>87.84</v>
      </c>
      <c r="J631" s="2" t="s">
        <v>52</v>
      </c>
      <c r="K631" s="20">
        <v>45000</v>
      </c>
      <c r="L631" s="20">
        <v>45005</v>
      </c>
      <c r="M631" s="20">
        <v>45005</v>
      </c>
      <c r="N631" s="2" t="s">
        <v>248</v>
      </c>
      <c r="O631" s="2" t="s">
        <v>33</v>
      </c>
      <c r="P631" s="2" t="s">
        <v>34</v>
      </c>
      <c r="Q631" s="2">
        <f t="shared" si="9"/>
        <v>1</v>
      </c>
    </row>
    <row r="632" spans="1:17" x14ac:dyDescent="0.25">
      <c r="A632" s="2" t="s">
        <v>1875</v>
      </c>
      <c r="B632" s="2" t="s">
        <v>1876</v>
      </c>
      <c r="C632" s="2" t="s">
        <v>19</v>
      </c>
      <c r="D632" s="2" t="s">
        <v>211</v>
      </c>
      <c r="E632" s="2" t="s">
        <v>212</v>
      </c>
      <c r="F632" s="2">
        <v>47.744</v>
      </c>
      <c r="G632" s="2" t="s">
        <v>206</v>
      </c>
      <c r="H632" s="2">
        <v>100</v>
      </c>
      <c r="I632" s="2">
        <v>47.744</v>
      </c>
      <c r="J632" s="2" t="s">
        <v>52</v>
      </c>
      <c r="K632" s="20">
        <v>45003</v>
      </c>
      <c r="L632" s="20">
        <v>45009</v>
      </c>
      <c r="M632" s="20">
        <v>45009</v>
      </c>
      <c r="N632" s="2" t="s">
        <v>234</v>
      </c>
      <c r="O632" s="2" t="s">
        <v>40</v>
      </c>
      <c r="P632" s="2" t="s">
        <v>34</v>
      </c>
      <c r="Q632" s="2">
        <f t="shared" si="9"/>
        <v>1</v>
      </c>
    </row>
    <row r="633" spans="1:17" x14ac:dyDescent="0.25">
      <c r="A633" s="2" t="s">
        <v>1878</v>
      </c>
      <c r="B633" s="2" t="s">
        <v>1879</v>
      </c>
      <c r="C633" s="2" t="s">
        <v>19</v>
      </c>
      <c r="D633" s="2" t="s">
        <v>96</v>
      </c>
      <c r="E633" s="2" t="s">
        <v>205</v>
      </c>
      <c r="F633" s="2">
        <v>15.423999999999999</v>
      </c>
      <c r="G633" s="2" t="s">
        <v>206</v>
      </c>
      <c r="H633" s="2">
        <v>80</v>
      </c>
      <c r="I633" s="2">
        <v>12.3392</v>
      </c>
      <c r="J633" s="2" t="s">
        <v>52</v>
      </c>
      <c r="K633" s="20">
        <v>45004</v>
      </c>
      <c r="L633" s="20">
        <v>45006</v>
      </c>
      <c r="M633" s="20">
        <v>45006</v>
      </c>
      <c r="N633" s="2" t="s">
        <v>213</v>
      </c>
      <c r="O633" s="2" t="s">
        <v>146</v>
      </c>
      <c r="P633" s="2" t="s">
        <v>73</v>
      </c>
      <c r="Q633" s="2">
        <f t="shared" si="9"/>
        <v>1</v>
      </c>
    </row>
    <row r="634" spans="1:17" x14ac:dyDescent="0.25">
      <c r="A634" s="2" t="s">
        <v>1881</v>
      </c>
      <c r="B634" s="2" t="s">
        <v>1882</v>
      </c>
      <c r="C634" s="2" t="s">
        <v>30</v>
      </c>
      <c r="D634" s="2" t="s">
        <v>62</v>
      </c>
      <c r="E634" s="2" t="s">
        <v>212</v>
      </c>
      <c r="F634" s="2">
        <v>2396.4</v>
      </c>
      <c r="G634" s="2" t="s">
        <v>206</v>
      </c>
      <c r="H634" s="2">
        <v>100</v>
      </c>
      <c r="I634" s="2">
        <v>2396.4</v>
      </c>
      <c r="J634" s="2" t="s">
        <v>52</v>
      </c>
      <c r="K634" s="20">
        <v>45006</v>
      </c>
      <c r="L634" s="20">
        <v>45011</v>
      </c>
      <c r="M634" s="20">
        <v>45011</v>
      </c>
      <c r="N634" s="2" t="s">
        <v>238</v>
      </c>
      <c r="O634" s="2" t="s">
        <v>54</v>
      </c>
      <c r="P634" s="2" t="s">
        <v>26</v>
      </c>
      <c r="Q634" s="2">
        <f t="shared" si="9"/>
        <v>1</v>
      </c>
    </row>
    <row r="635" spans="1:17" x14ac:dyDescent="0.25">
      <c r="A635" s="2" t="s">
        <v>1884</v>
      </c>
      <c r="B635" s="2" t="s">
        <v>1885</v>
      </c>
      <c r="C635" s="2" t="s">
        <v>19</v>
      </c>
      <c r="D635" s="2" t="s">
        <v>105</v>
      </c>
      <c r="E635" s="2" t="s">
        <v>205</v>
      </c>
      <c r="F635" s="2">
        <v>222.38399999999999</v>
      </c>
      <c r="G635" s="2" t="s">
        <v>206</v>
      </c>
      <c r="H635" s="2">
        <v>80</v>
      </c>
      <c r="I635" s="2">
        <v>177.90719999999999</v>
      </c>
      <c r="J635" s="2" t="s">
        <v>52</v>
      </c>
      <c r="K635" s="20">
        <v>45010</v>
      </c>
      <c r="L635" s="20">
        <v>45012</v>
      </c>
      <c r="M635" s="20">
        <v>45012</v>
      </c>
      <c r="N635" s="2" t="s">
        <v>220</v>
      </c>
      <c r="O635" s="2" t="s">
        <v>67</v>
      </c>
      <c r="P635" s="2" t="s">
        <v>68</v>
      </c>
      <c r="Q635" s="2">
        <f t="shared" si="9"/>
        <v>1</v>
      </c>
    </row>
    <row r="636" spans="1:17" x14ac:dyDescent="0.25">
      <c r="A636" s="2" t="s">
        <v>1887</v>
      </c>
      <c r="B636" s="2" t="s">
        <v>1888</v>
      </c>
      <c r="C636" s="2" t="s">
        <v>19</v>
      </c>
      <c r="D636" s="2" t="s">
        <v>139</v>
      </c>
      <c r="E636" s="2" t="s">
        <v>205</v>
      </c>
      <c r="F636" s="2">
        <v>19.36</v>
      </c>
      <c r="G636" s="2" t="s">
        <v>206</v>
      </c>
      <c r="H636" s="2">
        <v>80</v>
      </c>
      <c r="I636" s="2">
        <v>15.488</v>
      </c>
      <c r="J636" s="2" t="s">
        <v>52</v>
      </c>
      <c r="K636" s="20">
        <v>45011</v>
      </c>
      <c r="L636" s="20">
        <v>45013</v>
      </c>
      <c r="M636" s="20">
        <v>45013</v>
      </c>
      <c r="N636" s="2" t="s">
        <v>234</v>
      </c>
      <c r="O636" s="2" t="s">
        <v>46</v>
      </c>
      <c r="P636" s="2" t="s">
        <v>47</v>
      </c>
      <c r="Q636" s="2">
        <f t="shared" si="9"/>
        <v>1</v>
      </c>
    </row>
    <row r="637" spans="1:17" x14ac:dyDescent="0.25">
      <c r="A637" s="2" t="s">
        <v>1889</v>
      </c>
      <c r="B637" s="2" t="s">
        <v>1890</v>
      </c>
      <c r="C637" s="2" t="s">
        <v>19</v>
      </c>
      <c r="D637" s="2" t="s">
        <v>186</v>
      </c>
      <c r="E637" s="2" t="s">
        <v>205</v>
      </c>
      <c r="F637" s="2">
        <v>484.70400000000001</v>
      </c>
      <c r="G637" s="2" t="s">
        <v>206</v>
      </c>
      <c r="H637" s="2">
        <v>80</v>
      </c>
      <c r="I637" s="2">
        <v>387.76320000000004</v>
      </c>
      <c r="J637" s="2" t="s">
        <v>52</v>
      </c>
      <c r="K637" s="20">
        <v>45011</v>
      </c>
      <c r="L637" s="20">
        <v>45011</v>
      </c>
      <c r="M637" s="20">
        <v>45011</v>
      </c>
      <c r="N637" s="2" t="s">
        <v>248</v>
      </c>
      <c r="O637" s="2" t="s">
        <v>67</v>
      </c>
      <c r="P637" s="2" t="s">
        <v>68</v>
      </c>
      <c r="Q637" s="2">
        <f t="shared" si="9"/>
        <v>1</v>
      </c>
    </row>
    <row r="638" spans="1:17" x14ac:dyDescent="0.25">
      <c r="A638" s="2" t="s">
        <v>1892</v>
      </c>
      <c r="B638" s="2" t="s">
        <v>1893</v>
      </c>
      <c r="C638" s="2" t="s">
        <v>19</v>
      </c>
      <c r="D638" s="2" t="s">
        <v>211</v>
      </c>
      <c r="E638" s="2" t="s">
        <v>212</v>
      </c>
      <c r="F638" s="2">
        <v>5.5839999999999996</v>
      </c>
      <c r="G638" s="2" t="s">
        <v>206</v>
      </c>
      <c r="H638" s="2">
        <v>100</v>
      </c>
      <c r="I638" s="2">
        <v>5.5839999999999996</v>
      </c>
      <c r="J638" s="2" t="s">
        <v>52</v>
      </c>
      <c r="K638" s="20">
        <v>45012</v>
      </c>
      <c r="L638" s="20">
        <v>45016</v>
      </c>
      <c r="M638" s="20">
        <v>45016</v>
      </c>
      <c r="N638" s="2" t="s">
        <v>207</v>
      </c>
      <c r="O638" s="2" t="s">
        <v>97</v>
      </c>
      <c r="P638" s="2" t="s">
        <v>68</v>
      </c>
      <c r="Q638" s="2">
        <f t="shared" si="9"/>
        <v>1</v>
      </c>
    </row>
    <row r="639" spans="1:17" x14ac:dyDescent="0.25">
      <c r="A639" s="2" t="s">
        <v>1895</v>
      </c>
      <c r="B639" s="2" t="s">
        <v>1896</v>
      </c>
      <c r="C639" s="2" t="s">
        <v>19</v>
      </c>
      <c r="D639" s="2" t="s">
        <v>126</v>
      </c>
      <c r="E639" s="2" t="s">
        <v>212</v>
      </c>
      <c r="F639" s="2">
        <v>22.72</v>
      </c>
      <c r="G639" s="2" t="s">
        <v>206</v>
      </c>
      <c r="H639" s="2">
        <v>100</v>
      </c>
      <c r="I639" s="2">
        <v>22.72</v>
      </c>
      <c r="J639" s="2" t="s">
        <v>52</v>
      </c>
      <c r="K639" s="20">
        <v>45018</v>
      </c>
      <c r="L639" s="20">
        <v>45024</v>
      </c>
      <c r="M639" s="20">
        <v>45024</v>
      </c>
      <c r="N639" s="2" t="s">
        <v>207</v>
      </c>
      <c r="O639" s="2" t="s">
        <v>97</v>
      </c>
      <c r="P639" s="2" t="s">
        <v>68</v>
      </c>
      <c r="Q639" s="2">
        <f t="shared" si="9"/>
        <v>1</v>
      </c>
    </row>
    <row r="640" spans="1:17" x14ac:dyDescent="0.25">
      <c r="A640" s="2" t="s">
        <v>1897</v>
      </c>
      <c r="B640" s="2" t="s">
        <v>1898</v>
      </c>
      <c r="C640" s="2" t="s">
        <v>19</v>
      </c>
      <c r="D640" s="2" t="s">
        <v>211</v>
      </c>
      <c r="E640" s="2" t="s">
        <v>212</v>
      </c>
      <c r="F640" s="2">
        <v>2275.5</v>
      </c>
      <c r="G640" s="2" t="s">
        <v>206</v>
      </c>
      <c r="H640" s="2">
        <v>100</v>
      </c>
      <c r="I640" s="2">
        <v>2275.5</v>
      </c>
      <c r="J640" s="2" t="s">
        <v>52</v>
      </c>
      <c r="K640" s="20">
        <v>45020</v>
      </c>
      <c r="L640" s="20">
        <v>45024</v>
      </c>
      <c r="M640" s="20">
        <v>45024</v>
      </c>
      <c r="N640" s="2" t="s">
        <v>213</v>
      </c>
      <c r="O640" s="2" t="s">
        <v>72</v>
      </c>
      <c r="P640" s="2" t="s">
        <v>73</v>
      </c>
      <c r="Q640" s="2">
        <f t="shared" si="9"/>
        <v>1</v>
      </c>
    </row>
    <row r="641" spans="1:17" x14ac:dyDescent="0.25">
      <c r="A641" s="2" t="s">
        <v>1900</v>
      </c>
      <c r="B641" s="2" t="s">
        <v>1901</v>
      </c>
      <c r="C641" s="2" t="s">
        <v>30</v>
      </c>
      <c r="D641" s="2" t="s">
        <v>126</v>
      </c>
      <c r="E641" s="2" t="s">
        <v>212</v>
      </c>
      <c r="F641" s="2">
        <v>49.76</v>
      </c>
      <c r="G641" s="2" t="s">
        <v>206</v>
      </c>
      <c r="H641" s="2">
        <v>100</v>
      </c>
      <c r="I641" s="2">
        <v>49.76</v>
      </c>
      <c r="J641" s="2" t="s">
        <v>52</v>
      </c>
      <c r="K641" s="20">
        <v>45023</v>
      </c>
      <c r="L641" s="20">
        <v>45027</v>
      </c>
      <c r="M641" s="20">
        <v>45027</v>
      </c>
      <c r="N641" s="2" t="s">
        <v>248</v>
      </c>
      <c r="O641" s="2" t="s">
        <v>25</v>
      </c>
      <c r="P641" s="2" t="s">
        <v>26</v>
      </c>
      <c r="Q641" s="2">
        <f t="shared" si="9"/>
        <v>1</v>
      </c>
    </row>
    <row r="642" spans="1:17" x14ac:dyDescent="0.25">
      <c r="A642" s="2" t="s">
        <v>1903</v>
      </c>
      <c r="B642" s="2" t="s">
        <v>1904</v>
      </c>
      <c r="C642" s="2" t="s">
        <v>19</v>
      </c>
      <c r="D642" s="2" t="s">
        <v>119</v>
      </c>
      <c r="E642" s="2" t="s">
        <v>212</v>
      </c>
      <c r="F642" s="2">
        <v>629.099999999999</v>
      </c>
      <c r="G642" s="2" t="s">
        <v>206</v>
      </c>
      <c r="H642" s="2">
        <v>100</v>
      </c>
      <c r="I642" s="2">
        <v>629.099999999999</v>
      </c>
      <c r="J642" s="2" t="s">
        <v>52</v>
      </c>
      <c r="K642" s="20">
        <v>45024</v>
      </c>
      <c r="L642" s="20">
        <v>45029</v>
      </c>
      <c r="M642" s="20">
        <v>45029</v>
      </c>
      <c r="N642" s="2" t="s">
        <v>248</v>
      </c>
      <c r="O642" s="2" t="s">
        <v>72</v>
      </c>
      <c r="P642" s="2" t="s">
        <v>73</v>
      </c>
      <c r="Q642" s="2">
        <f t="shared" ref="Q642:Q705" si="10">COUNTIF($A$2:$A$1778,A642)</f>
        <v>1</v>
      </c>
    </row>
    <row r="643" spans="1:17" x14ac:dyDescent="0.25">
      <c r="A643" s="2" t="s">
        <v>1906</v>
      </c>
      <c r="B643" s="2" t="s">
        <v>1907</v>
      </c>
      <c r="C643" s="2" t="s">
        <v>19</v>
      </c>
      <c r="D643" s="2" t="s">
        <v>105</v>
      </c>
      <c r="E643" s="2" t="s">
        <v>205</v>
      </c>
      <c r="F643" s="2">
        <v>32.064</v>
      </c>
      <c r="G643" s="2" t="s">
        <v>206</v>
      </c>
      <c r="H643" s="2">
        <v>80</v>
      </c>
      <c r="I643" s="2">
        <v>25.651200000000003</v>
      </c>
      <c r="J643" s="2" t="s">
        <v>52</v>
      </c>
      <c r="K643" s="20">
        <v>45024</v>
      </c>
      <c r="L643" s="20">
        <v>45026</v>
      </c>
      <c r="M643" s="20">
        <v>45026</v>
      </c>
      <c r="N643" s="2" t="s">
        <v>248</v>
      </c>
      <c r="O643" s="2" t="s">
        <v>25</v>
      </c>
      <c r="P643" s="2" t="s">
        <v>26</v>
      </c>
      <c r="Q643" s="2">
        <f t="shared" si="10"/>
        <v>1</v>
      </c>
    </row>
    <row r="644" spans="1:17" x14ac:dyDescent="0.25">
      <c r="A644" s="2" t="s">
        <v>1909</v>
      </c>
      <c r="B644" s="2" t="s">
        <v>1910</v>
      </c>
      <c r="C644" s="2" t="s">
        <v>30</v>
      </c>
      <c r="D644" s="2" t="s">
        <v>154</v>
      </c>
      <c r="E644" s="2" t="s">
        <v>212</v>
      </c>
      <c r="F644" s="2">
        <v>18.495999999999999</v>
      </c>
      <c r="G644" s="2" t="s">
        <v>206</v>
      </c>
      <c r="H644" s="2">
        <v>100</v>
      </c>
      <c r="I644" s="2">
        <v>18.495999999999999</v>
      </c>
      <c r="J644" s="2" t="s">
        <v>52</v>
      </c>
      <c r="K644" s="20">
        <v>45025</v>
      </c>
      <c r="L644" s="20">
        <v>45031</v>
      </c>
      <c r="M644" s="20">
        <v>45031</v>
      </c>
      <c r="N644" s="2" t="s">
        <v>248</v>
      </c>
      <c r="O644" s="2" t="s">
        <v>33</v>
      </c>
      <c r="P644" s="2" t="s">
        <v>34</v>
      </c>
      <c r="Q644" s="2">
        <f t="shared" si="10"/>
        <v>1</v>
      </c>
    </row>
    <row r="645" spans="1:17" x14ac:dyDescent="0.25">
      <c r="A645" s="2" t="s">
        <v>1912</v>
      </c>
      <c r="B645" s="2" t="s">
        <v>1913</v>
      </c>
      <c r="C645" s="2" t="s">
        <v>19</v>
      </c>
      <c r="D645" s="2" t="s">
        <v>164</v>
      </c>
      <c r="E645" s="2" t="s">
        <v>21</v>
      </c>
      <c r="F645" s="2">
        <v>250.416</v>
      </c>
      <c r="G645" s="2" t="s">
        <v>22</v>
      </c>
      <c r="H645" s="2">
        <v>0</v>
      </c>
      <c r="I645" s="2">
        <v>0</v>
      </c>
      <c r="J645" s="2" t="s">
        <v>52</v>
      </c>
      <c r="K645" s="20">
        <v>45029</v>
      </c>
      <c r="L645" s="20">
        <v>45031</v>
      </c>
      <c r="M645" s="20">
        <v>45031</v>
      </c>
      <c r="N645" s="2" t="s">
        <v>24</v>
      </c>
      <c r="O645" s="2" t="s">
        <v>72</v>
      </c>
      <c r="P645" s="2" t="s">
        <v>73</v>
      </c>
      <c r="Q645" s="2">
        <f t="shared" si="10"/>
        <v>1</v>
      </c>
    </row>
    <row r="646" spans="1:17" x14ac:dyDescent="0.25">
      <c r="A646" s="2" t="s">
        <v>1915</v>
      </c>
      <c r="B646" s="2" t="s">
        <v>1916</v>
      </c>
      <c r="C646" s="2" t="s">
        <v>19</v>
      </c>
      <c r="D646" s="2" t="s">
        <v>211</v>
      </c>
      <c r="E646" s="2" t="s">
        <v>212</v>
      </c>
      <c r="F646" s="2">
        <v>1115.17</v>
      </c>
      <c r="G646" s="2" t="s">
        <v>206</v>
      </c>
      <c r="H646" s="2">
        <v>100</v>
      </c>
      <c r="I646" s="2">
        <v>1115.17</v>
      </c>
      <c r="J646" s="2" t="s">
        <v>52</v>
      </c>
      <c r="K646" s="20">
        <v>45034</v>
      </c>
      <c r="L646" s="20">
        <v>45038</v>
      </c>
      <c r="M646" s="20">
        <v>45038</v>
      </c>
      <c r="N646" s="2" t="s">
        <v>220</v>
      </c>
      <c r="O646" s="2" t="s">
        <v>146</v>
      </c>
      <c r="P646" s="2" t="s">
        <v>73</v>
      </c>
      <c r="Q646" s="2">
        <f t="shared" si="10"/>
        <v>1</v>
      </c>
    </row>
    <row r="647" spans="1:17" x14ac:dyDescent="0.25">
      <c r="A647" s="2" t="s">
        <v>1918</v>
      </c>
      <c r="B647" s="2" t="s">
        <v>1919</v>
      </c>
      <c r="C647" s="2" t="s">
        <v>19</v>
      </c>
      <c r="D647" s="2" t="s">
        <v>370</v>
      </c>
      <c r="E647" s="2" t="s">
        <v>205</v>
      </c>
      <c r="F647" s="2">
        <v>835.17</v>
      </c>
      <c r="G647" s="2" t="s">
        <v>206</v>
      </c>
      <c r="H647" s="2">
        <v>80</v>
      </c>
      <c r="I647" s="2">
        <v>668.13599999999997</v>
      </c>
      <c r="J647" s="2" t="s">
        <v>52</v>
      </c>
      <c r="K647" s="20">
        <v>45039</v>
      </c>
      <c r="L647" s="20">
        <v>45043</v>
      </c>
      <c r="M647" s="20">
        <v>45043</v>
      </c>
      <c r="N647" s="2" t="s">
        <v>220</v>
      </c>
      <c r="O647" s="2" t="s">
        <v>46</v>
      </c>
      <c r="P647" s="2" t="s">
        <v>47</v>
      </c>
      <c r="Q647" s="2">
        <f t="shared" si="10"/>
        <v>1</v>
      </c>
    </row>
    <row r="648" spans="1:17" x14ac:dyDescent="0.25">
      <c r="A648" s="2" t="s">
        <v>1921</v>
      </c>
      <c r="B648" s="2" t="s">
        <v>1922</v>
      </c>
      <c r="C648" s="2" t="s">
        <v>30</v>
      </c>
      <c r="D648" s="2" t="s">
        <v>62</v>
      </c>
      <c r="E648" s="2" t="s">
        <v>212</v>
      </c>
      <c r="F648" s="2">
        <v>440.91</v>
      </c>
      <c r="G648" s="2" t="s">
        <v>206</v>
      </c>
      <c r="H648" s="2">
        <v>100</v>
      </c>
      <c r="I648" s="2">
        <v>440.91</v>
      </c>
      <c r="J648" s="2" t="s">
        <v>52</v>
      </c>
      <c r="K648" s="20">
        <v>45039</v>
      </c>
      <c r="L648" s="20">
        <v>45043</v>
      </c>
      <c r="M648" s="20">
        <v>45043</v>
      </c>
      <c r="N648" s="2" t="s">
        <v>207</v>
      </c>
      <c r="O648" s="2" t="s">
        <v>82</v>
      </c>
      <c r="P648" s="2" t="s">
        <v>47</v>
      </c>
      <c r="Q648" s="2">
        <f t="shared" si="10"/>
        <v>1</v>
      </c>
    </row>
    <row r="649" spans="1:17" x14ac:dyDescent="0.25">
      <c r="A649" s="2" t="s">
        <v>1924</v>
      </c>
      <c r="B649" s="2" t="s">
        <v>1925</v>
      </c>
      <c r="C649" s="2" t="s">
        <v>30</v>
      </c>
      <c r="D649" s="2" t="s">
        <v>324</v>
      </c>
      <c r="E649" s="2" t="s">
        <v>212</v>
      </c>
      <c r="F649" s="2">
        <v>7.7</v>
      </c>
      <c r="G649" s="2" t="s">
        <v>206</v>
      </c>
      <c r="H649" s="2">
        <v>100</v>
      </c>
      <c r="I649" s="2">
        <v>7.7</v>
      </c>
      <c r="J649" s="2" t="s">
        <v>52</v>
      </c>
      <c r="K649" s="20">
        <v>45043</v>
      </c>
      <c r="L649" s="20">
        <v>45048</v>
      </c>
      <c r="M649" s="20">
        <v>45048</v>
      </c>
      <c r="N649" s="2" t="s">
        <v>207</v>
      </c>
      <c r="O649" s="2" t="s">
        <v>97</v>
      </c>
      <c r="P649" s="2" t="s">
        <v>68</v>
      </c>
      <c r="Q649" s="2">
        <f t="shared" si="10"/>
        <v>1</v>
      </c>
    </row>
    <row r="650" spans="1:17" x14ac:dyDescent="0.25">
      <c r="A650" s="2" t="s">
        <v>1927</v>
      </c>
      <c r="B650" s="2" t="s">
        <v>1928</v>
      </c>
      <c r="C650" s="2" t="s">
        <v>30</v>
      </c>
      <c r="D650" s="2" t="s">
        <v>370</v>
      </c>
      <c r="E650" s="2" t="s">
        <v>212</v>
      </c>
      <c r="F650" s="2">
        <v>151.62</v>
      </c>
      <c r="G650" s="2" t="s">
        <v>206</v>
      </c>
      <c r="H650" s="2">
        <v>100</v>
      </c>
      <c r="I650" s="2">
        <v>151.62</v>
      </c>
      <c r="J650" s="2" t="s">
        <v>52</v>
      </c>
      <c r="K650" s="20">
        <v>45047</v>
      </c>
      <c r="L650" s="20">
        <v>45051</v>
      </c>
      <c r="M650" s="20">
        <v>45051</v>
      </c>
      <c r="N650" s="2" t="s">
        <v>213</v>
      </c>
      <c r="O650" s="2" t="s">
        <v>40</v>
      </c>
      <c r="P650" s="2" t="s">
        <v>34</v>
      </c>
      <c r="Q650" s="2">
        <f t="shared" si="10"/>
        <v>1</v>
      </c>
    </row>
    <row r="651" spans="1:17" x14ac:dyDescent="0.25">
      <c r="A651" s="2" t="s">
        <v>1930</v>
      </c>
      <c r="B651" s="2" t="s">
        <v>1931</v>
      </c>
      <c r="C651" s="2" t="s">
        <v>30</v>
      </c>
      <c r="D651" s="2" t="s">
        <v>86</v>
      </c>
      <c r="E651" s="2" t="s">
        <v>21</v>
      </c>
      <c r="F651" s="2">
        <v>1691.6080000000002</v>
      </c>
      <c r="G651" s="2" t="s">
        <v>22</v>
      </c>
      <c r="H651" s="2">
        <v>0</v>
      </c>
      <c r="I651" s="2">
        <v>0</v>
      </c>
      <c r="J651" s="2" t="s">
        <v>52</v>
      </c>
      <c r="K651" s="20">
        <v>45052</v>
      </c>
      <c r="L651" s="20">
        <v>45053</v>
      </c>
      <c r="M651" s="20">
        <v>45053</v>
      </c>
      <c r="N651" s="2" t="s">
        <v>53</v>
      </c>
      <c r="O651" s="2" t="s">
        <v>67</v>
      </c>
      <c r="P651" s="2" t="s">
        <v>68</v>
      </c>
      <c r="Q651" s="2">
        <f t="shared" si="10"/>
        <v>1</v>
      </c>
    </row>
    <row r="652" spans="1:17" x14ac:dyDescent="0.25">
      <c r="A652" s="2" t="s">
        <v>1932</v>
      </c>
      <c r="B652" s="2" t="s">
        <v>1933</v>
      </c>
      <c r="C652" s="2" t="s">
        <v>19</v>
      </c>
      <c r="D652" s="2" t="s">
        <v>345</v>
      </c>
      <c r="E652" s="2" t="s">
        <v>205</v>
      </c>
      <c r="F652" s="2">
        <v>6.2640000000000002</v>
      </c>
      <c r="G652" s="2" t="s">
        <v>206</v>
      </c>
      <c r="H652" s="2">
        <v>80</v>
      </c>
      <c r="I652" s="2">
        <v>5.0112000000000005</v>
      </c>
      <c r="J652" s="2" t="s">
        <v>52</v>
      </c>
      <c r="K652" s="20">
        <v>45056</v>
      </c>
      <c r="L652" s="20">
        <v>45059</v>
      </c>
      <c r="M652" s="20">
        <v>45059</v>
      </c>
      <c r="N652" s="2" t="s">
        <v>248</v>
      </c>
      <c r="O652" s="2" t="s">
        <v>67</v>
      </c>
      <c r="P652" s="2" t="s">
        <v>68</v>
      </c>
      <c r="Q652" s="2">
        <f t="shared" si="10"/>
        <v>1</v>
      </c>
    </row>
    <row r="653" spans="1:17" x14ac:dyDescent="0.25">
      <c r="A653" s="2" t="s">
        <v>1934</v>
      </c>
      <c r="B653" s="2" t="s">
        <v>1935</v>
      </c>
      <c r="C653" s="2" t="s">
        <v>19</v>
      </c>
      <c r="D653" s="2" t="s">
        <v>38</v>
      </c>
      <c r="E653" s="2" t="s">
        <v>205</v>
      </c>
      <c r="F653" s="2">
        <v>65.5</v>
      </c>
      <c r="G653" s="2" t="s">
        <v>206</v>
      </c>
      <c r="H653" s="2">
        <v>80</v>
      </c>
      <c r="I653" s="2">
        <v>52.400000000000006</v>
      </c>
      <c r="J653" s="2" t="s">
        <v>52</v>
      </c>
      <c r="K653" s="20">
        <v>45057</v>
      </c>
      <c r="L653" s="20">
        <v>45060</v>
      </c>
      <c r="M653" s="20">
        <v>45060</v>
      </c>
      <c r="N653" s="2" t="s">
        <v>207</v>
      </c>
      <c r="O653" s="2" t="s">
        <v>40</v>
      </c>
      <c r="P653" s="2" t="s">
        <v>34</v>
      </c>
      <c r="Q653" s="2">
        <f t="shared" si="10"/>
        <v>1</v>
      </c>
    </row>
    <row r="654" spans="1:17" x14ac:dyDescent="0.25">
      <c r="A654" s="2" t="s">
        <v>1937</v>
      </c>
      <c r="B654" s="2" t="s">
        <v>1938</v>
      </c>
      <c r="C654" s="2" t="s">
        <v>19</v>
      </c>
      <c r="D654" s="2" t="s">
        <v>345</v>
      </c>
      <c r="E654" s="2" t="s">
        <v>205</v>
      </c>
      <c r="F654" s="2">
        <v>1036.624</v>
      </c>
      <c r="G654" s="2" t="s">
        <v>206</v>
      </c>
      <c r="H654" s="2">
        <v>80</v>
      </c>
      <c r="I654" s="2">
        <v>829.29920000000004</v>
      </c>
      <c r="J654" s="2" t="s">
        <v>52</v>
      </c>
      <c r="K654" s="20">
        <v>45059</v>
      </c>
      <c r="L654" s="20">
        <v>45064</v>
      </c>
      <c r="M654" s="20">
        <v>45064</v>
      </c>
      <c r="N654" s="2" t="s">
        <v>213</v>
      </c>
      <c r="O654" s="2" t="s">
        <v>82</v>
      </c>
      <c r="P654" s="2" t="s">
        <v>47</v>
      </c>
      <c r="Q654" s="2">
        <f t="shared" si="10"/>
        <v>1</v>
      </c>
    </row>
    <row r="655" spans="1:17" x14ac:dyDescent="0.25">
      <c r="A655" s="2" t="s">
        <v>1940</v>
      </c>
      <c r="B655" s="2" t="s">
        <v>1941</v>
      </c>
      <c r="C655" s="2" t="s">
        <v>30</v>
      </c>
      <c r="D655" s="2" t="s">
        <v>154</v>
      </c>
      <c r="E655" s="2" t="s">
        <v>212</v>
      </c>
      <c r="F655" s="2">
        <v>24.7</v>
      </c>
      <c r="G655" s="2" t="s">
        <v>206</v>
      </c>
      <c r="H655" s="2">
        <v>100</v>
      </c>
      <c r="I655" s="2">
        <v>24.7</v>
      </c>
      <c r="J655" s="2" t="s">
        <v>52</v>
      </c>
      <c r="K655" s="20">
        <v>45059</v>
      </c>
      <c r="L655" s="20">
        <v>45064</v>
      </c>
      <c r="M655" s="20">
        <v>45064</v>
      </c>
      <c r="N655" s="2" t="s">
        <v>220</v>
      </c>
      <c r="O655" s="2" t="s">
        <v>67</v>
      </c>
      <c r="P655" s="2" t="s">
        <v>68</v>
      </c>
      <c r="Q655" s="2">
        <f t="shared" si="10"/>
        <v>1</v>
      </c>
    </row>
    <row r="656" spans="1:17" x14ac:dyDescent="0.25">
      <c r="A656" s="2" t="s">
        <v>1942</v>
      </c>
      <c r="B656" s="2" t="s">
        <v>1943</v>
      </c>
      <c r="C656" s="2" t="s">
        <v>30</v>
      </c>
      <c r="D656" s="2" t="s">
        <v>115</v>
      </c>
      <c r="E656" s="2" t="s">
        <v>205</v>
      </c>
      <c r="F656" s="2">
        <v>179.97</v>
      </c>
      <c r="G656" s="2" t="s">
        <v>206</v>
      </c>
      <c r="H656" s="2">
        <v>80</v>
      </c>
      <c r="I656" s="2">
        <v>143.976</v>
      </c>
      <c r="J656" s="2" t="s">
        <v>52</v>
      </c>
      <c r="K656" s="20">
        <v>45066</v>
      </c>
      <c r="L656" s="20">
        <v>45071</v>
      </c>
      <c r="M656" s="20">
        <v>45071</v>
      </c>
      <c r="N656" s="2" t="s">
        <v>220</v>
      </c>
      <c r="O656" s="2" t="s">
        <v>97</v>
      </c>
      <c r="P656" s="2" t="s">
        <v>68</v>
      </c>
      <c r="Q656" s="2">
        <f t="shared" si="10"/>
        <v>1</v>
      </c>
    </row>
    <row r="657" spans="1:17" x14ac:dyDescent="0.25">
      <c r="A657" s="2" t="s">
        <v>1945</v>
      </c>
      <c r="B657" s="2" t="s">
        <v>1946</v>
      </c>
      <c r="C657" s="2" t="s">
        <v>19</v>
      </c>
      <c r="D657" s="2" t="s">
        <v>154</v>
      </c>
      <c r="E657" s="2" t="s">
        <v>205</v>
      </c>
      <c r="F657" s="2">
        <v>186.54</v>
      </c>
      <c r="G657" s="2" t="s">
        <v>206</v>
      </c>
      <c r="H657" s="2">
        <v>80</v>
      </c>
      <c r="I657" s="2">
        <v>149.232</v>
      </c>
      <c r="J657" s="2" t="s">
        <v>52</v>
      </c>
      <c r="K657" s="20">
        <v>45069</v>
      </c>
      <c r="L657" s="20">
        <v>45076</v>
      </c>
      <c r="M657" s="20">
        <v>45076</v>
      </c>
      <c r="N657" s="2" t="s">
        <v>238</v>
      </c>
      <c r="O657" s="2" t="s">
        <v>82</v>
      </c>
      <c r="P657" s="2" t="s">
        <v>47</v>
      </c>
      <c r="Q657" s="2">
        <f t="shared" si="10"/>
        <v>1</v>
      </c>
    </row>
    <row r="658" spans="1:17" x14ac:dyDescent="0.25">
      <c r="A658" s="2" t="s">
        <v>1948</v>
      </c>
      <c r="B658" s="2" t="s">
        <v>1949</v>
      </c>
      <c r="C658" s="2" t="s">
        <v>30</v>
      </c>
      <c r="D658" s="2" t="s">
        <v>81</v>
      </c>
      <c r="E658" s="2" t="s">
        <v>212</v>
      </c>
      <c r="F658" s="2">
        <v>95.975999999999999</v>
      </c>
      <c r="G658" s="2" t="s">
        <v>206</v>
      </c>
      <c r="H658" s="2">
        <v>100</v>
      </c>
      <c r="I658" s="2">
        <v>95.975999999999999</v>
      </c>
      <c r="J658" s="2" t="s">
        <v>52</v>
      </c>
      <c r="K658" s="20">
        <v>45070</v>
      </c>
      <c r="L658" s="20">
        <v>45074</v>
      </c>
      <c r="M658" s="20">
        <v>45074</v>
      </c>
      <c r="N658" s="2" t="s">
        <v>220</v>
      </c>
      <c r="O658" s="2" t="s">
        <v>67</v>
      </c>
      <c r="P658" s="2" t="s">
        <v>68</v>
      </c>
      <c r="Q658" s="2">
        <f t="shared" si="10"/>
        <v>1</v>
      </c>
    </row>
    <row r="659" spans="1:17" x14ac:dyDescent="0.25">
      <c r="A659" s="2" t="s">
        <v>1951</v>
      </c>
      <c r="B659" s="2" t="s">
        <v>1952</v>
      </c>
      <c r="C659" s="2" t="s">
        <v>19</v>
      </c>
      <c r="D659" s="2" t="s">
        <v>96</v>
      </c>
      <c r="E659" s="2" t="s">
        <v>205</v>
      </c>
      <c r="F659" s="2">
        <v>249.95</v>
      </c>
      <c r="G659" s="2" t="s">
        <v>206</v>
      </c>
      <c r="H659" s="2">
        <v>80</v>
      </c>
      <c r="I659" s="2">
        <v>199.96</v>
      </c>
      <c r="J659" s="2" t="s">
        <v>52</v>
      </c>
      <c r="K659" s="20">
        <v>45070</v>
      </c>
      <c r="L659" s="20">
        <v>45075</v>
      </c>
      <c r="M659" s="20">
        <v>45075</v>
      </c>
      <c r="N659" s="2" t="s">
        <v>213</v>
      </c>
      <c r="O659" s="2" t="s">
        <v>82</v>
      </c>
      <c r="P659" s="2" t="s">
        <v>47</v>
      </c>
      <c r="Q659" s="2">
        <f t="shared" si="10"/>
        <v>1</v>
      </c>
    </row>
    <row r="660" spans="1:17" x14ac:dyDescent="0.25">
      <c r="A660" s="2" t="s">
        <v>1953</v>
      </c>
      <c r="B660" s="2" t="s">
        <v>1954</v>
      </c>
      <c r="C660" s="2" t="s">
        <v>30</v>
      </c>
      <c r="D660" s="2" t="s">
        <v>31</v>
      </c>
      <c r="E660" s="2" t="s">
        <v>205</v>
      </c>
      <c r="F660" s="2">
        <v>23.988</v>
      </c>
      <c r="G660" s="2" t="s">
        <v>206</v>
      </c>
      <c r="H660" s="2">
        <v>80</v>
      </c>
      <c r="I660" s="2">
        <v>19.1904</v>
      </c>
      <c r="J660" s="2" t="s">
        <v>52</v>
      </c>
      <c r="K660" s="20">
        <v>45075</v>
      </c>
      <c r="L660" s="20">
        <v>45075</v>
      </c>
      <c r="M660" s="20">
        <v>45075</v>
      </c>
      <c r="N660" s="2" t="s">
        <v>234</v>
      </c>
      <c r="O660" s="2" t="s">
        <v>25</v>
      </c>
      <c r="P660" s="2" t="s">
        <v>26</v>
      </c>
      <c r="Q660" s="2">
        <f t="shared" si="10"/>
        <v>1</v>
      </c>
    </row>
    <row r="661" spans="1:17" x14ac:dyDescent="0.25">
      <c r="A661" s="2" t="s">
        <v>1956</v>
      </c>
      <c r="B661" s="2" t="s">
        <v>1957</v>
      </c>
      <c r="C661" s="2" t="s">
        <v>19</v>
      </c>
      <c r="D661" s="2" t="s">
        <v>139</v>
      </c>
      <c r="E661" s="2" t="s">
        <v>212</v>
      </c>
      <c r="F661" s="2">
        <v>22.72</v>
      </c>
      <c r="G661" s="2" t="s">
        <v>206</v>
      </c>
      <c r="H661" s="2">
        <v>100</v>
      </c>
      <c r="I661" s="2">
        <v>22.72</v>
      </c>
      <c r="J661" s="2" t="s">
        <v>52</v>
      </c>
      <c r="K661" s="20">
        <v>45082</v>
      </c>
      <c r="L661" s="20">
        <v>45084</v>
      </c>
      <c r="M661" s="20">
        <v>45084</v>
      </c>
      <c r="N661" s="2" t="s">
        <v>248</v>
      </c>
      <c r="O661" s="2" t="s">
        <v>46</v>
      </c>
      <c r="P661" s="2" t="s">
        <v>47</v>
      </c>
      <c r="Q661" s="2">
        <f t="shared" si="10"/>
        <v>1</v>
      </c>
    </row>
    <row r="662" spans="1:17" x14ac:dyDescent="0.25">
      <c r="A662" s="2" t="s">
        <v>1959</v>
      </c>
      <c r="B662" s="2" t="s">
        <v>1960</v>
      </c>
      <c r="C662" s="2" t="s">
        <v>19</v>
      </c>
      <c r="D662" s="2" t="s">
        <v>150</v>
      </c>
      <c r="E662" s="2" t="s">
        <v>205</v>
      </c>
      <c r="F662" s="2">
        <v>9.5549999999999997</v>
      </c>
      <c r="G662" s="2" t="s">
        <v>206</v>
      </c>
      <c r="H662" s="2">
        <v>80</v>
      </c>
      <c r="I662" s="2">
        <v>7.6440000000000001</v>
      </c>
      <c r="J662" s="2" t="s">
        <v>52</v>
      </c>
      <c r="K662" s="20">
        <v>45083</v>
      </c>
      <c r="L662" s="20">
        <v>45087</v>
      </c>
      <c r="M662" s="20">
        <v>45087</v>
      </c>
      <c r="N662" s="2" t="s">
        <v>234</v>
      </c>
      <c r="O662" s="2" t="s">
        <v>146</v>
      </c>
      <c r="P662" s="2" t="s">
        <v>73</v>
      </c>
      <c r="Q662" s="2">
        <f t="shared" si="10"/>
        <v>1</v>
      </c>
    </row>
    <row r="663" spans="1:17" x14ac:dyDescent="0.25">
      <c r="A663" s="2" t="s">
        <v>1961</v>
      </c>
      <c r="B663" s="2" t="s">
        <v>1962</v>
      </c>
      <c r="C663" s="2" t="s">
        <v>19</v>
      </c>
      <c r="D663" s="2" t="s">
        <v>115</v>
      </c>
      <c r="E663" s="2" t="s">
        <v>21</v>
      </c>
      <c r="F663" s="2">
        <v>79.792000000000002</v>
      </c>
      <c r="G663" s="2" t="s">
        <v>22</v>
      </c>
      <c r="H663" s="2">
        <v>0</v>
      </c>
      <c r="I663" s="2">
        <v>0</v>
      </c>
      <c r="J663" s="2" t="s">
        <v>52</v>
      </c>
      <c r="K663" s="20">
        <v>45083</v>
      </c>
      <c r="L663" s="20">
        <v>45085</v>
      </c>
      <c r="M663" s="20">
        <v>45085</v>
      </c>
      <c r="N663" s="2" t="s">
        <v>39</v>
      </c>
      <c r="O663" s="2" t="s">
        <v>97</v>
      </c>
      <c r="P663" s="2" t="s">
        <v>68</v>
      </c>
      <c r="Q663" s="2">
        <f t="shared" si="10"/>
        <v>1</v>
      </c>
    </row>
    <row r="664" spans="1:17" x14ac:dyDescent="0.25">
      <c r="A664" s="2" t="s">
        <v>1963</v>
      </c>
      <c r="B664" s="2" t="s">
        <v>1964</v>
      </c>
      <c r="C664" s="2" t="s">
        <v>30</v>
      </c>
      <c r="D664" s="2" t="s">
        <v>77</v>
      </c>
      <c r="E664" s="2" t="s">
        <v>205</v>
      </c>
      <c r="F664" s="2">
        <v>7.8719999999999999</v>
      </c>
      <c r="G664" s="2" t="s">
        <v>206</v>
      </c>
      <c r="H664" s="2">
        <v>80</v>
      </c>
      <c r="I664" s="2">
        <v>6.2976000000000001</v>
      </c>
      <c r="J664" s="2" t="s">
        <v>52</v>
      </c>
      <c r="K664" s="20">
        <v>45084</v>
      </c>
      <c r="L664" s="20">
        <v>45085</v>
      </c>
      <c r="M664" s="20">
        <v>45085</v>
      </c>
      <c r="N664" s="2" t="s">
        <v>248</v>
      </c>
      <c r="O664" s="2" t="s">
        <v>67</v>
      </c>
      <c r="P664" s="2" t="s">
        <v>68</v>
      </c>
      <c r="Q664" s="2">
        <f t="shared" si="10"/>
        <v>1</v>
      </c>
    </row>
    <row r="665" spans="1:17" x14ac:dyDescent="0.25">
      <c r="A665" s="2" t="s">
        <v>1966</v>
      </c>
      <c r="B665" s="2" t="s">
        <v>1967</v>
      </c>
      <c r="C665" s="2" t="s">
        <v>19</v>
      </c>
      <c r="D665" s="2" t="s">
        <v>154</v>
      </c>
      <c r="E665" s="2" t="s">
        <v>21</v>
      </c>
      <c r="F665" s="2">
        <v>678.86999999999989</v>
      </c>
      <c r="G665" s="2" t="s">
        <v>22</v>
      </c>
      <c r="H665" s="2">
        <v>0</v>
      </c>
      <c r="I665" s="2">
        <v>0</v>
      </c>
      <c r="J665" s="2" t="s">
        <v>52</v>
      </c>
      <c r="K665" s="20">
        <v>45084</v>
      </c>
      <c r="L665" s="20">
        <v>45085</v>
      </c>
      <c r="M665" s="20">
        <v>45085</v>
      </c>
      <c r="N665" s="2" t="s">
        <v>39</v>
      </c>
      <c r="O665" s="2" t="s">
        <v>67</v>
      </c>
      <c r="P665" s="2" t="s">
        <v>68</v>
      </c>
      <c r="Q665" s="2">
        <f t="shared" si="10"/>
        <v>1</v>
      </c>
    </row>
    <row r="666" spans="1:17" x14ac:dyDescent="0.25">
      <c r="A666" s="2" t="s">
        <v>1968</v>
      </c>
      <c r="B666" s="2" t="s">
        <v>1969</v>
      </c>
      <c r="C666" s="2" t="s">
        <v>30</v>
      </c>
      <c r="D666" s="2" t="s">
        <v>31</v>
      </c>
      <c r="E666" s="2" t="s">
        <v>205</v>
      </c>
      <c r="F666" s="2">
        <v>95.951999999999998</v>
      </c>
      <c r="G666" s="2" t="s">
        <v>206</v>
      </c>
      <c r="H666" s="2">
        <v>80</v>
      </c>
      <c r="I666" s="2">
        <v>76.761600000000001</v>
      </c>
      <c r="J666" s="2" t="s">
        <v>52</v>
      </c>
      <c r="K666" s="20">
        <v>45087</v>
      </c>
      <c r="L666" s="20">
        <v>45094</v>
      </c>
      <c r="M666" s="20">
        <v>45094</v>
      </c>
      <c r="N666" s="2" t="s">
        <v>238</v>
      </c>
      <c r="O666" s="2" t="s">
        <v>40</v>
      </c>
      <c r="P666" s="2" t="s">
        <v>34</v>
      </c>
      <c r="Q666" s="2">
        <f t="shared" si="10"/>
        <v>1</v>
      </c>
    </row>
    <row r="667" spans="1:17" x14ac:dyDescent="0.25">
      <c r="A667" s="2" t="s">
        <v>1971</v>
      </c>
      <c r="B667" s="2" t="s">
        <v>1972</v>
      </c>
      <c r="C667" s="2" t="s">
        <v>19</v>
      </c>
      <c r="D667" s="2" t="s">
        <v>51</v>
      </c>
      <c r="E667" s="2" t="s">
        <v>212</v>
      </c>
      <c r="F667" s="2">
        <v>3.2040000000000002</v>
      </c>
      <c r="G667" s="2" t="s">
        <v>206</v>
      </c>
      <c r="H667" s="2">
        <v>100</v>
      </c>
      <c r="I667" s="2">
        <v>3.2040000000000002</v>
      </c>
      <c r="J667" s="2" t="s">
        <v>52</v>
      </c>
      <c r="K667" s="20">
        <v>45087</v>
      </c>
      <c r="L667" s="20">
        <v>45093</v>
      </c>
      <c r="M667" s="20">
        <v>45093</v>
      </c>
      <c r="N667" s="2" t="s">
        <v>207</v>
      </c>
      <c r="O667" s="2" t="s">
        <v>67</v>
      </c>
      <c r="P667" s="2" t="s">
        <v>68</v>
      </c>
      <c r="Q667" s="2">
        <f t="shared" si="10"/>
        <v>1</v>
      </c>
    </row>
    <row r="668" spans="1:17" x14ac:dyDescent="0.25">
      <c r="A668" s="2" t="s">
        <v>1973</v>
      </c>
      <c r="B668" s="2" t="s">
        <v>1974</v>
      </c>
      <c r="C668" s="2" t="s">
        <v>30</v>
      </c>
      <c r="D668" s="2" t="s">
        <v>119</v>
      </c>
      <c r="E668" s="2" t="s">
        <v>205</v>
      </c>
      <c r="F668" s="2">
        <v>373.08</v>
      </c>
      <c r="G668" s="2" t="s">
        <v>206</v>
      </c>
      <c r="H668" s="2">
        <v>80</v>
      </c>
      <c r="I668" s="2">
        <v>298.464</v>
      </c>
      <c r="J668" s="2" t="s">
        <v>52</v>
      </c>
      <c r="K668" s="20">
        <v>45092</v>
      </c>
      <c r="L668" s="20">
        <v>45096</v>
      </c>
      <c r="M668" s="20">
        <v>45096</v>
      </c>
      <c r="N668" s="2" t="s">
        <v>234</v>
      </c>
      <c r="O668" s="2" t="s">
        <v>146</v>
      </c>
      <c r="P668" s="2" t="s">
        <v>73</v>
      </c>
      <c r="Q668" s="2">
        <f t="shared" si="10"/>
        <v>1</v>
      </c>
    </row>
    <row r="669" spans="1:17" x14ac:dyDescent="0.25">
      <c r="A669" s="2" t="s">
        <v>1975</v>
      </c>
      <c r="B669" s="2" t="s">
        <v>1976</v>
      </c>
      <c r="C669" s="2" t="s">
        <v>19</v>
      </c>
      <c r="D669" s="2" t="s">
        <v>31</v>
      </c>
      <c r="E669" s="2" t="s">
        <v>21</v>
      </c>
      <c r="F669" s="2">
        <v>482.00599999999997</v>
      </c>
      <c r="G669" s="2" t="s">
        <v>22</v>
      </c>
      <c r="H669" s="2">
        <v>0</v>
      </c>
      <c r="I669" s="2">
        <v>0</v>
      </c>
      <c r="J669" s="2" t="s">
        <v>52</v>
      </c>
      <c r="K669" s="20">
        <v>45095</v>
      </c>
      <c r="L669" s="20">
        <v>45097</v>
      </c>
      <c r="M669" s="20">
        <v>45097</v>
      </c>
      <c r="N669" s="2" t="s">
        <v>32</v>
      </c>
      <c r="O669" s="2" t="s">
        <v>97</v>
      </c>
      <c r="P669" s="2" t="s">
        <v>68</v>
      </c>
      <c r="Q669" s="2">
        <f t="shared" si="10"/>
        <v>1</v>
      </c>
    </row>
    <row r="670" spans="1:17" x14ac:dyDescent="0.25">
      <c r="A670" s="2" t="s">
        <v>1977</v>
      </c>
      <c r="B670" s="2" t="s">
        <v>1978</v>
      </c>
      <c r="C670" s="2" t="s">
        <v>19</v>
      </c>
      <c r="D670" s="2" t="s">
        <v>51</v>
      </c>
      <c r="E670" s="2" t="s">
        <v>212</v>
      </c>
      <c r="F670" s="2">
        <v>191.82</v>
      </c>
      <c r="G670" s="2" t="s">
        <v>206</v>
      </c>
      <c r="H670" s="2">
        <v>100</v>
      </c>
      <c r="I670" s="2">
        <v>191.82</v>
      </c>
      <c r="J670" s="2" t="s">
        <v>52</v>
      </c>
      <c r="K670" s="20">
        <v>45095</v>
      </c>
      <c r="L670" s="20">
        <v>45098</v>
      </c>
      <c r="M670" s="20">
        <v>45098</v>
      </c>
      <c r="N670" s="2" t="s">
        <v>234</v>
      </c>
      <c r="O670" s="2" t="s">
        <v>72</v>
      </c>
      <c r="P670" s="2" t="s">
        <v>73</v>
      </c>
      <c r="Q670" s="2">
        <f t="shared" si="10"/>
        <v>1</v>
      </c>
    </row>
    <row r="671" spans="1:17" x14ac:dyDescent="0.25">
      <c r="A671" s="2" t="s">
        <v>1980</v>
      </c>
      <c r="B671" s="2" t="s">
        <v>1981</v>
      </c>
      <c r="C671" s="2" t="s">
        <v>30</v>
      </c>
      <c r="D671" s="2" t="s">
        <v>31</v>
      </c>
      <c r="E671" s="2" t="s">
        <v>212</v>
      </c>
      <c r="F671" s="2">
        <v>83.7</v>
      </c>
      <c r="G671" s="2" t="s">
        <v>206</v>
      </c>
      <c r="H671" s="2">
        <v>100</v>
      </c>
      <c r="I671" s="2">
        <v>83.7</v>
      </c>
      <c r="J671" s="2" t="s">
        <v>52</v>
      </c>
      <c r="K671" s="20">
        <v>45099</v>
      </c>
      <c r="L671" s="20">
        <v>45103</v>
      </c>
      <c r="M671" s="20">
        <v>45103</v>
      </c>
      <c r="N671" s="2" t="s">
        <v>234</v>
      </c>
      <c r="O671" s="2" t="s">
        <v>82</v>
      </c>
      <c r="P671" s="2" t="s">
        <v>47</v>
      </c>
      <c r="Q671" s="2">
        <f t="shared" si="10"/>
        <v>1</v>
      </c>
    </row>
    <row r="672" spans="1:17" x14ac:dyDescent="0.25">
      <c r="A672" s="2" t="s">
        <v>1983</v>
      </c>
      <c r="B672" s="2" t="s">
        <v>1984</v>
      </c>
      <c r="C672" s="2" t="s">
        <v>19</v>
      </c>
      <c r="D672" s="2" t="s">
        <v>211</v>
      </c>
      <c r="E672" s="2" t="s">
        <v>212</v>
      </c>
      <c r="F672" s="2">
        <v>25.92</v>
      </c>
      <c r="G672" s="2" t="s">
        <v>206</v>
      </c>
      <c r="H672" s="2">
        <v>100</v>
      </c>
      <c r="I672" s="2">
        <v>25.92</v>
      </c>
      <c r="J672" s="2" t="s">
        <v>52</v>
      </c>
      <c r="K672" s="20">
        <v>45111</v>
      </c>
      <c r="L672" s="20">
        <v>45115</v>
      </c>
      <c r="M672" s="20">
        <v>45115</v>
      </c>
      <c r="N672" s="2" t="s">
        <v>220</v>
      </c>
      <c r="O672" s="2" t="s">
        <v>46</v>
      </c>
      <c r="P672" s="2" t="s">
        <v>47</v>
      </c>
      <c r="Q672" s="2">
        <f t="shared" si="10"/>
        <v>1</v>
      </c>
    </row>
    <row r="673" spans="1:17" x14ac:dyDescent="0.25">
      <c r="A673" s="2" t="s">
        <v>1986</v>
      </c>
      <c r="B673" s="2" t="s">
        <v>1987</v>
      </c>
      <c r="C673" s="2" t="s">
        <v>19</v>
      </c>
      <c r="D673" s="2" t="s">
        <v>154</v>
      </c>
      <c r="E673" s="2" t="s">
        <v>212</v>
      </c>
      <c r="F673" s="2">
        <v>523.91999999999996</v>
      </c>
      <c r="G673" s="2" t="s">
        <v>206</v>
      </c>
      <c r="H673" s="2">
        <v>100</v>
      </c>
      <c r="I673" s="2">
        <v>523.91999999999996</v>
      </c>
      <c r="J673" s="2" t="s">
        <v>52</v>
      </c>
      <c r="K673" s="20">
        <v>45116</v>
      </c>
      <c r="L673" s="20">
        <v>45120</v>
      </c>
      <c r="M673" s="20">
        <v>45120</v>
      </c>
      <c r="N673" s="2" t="s">
        <v>238</v>
      </c>
      <c r="O673" s="2" t="s">
        <v>25</v>
      </c>
      <c r="P673" s="2" t="s">
        <v>26</v>
      </c>
      <c r="Q673" s="2">
        <f t="shared" si="10"/>
        <v>1</v>
      </c>
    </row>
    <row r="674" spans="1:17" x14ac:dyDescent="0.25">
      <c r="A674" s="2" t="s">
        <v>1989</v>
      </c>
      <c r="B674" s="2" t="s">
        <v>1990</v>
      </c>
      <c r="C674" s="2" t="s">
        <v>30</v>
      </c>
      <c r="D674" s="2" t="s">
        <v>20</v>
      </c>
      <c r="E674" s="2" t="s">
        <v>212</v>
      </c>
      <c r="F674" s="2">
        <v>93.36</v>
      </c>
      <c r="G674" s="2" t="s">
        <v>206</v>
      </c>
      <c r="H674" s="2">
        <v>100</v>
      </c>
      <c r="I674" s="2">
        <v>93.36</v>
      </c>
      <c r="J674" s="2" t="s">
        <v>52</v>
      </c>
      <c r="K674" s="20">
        <v>45118</v>
      </c>
      <c r="L674" s="20">
        <v>45118</v>
      </c>
      <c r="M674" s="20">
        <v>45118</v>
      </c>
      <c r="N674" s="2" t="s">
        <v>220</v>
      </c>
      <c r="O674" s="2" t="s">
        <v>40</v>
      </c>
      <c r="P674" s="2" t="s">
        <v>34</v>
      </c>
      <c r="Q674" s="2">
        <f t="shared" si="10"/>
        <v>1</v>
      </c>
    </row>
    <row r="675" spans="1:17" x14ac:dyDescent="0.25">
      <c r="A675" s="2" t="s">
        <v>1991</v>
      </c>
      <c r="B675" s="2" t="s">
        <v>1992</v>
      </c>
      <c r="C675" s="2" t="s">
        <v>30</v>
      </c>
      <c r="D675" s="2" t="s">
        <v>62</v>
      </c>
      <c r="E675" s="2" t="s">
        <v>212</v>
      </c>
      <c r="F675" s="2">
        <v>97.82</v>
      </c>
      <c r="G675" s="2" t="s">
        <v>206</v>
      </c>
      <c r="H675" s="2">
        <v>100</v>
      </c>
      <c r="I675" s="2">
        <v>97.82</v>
      </c>
      <c r="J675" s="2" t="s">
        <v>52</v>
      </c>
      <c r="K675" s="20">
        <v>45118</v>
      </c>
      <c r="L675" s="20">
        <v>45124</v>
      </c>
      <c r="M675" s="20">
        <v>45124</v>
      </c>
      <c r="N675" s="2" t="s">
        <v>234</v>
      </c>
      <c r="O675" s="2" t="s">
        <v>46</v>
      </c>
      <c r="P675" s="2" t="s">
        <v>47</v>
      </c>
      <c r="Q675" s="2">
        <f t="shared" si="10"/>
        <v>1</v>
      </c>
    </row>
    <row r="676" spans="1:17" x14ac:dyDescent="0.25">
      <c r="A676" s="2" t="s">
        <v>1994</v>
      </c>
      <c r="B676" s="2" t="s">
        <v>1995</v>
      </c>
      <c r="C676" s="2" t="s">
        <v>19</v>
      </c>
      <c r="D676" s="2" t="s">
        <v>211</v>
      </c>
      <c r="E676" s="2" t="s">
        <v>205</v>
      </c>
      <c r="F676" s="2">
        <v>191.976</v>
      </c>
      <c r="G676" s="2" t="s">
        <v>206</v>
      </c>
      <c r="H676" s="2">
        <v>80</v>
      </c>
      <c r="I676" s="2">
        <v>153.58080000000001</v>
      </c>
      <c r="J676" s="2" t="s">
        <v>52</v>
      </c>
      <c r="K676" s="20">
        <v>45124</v>
      </c>
      <c r="L676" s="20">
        <v>45126</v>
      </c>
      <c r="M676" s="20">
        <v>45126</v>
      </c>
      <c r="N676" s="2" t="s">
        <v>248</v>
      </c>
      <c r="O676" s="2" t="s">
        <v>82</v>
      </c>
      <c r="P676" s="2" t="s">
        <v>47</v>
      </c>
      <c r="Q676" s="2">
        <f t="shared" si="10"/>
        <v>1</v>
      </c>
    </row>
    <row r="677" spans="1:17" x14ac:dyDescent="0.25">
      <c r="A677" s="2" t="s">
        <v>1997</v>
      </c>
      <c r="B677" s="2" t="s">
        <v>1998</v>
      </c>
      <c r="C677" s="2" t="s">
        <v>19</v>
      </c>
      <c r="D677" s="2" t="s">
        <v>20</v>
      </c>
      <c r="E677" s="2" t="s">
        <v>205</v>
      </c>
      <c r="F677" s="2">
        <v>37.94</v>
      </c>
      <c r="G677" s="2" t="s">
        <v>206</v>
      </c>
      <c r="H677" s="2">
        <v>80</v>
      </c>
      <c r="I677" s="2">
        <v>30.352</v>
      </c>
      <c r="J677" s="2" t="s">
        <v>52</v>
      </c>
      <c r="K677" s="20">
        <v>45126</v>
      </c>
      <c r="L677" s="20">
        <v>45131</v>
      </c>
      <c r="M677" s="20">
        <v>45131</v>
      </c>
      <c r="N677" s="2" t="s">
        <v>220</v>
      </c>
      <c r="O677" s="2" t="s">
        <v>72</v>
      </c>
      <c r="P677" s="2" t="s">
        <v>73</v>
      </c>
      <c r="Q677" s="2">
        <f t="shared" si="10"/>
        <v>1</v>
      </c>
    </row>
    <row r="678" spans="1:17" x14ac:dyDescent="0.25">
      <c r="A678" s="2" t="s">
        <v>2000</v>
      </c>
      <c r="B678" s="2" t="s">
        <v>2001</v>
      </c>
      <c r="C678" s="2" t="s">
        <v>19</v>
      </c>
      <c r="D678" s="2" t="s">
        <v>44</v>
      </c>
      <c r="E678" s="2" t="s">
        <v>212</v>
      </c>
      <c r="F678" s="2">
        <v>24.9</v>
      </c>
      <c r="G678" s="2" t="s">
        <v>206</v>
      </c>
      <c r="H678" s="2">
        <v>100</v>
      </c>
      <c r="I678" s="2">
        <v>24.9</v>
      </c>
      <c r="J678" s="2" t="s">
        <v>52</v>
      </c>
      <c r="K678" s="20">
        <v>45126</v>
      </c>
      <c r="L678" s="20">
        <v>45131</v>
      </c>
      <c r="M678" s="20">
        <v>45131</v>
      </c>
      <c r="N678" s="2" t="s">
        <v>207</v>
      </c>
      <c r="O678" s="2" t="s">
        <v>33</v>
      </c>
      <c r="P678" s="2" t="s">
        <v>34</v>
      </c>
      <c r="Q678" s="2">
        <f t="shared" si="10"/>
        <v>1</v>
      </c>
    </row>
    <row r="679" spans="1:17" x14ac:dyDescent="0.25">
      <c r="A679" s="2" t="s">
        <v>2003</v>
      </c>
      <c r="B679" s="2" t="s">
        <v>2004</v>
      </c>
      <c r="C679" s="2" t="s">
        <v>30</v>
      </c>
      <c r="D679" s="2" t="s">
        <v>38</v>
      </c>
      <c r="E679" s="2" t="s">
        <v>212</v>
      </c>
      <c r="F679" s="2">
        <v>20.16</v>
      </c>
      <c r="G679" s="2" t="s">
        <v>206</v>
      </c>
      <c r="H679" s="2">
        <v>100</v>
      </c>
      <c r="I679" s="2">
        <v>20.16</v>
      </c>
      <c r="J679" s="2" t="s">
        <v>52</v>
      </c>
      <c r="K679" s="20">
        <v>45130</v>
      </c>
      <c r="L679" s="20">
        <v>45132</v>
      </c>
      <c r="M679" s="20">
        <v>45132</v>
      </c>
      <c r="N679" s="2" t="s">
        <v>248</v>
      </c>
      <c r="O679" s="2" t="s">
        <v>46</v>
      </c>
      <c r="P679" s="2" t="s">
        <v>47</v>
      </c>
      <c r="Q679" s="2">
        <f t="shared" si="10"/>
        <v>1</v>
      </c>
    </row>
    <row r="680" spans="1:17" x14ac:dyDescent="0.25">
      <c r="A680" s="2" t="s">
        <v>2006</v>
      </c>
      <c r="B680" s="2" t="s">
        <v>2007</v>
      </c>
      <c r="C680" s="2" t="s">
        <v>30</v>
      </c>
      <c r="D680" s="2" t="s">
        <v>44</v>
      </c>
      <c r="E680" s="2" t="s">
        <v>212</v>
      </c>
      <c r="F680" s="2">
        <v>29.46</v>
      </c>
      <c r="G680" s="2" t="s">
        <v>206</v>
      </c>
      <c r="H680" s="2">
        <v>100</v>
      </c>
      <c r="I680" s="2">
        <v>29.46</v>
      </c>
      <c r="J680" s="2" t="s">
        <v>52</v>
      </c>
      <c r="K680" s="20">
        <v>45131</v>
      </c>
      <c r="L680" s="20">
        <v>45134</v>
      </c>
      <c r="M680" s="20">
        <v>45134</v>
      </c>
      <c r="N680" s="2" t="s">
        <v>238</v>
      </c>
      <c r="O680" s="2" t="s">
        <v>97</v>
      </c>
      <c r="P680" s="2" t="s">
        <v>68</v>
      </c>
      <c r="Q680" s="2">
        <f t="shared" si="10"/>
        <v>1</v>
      </c>
    </row>
    <row r="681" spans="1:17" x14ac:dyDescent="0.25">
      <c r="A681" s="2" t="s">
        <v>2009</v>
      </c>
      <c r="B681" s="2" t="s">
        <v>2010</v>
      </c>
      <c r="C681" s="2" t="s">
        <v>19</v>
      </c>
      <c r="D681" s="2" t="s">
        <v>62</v>
      </c>
      <c r="E681" s="2" t="s">
        <v>212</v>
      </c>
      <c r="F681" s="2">
        <v>5.5</v>
      </c>
      <c r="G681" s="2" t="s">
        <v>206</v>
      </c>
      <c r="H681" s="2">
        <v>100</v>
      </c>
      <c r="I681" s="2">
        <v>5.5</v>
      </c>
      <c r="J681" s="2" t="s">
        <v>52</v>
      </c>
      <c r="K681" s="20">
        <v>45131</v>
      </c>
      <c r="L681" s="20">
        <v>45135</v>
      </c>
      <c r="M681" s="20">
        <v>45135</v>
      </c>
      <c r="N681" s="2" t="s">
        <v>238</v>
      </c>
      <c r="O681" s="2" t="s">
        <v>33</v>
      </c>
      <c r="P681" s="2" t="s">
        <v>34</v>
      </c>
      <c r="Q681" s="2">
        <f t="shared" si="10"/>
        <v>1</v>
      </c>
    </row>
    <row r="682" spans="1:17" x14ac:dyDescent="0.25">
      <c r="A682" s="2" t="s">
        <v>2011</v>
      </c>
      <c r="B682" s="2" t="s">
        <v>2012</v>
      </c>
      <c r="C682" s="2" t="s">
        <v>19</v>
      </c>
      <c r="D682" s="2" t="s">
        <v>324</v>
      </c>
      <c r="E682" s="2" t="s">
        <v>205</v>
      </c>
      <c r="F682" s="2">
        <v>43.92</v>
      </c>
      <c r="G682" s="2" t="s">
        <v>206</v>
      </c>
      <c r="H682" s="2">
        <v>80</v>
      </c>
      <c r="I682" s="2">
        <v>35.136000000000003</v>
      </c>
      <c r="J682" s="2" t="s">
        <v>52</v>
      </c>
      <c r="K682" s="20">
        <v>45133</v>
      </c>
      <c r="L682" s="20">
        <v>45137</v>
      </c>
      <c r="M682" s="20">
        <v>45137</v>
      </c>
      <c r="N682" s="2" t="s">
        <v>207</v>
      </c>
      <c r="O682" s="2" t="s">
        <v>82</v>
      </c>
      <c r="P682" s="2" t="s">
        <v>47</v>
      </c>
      <c r="Q682" s="2">
        <f t="shared" si="10"/>
        <v>1</v>
      </c>
    </row>
    <row r="683" spans="1:17" x14ac:dyDescent="0.25">
      <c r="A683" s="2" t="s">
        <v>2013</v>
      </c>
      <c r="B683" s="2" t="s">
        <v>2014</v>
      </c>
      <c r="C683" s="2" t="s">
        <v>30</v>
      </c>
      <c r="D683" s="2" t="s">
        <v>119</v>
      </c>
      <c r="E683" s="2" t="s">
        <v>212</v>
      </c>
      <c r="F683" s="2">
        <v>25.032</v>
      </c>
      <c r="G683" s="2" t="s">
        <v>206</v>
      </c>
      <c r="H683" s="2">
        <v>100</v>
      </c>
      <c r="I683" s="2">
        <v>25.032</v>
      </c>
      <c r="J683" s="2" t="s">
        <v>52</v>
      </c>
      <c r="K683" s="20">
        <v>45133</v>
      </c>
      <c r="L683" s="20">
        <v>45135</v>
      </c>
      <c r="M683" s="20">
        <v>45135</v>
      </c>
      <c r="N683" s="2" t="s">
        <v>213</v>
      </c>
      <c r="O683" s="2" t="s">
        <v>97</v>
      </c>
      <c r="P683" s="2" t="s">
        <v>68</v>
      </c>
      <c r="Q683" s="2">
        <f t="shared" si="10"/>
        <v>1</v>
      </c>
    </row>
    <row r="684" spans="1:17" x14ac:dyDescent="0.25">
      <c r="A684" s="2" t="s">
        <v>2016</v>
      </c>
      <c r="B684" s="2" t="s">
        <v>2017</v>
      </c>
      <c r="C684" s="2" t="s">
        <v>19</v>
      </c>
      <c r="D684" s="2" t="s">
        <v>211</v>
      </c>
      <c r="E684" s="2" t="s">
        <v>21</v>
      </c>
      <c r="F684" s="2">
        <v>1556.694</v>
      </c>
      <c r="G684" s="2" t="s">
        <v>22</v>
      </c>
      <c r="H684" s="2">
        <v>0</v>
      </c>
      <c r="I684" s="2">
        <v>0</v>
      </c>
      <c r="J684" s="2" t="s">
        <v>52</v>
      </c>
      <c r="K684" s="20">
        <v>45136</v>
      </c>
      <c r="L684" s="20">
        <v>45137</v>
      </c>
      <c r="M684" s="20">
        <v>45137</v>
      </c>
      <c r="N684" s="2" t="s">
        <v>45</v>
      </c>
      <c r="O684" s="2" t="s">
        <v>40</v>
      </c>
      <c r="P684" s="2" t="s">
        <v>34</v>
      </c>
      <c r="Q684" s="2">
        <f t="shared" si="10"/>
        <v>1</v>
      </c>
    </row>
    <row r="685" spans="1:17" x14ac:dyDescent="0.25">
      <c r="A685" s="2" t="s">
        <v>2018</v>
      </c>
      <c r="B685" s="2" t="s">
        <v>2019</v>
      </c>
      <c r="C685" s="2" t="s">
        <v>19</v>
      </c>
      <c r="D685" s="2" t="s">
        <v>96</v>
      </c>
      <c r="E685" s="2" t="s">
        <v>205</v>
      </c>
      <c r="F685" s="2">
        <v>27.24</v>
      </c>
      <c r="G685" s="2" t="s">
        <v>206</v>
      </c>
      <c r="H685" s="2">
        <v>80</v>
      </c>
      <c r="I685" s="2">
        <v>21.792000000000002</v>
      </c>
      <c r="J685" s="2" t="s">
        <v>52</v>
      </c>
      <c r="K685" s="20">
        <v>45139</v>
      </c>
      <c r="L685" s="20">
        <v>45144</v>
      </c>
      <c r="M685" s="20">
        <v>45144</v>
      </c>
      <c r="N685" s="2" t="s">
        <v>248</v>
      </c>
      <c r="O685" s="2" t="s">
        <v>82</v>
      </c>
      <c r="P685" s="2" t="s">
        <v>47</v>
      </c>
      <c r="Q685" s="2">
        <f t="shared" si="10"/>
        <v>1</v>
      </c>
    </row>
    <row r="686" spans="1:17" x14ac:dyDescent="0.25">
      <c r="A686" s="2" t="s">
        <v>2021</v>
      </c>
      <c r="B686" s="2" t="s">
        <v>2022</v>
      </c>
      <c r="C686" s="2" t="s">
        <v>30</v>
      </c>
      <c r="D686" s="2" t="s">
        <v>164</v>
      </c>
      <c r="E686" s="2" t="s">
        <v>212</v>
      </c>
      <c r="F686" s="2">
        <v>12.9</v>
      </c>
      <c r="G686" s="2" t="s">
        <v>206</v>
      </c>
      <c r="H686" s="2">
        <v>100</v>
      </c>
      <c r="I686" s="2">
        <v>12.9</v>
      </c>
      <c r="J686" s="2" t="s">
        <v>52</v>
      </c>
      <c r="K686" s="20">
        <v>45144</v>
      </c>
      <c r="L686" s="20">
        <v>45150</v>
      </c>
      <c r="M686" s="20">
        <v>45150</v>
      </c>
      <c r="N686" s="2" t="s">
        <v>213</v>
      </c>
      <c r="O686" s="2" t="s">
        <v>40</v>
      </c>
      <c r="P686" s="2" t="s">
        <v>34</v>
      </c>
      <c r="Q686" s="2">
        <f t="shared" si="10"/>
        <v>1</v>
      </c>
    </row>
    <row r="687" spans="1:17" x14ac:dyDescent="0.25">
      <c r="A687" s="2" t="s">
        <v>2024</v>
      </c>
      <c r="B687" s="2" t="s">
        <v>2025</v>
      </c>
      <c r="C687" s="2" t="s">
        <v>19</v>
      </c>
      <c r="D687" s="2" t="s">
        <v>81</v>
      </c>
      <c r="E687" s="2" t="s">
        <v>205</v>
      </c>
      <c r="F687" s="2">
        <v>57.584000000000003</v>
      </c>
      <c r="G687" s="2" t="s">
        <v>206</v>
      </c>
      <c r="H687" s="2">
        <v>80</v>
      </c>
      <c r="I687" s="2">
        <v>46.067200000000007</v>
      </c>
      <c r="J687" s="2" t="s">
        <v>52</v>
      </c>
      <c r="K687" s="20">
        <v>45145</v>
      </c>
      <c r="L687" s="20">
        <v>45152</v>
      </c>
      <c r="M687" s="20">
        <v>45152</v>
      </c>
      <c r="N687" s="2" t="s">
        <v>207</v>
      </c>
      <c r="O687" s="2" t="s">
        <v>46</v>
      </c>
      <c r="P687" s="2" t="s">
        <v>47</v>
      </c>
      <c r="Q687" s="2">
        <f t="shared" si="10"/>
        <v>1</v>
      </c>
    </row>
    <row r="688" spans="1:17" x14ac:dyDescent="0.25">
      <c r="A688" s="2" t="s">
        <v>2027</v>
      </c>
      <c r="B688" s="2" t="s">
        <v>2028</v>
      </c>
      <c r="C688" s="2" t="s">
        <v>19</v>
      </c>
      <c r="D688" s="2" t="s">
        <v>20</v>
      </c>
      <c r="E688" s="2" t="s">
        <v>205</v>
      </c>
      <c r="F688" s="2">
        <v>28.4</v>
      </c>
      <c r="G688" s="2" t="s">
        <v>206</v>
      </c>
      <c r="H688" s="2">
        <v>80</v>
      </c>
      <c r="I688" s="2">
        <v>22.72</v>
      </c>
      <c r="J688" s="2" t="s">
        <v>52</v>
      </c>
      <c r="K688" s="20">
        <v>45151</v>
      </c>
      <c r="L688" s="20">
        <v>45153</v>
      </c>
      <c r="M688" s="20">
        <v>45153</v>
      </c>
      <c r="N688" s="2" t="s">
        <v>207</v>
      </c>
      <c r="O688" s="2" t="s">
        <v>67</v>
      </c>
      <c r="P688" s="2" t="s">
        <v>68</v>
      </c>
      <c r="Q688" s="2">
        <f t="shared" si="10"/>
        <v>1</v>
      </c>
    </row>
    <row r="689" spans="1:17" x14ac:dyDescent="0.25">
      <c r="A689" s="2" t="s">
        <v>2030</v>
      </c>
      <c r="B689" s="2" t="s">
        <v>2031</v>
      </c>
      <c r="C689" s="2" t="s">
        <v>30</v>
      </c>
      <c r="D689" s="2" t="s">
        <v>96</v>
      </c>
      <c r="E689" s="2" t="s">
        <v>212</v>
      </c>
      <c r="F689" s="2">
        <v>14.94</v>
      </c>
      <c r="G689" s="2" t="s">
        <v>206</v>
      </c>
      <c r="H689" s="2">
        <v>100</v>
      </c>
      <c r="I689" s="2">
        <v>14.94</v>
      </c>
      <c r="J689" s="2" t="s">
        <v>52</v>
      </c>
      <c r="K689" s="20">
        <v>45151</v>
      </c>
      <c r="L689" s="20">
        <v>45151</v>
      </c>
      <c r="M689" s="20">
        <v>45151</v>
      </c>
      <c r="N689" s="2" t="s">
        <v>220</v>
      </c>
      <c r="O689" s="2" t="s">
        <v>33</v>
      </c>
      <c r="P689" s="2" t="s">
        <v>34</v>
      </c>
      <c r="Q689" s="2">
        <f t="shared" si="10"/>
        <v>1</v>
      </c>
    </row>
    <row r="690" spans="1:17" x14ac:dyDescent="0.25">
      <c r="A690" s="2" t="s">
        <v>2033</v>
      </c>
      <c r="B690" s="2" t="s">
        <v>2034</v>
      </c>
      <c r="C690" s="2" t="s">
        <v>30</v>
      </c>
      <c r="D690" s="2" t="s">
        <v>38</v>
      </c>
      <c r="E690" s="2" t="s">
        <v>205</v>
      </c>
      <c r="F690" s="2">
        <v>2.3279999999999998</v>
      </c>
      <c r="G690" s="2" t="s">
        <v>206</v>
      </c>
      <c r="H690" s="2">
        <v>80</v>
      </c>
      <c r="I690" s="2">
        <v>1.8624000000000001</v>
      </c>
      <c r="J690" s="2" t="s">
        <v>52</v>
      </c>
      <c r="K690" s="20">
        <v>45155</v>
      </c>
      <c r="L690" s="20">
        <v>45161</v>
      </c>
      <c r="M690" s="20">
        <v>45161</v>
      </c>
      <c r="N690" s="2" t="s">
        <v>248</v>
      </c>
      <c r="O690" s="2" t="s">
        <v>82</v>
      </c>
      <c r="P690" s="2" t="s">
        <v>47</v>
      </c>
      <c r="Q690" s="2">
        <f t="shared" si="10"/>
        <v>1</v>
      </c>
    </row>
    <row r="691" spans="1:17" x14ac:dyDescent="0.25">
      <c r="A691" s="2" t="s">
        <v>2036</v>
      </c>
      <c r="B691" s="2" t="s">
        <v>2037</v>
      </c>
      <c r="C691" s="2" t="s">
        <v>19</v>
      </c>
      <c r="D691" s="2" t="s">
        <v>164</v>
      </c>
      <c r="E691" s="2" t="s">
        <v>212</v>
      </c>
      <c r="F691" s="2">
        <v>289.56799999999998</v>
      </c>
      <c r="G691" s="2" t="s">
        <v>206</v>
      </c>
      <c r="H691" s="2">
        <v>100</v>
      </c>
      <c r="I691" s="2">
        <v>289.56799999999998</v>
      </c>
      <c r="J691" s="2" t="s">
        <v>52</v>
      </c>
      <c r="K691" s="20">
        <v>45157</v>
      </c>
      <c r="L691" s="20">
        <v>45162</v>
      </c>
      <c r="M691" s="20">
        <v>45162</v>
      </c>
      <c r="N691" s="2" t="s">
        <v>207</v>
      </c>
      <c r="O691" s="2" t="s">
        <v>67</v>
      </c>
      <c r="P691" s="2" t="s">
        <v>68</v>
      </c>
      <c r="Q691" s="2">
        <f t="shared" si="10"/>
        <v>1</v>
      </c>
    </row>
    <row r="692" spans="1:17" x14ac:dyDescent="0.25">
      <c r="A692" s="2" t="s">
        <v>2039</v>
      </c>
      <c r="B692" s="2" t="s">
        <v>2040</v>
      </c>
      <c r="C692" s="2" t="s">
        <v>19</v>
      </c>
      <c r="D692" s="2" t="s">
        <v>77</v>
      </c>
      <c r="E692" s="2" t="s">
        <v>205</v>
      </c>
      <c r="F692" s="2">
        <v>32.4</v>
      </c>
      <c r="G692" s="2" t="s">
        <v>206</v>
      </c>
      <c r="H692" s="2">
        <v>80</v>
      </c>
      <c r="I692" s="2">
        <v>25.92</v>
      </c>
      <c r="J692" s="2" t="s">
        <v>52</v>
      </c>
      <c r="K692" s="20">
        <v>45161</v>
      </c>
      <c r="L692" s="20">
        <v>45165</v>
      </c>
      <c r="M692" s="20">
        <v>45165</v>
      </c>
      <c r="N692" s="2" t="s">
        <v>238</v>
      </c>
      <c r="O692" s="2" t="s">
        <v>67</v>
      </c>
      <c r="P692" s="2" t="s">
        <v>68</v>
      </c>
      <c r="Q692" s="2">
        <f t="shared" si="10"/>
        <v>1</v>
      </c>
    </row>
    <row r="693" spans="1:17" x14ac:dyDescent="0.25">
      <c r="A693" s="2" t="s">
        <v>2041</v>
      </c>
      <c r="B693" s="2" t="s">
        <v>2042</v>
      </c>
      <c r="C693" s="2" t="s">
        <v>19</v>
      </c>
      <c r="D693" s="2" t="s">
        <v>38</v>
      </c>
      <c r="E693" s="2" t="s">
        <v>205</v>
      </c>
      <c r="F693" s="2">
        <v>21.568000000000001</v>
      </c>
      <c r="G693" s="2" t="s">
        <v>206</v>
      </c>
      <c r="H693" s="2">
        <v>80</v>
      </c>
      <c r="I693" s="2">
        <v>17.2544</v>
      </c>
      <c r="J693" s="2" t="s">
        <v>52</v>
      </c>
      <c r="K693" s="20">
        <v>45161</v>
      </c>
      <c r="L693" s="20">
        <v>45166</v>
      </c>
      <c r="M693" s="20">
        <v>45166</v>
      </c>
      <c r="N693" s="2" t="s">
        <v>238</v>
      </c>
      <c r="O693" s="2" t="s">
        <v>72</v>
      </c>
      <c r="P693" s="2" t="s">
        <v>73</v>
      </c>
      <c r="Q693" s="2">
        <f t="shared" si="10"/>
        <v>1</v>
      </c>
    </row>
    <row r="694" spans="1:17" x14ac:dyDescent="0.25">
      <c r="A694" s="2" t="s">
        <v>2044</v>
      </c>
      <c r="B694" s="2" t="s">
        <v>2045</v>
      </c>
      <c r="C694" s="2" t="s">
        <v>19</v>
      </c>
      <c r="D694" s="2" t="s">
        <v>126</v>
      </c>
      <c r="E694" s="2" t="s">
        <v>212</v>
      </c>
      <c r="F694" s="2">
        <v>25.35</v>
      </c>
      <c r="G694" s="2" t="s">
        <v>206</v>
      </c>
      <c r="H694" s="2">
        <v>100</v>
      </c>
      <c r="I694" s="2">
        <v>25.35</v>
      </c>
      <c r="J694" s="2" t="s">
        <v>52</v>
      </c>
      <c r="K694" s="20">
        <v>45165</v>
      </c>
      <c r="L694" s="20">
        <v>45167</v>
      </c>
      <c r="M694" s="20">
        <v>45167</v>
      </c>
      <c r="N694" s="2" t="s">
        <v>207</v>
      </c>
      <c r="O694" s="2" t="s">
        <v>146</v>
      </c>
      <c r="P694" s="2" t="s">
        <v>73</v>
      </c>
      <c r="Q694" s="2">
        <f t="shared" si="10"/>
        <v>1</v>
      </c>
    </row>
    <row r="695" spans="1:17" x14ac:dyDescent="0.25">
      <c r="A695" s="2" t="s">
        <v>2046</v>
      </c>
      <c r="B695" s="2" t="s">
        <v>2047</v>
      </c>
      <c r="C695" s="2" t="s">
        <v>19</v>
      </c>
      <c r="D695" s="2" t="s">
        <v>119</v>
      </c>
      <c r="E695" s="2" t="s">
        <v>21</v>
      </c>
      <c r="F695" s="2">
        <v>165.13</v>
      </c>
      <c r="G695" s="2" t="s">
        <v>22</v>
      </c>
      <c r="H695" s="2">
        <v>0</v>
      </c>
      <c r="I695" s="2">
        <v>0</v>
      </c>
      <c r="J695" s="2" t="s">
        <v>52</v>
      </c>
      <c r="K695" s="20">
        <v>45165</v>
      </c>
      <c r="L695" s="20">
        <v>45166</v>
      </c>
      <c r="M695" s="20">
        <v>45166</v>
      </c>
      <c r="N695" s="2" t="s">
        <v>24</v>
      </c>
      <c r="O695" s="2" t="s">
        <v>82</v>
      </c>
      <c r="P695" s="2" t="s">
        <v>47</v>
      </c>
      <c r="Q695" s="2">
        <f t="shared" si="10"/>
        <v>1</v>
      </c>
    </row>
    <row r="696" spans="1:17" x14ac:dyDescent="0.25">
      <c r="A696" s="2" t="s">
        <v>2049</v>
      </c>
      <c r="B696" s="2" t="s">
        <v>2050</v>
      </c>
      <c r="C696" s="2" t="s">
        <v>19</v>
      </c>
      <c r="D696" s="2" t="s">
        <v>230</v>
      </c>
      <c r="E696" s="2" t="s">
        <v>212</v>
      </c>
      <c r="F696" s="2">
        <v>1568.61</v>
      </c>
      <c r="G696" s="2" t="s">
        <v>206</v>
      </c>
      <c r="H696" s="2">
        <v>100</v>
      </c>
      <c r="I696" s="2">
        <v>1568.61</v>
      </c>
      <c r="J696" s="2" t="s">
        <v>52</v>
      </c>
      <c r="K696" s="20">
        <v>45165</v>
      </c>
      <c r="L696" s="20">
        <v>45169</v>
      </c>
      <c r="M696" s="20">
        <v>45169</v>
      </c>
      <c r="N696" s="2" t="s">
        <v>207</v>
      </c>
      <c r="O696" s="2" t="s">
        <v>40</v>
      </c>
      <c r="P696" s="2" t="s">
        <v>34</v>
      </c>
      <c r="Q696" s="2">
        <f t="shared" si="10"/>
        <v>1</v>
      </c>
    </row>
    <row r="697" spans="1:17" x14ac:dyDescent="0.25">
      <c r="A697" s="2" t="s">
        <v>2052</v>
      </c>
      <c r="B697" s="2" t="s">
        <v>2053</v>
      </c>
      <c r="C697" s="2" t="s">
        <v>19</v>
      </c>
      <c r="D697" s="2" t="s">
        <v>126</v>
      </c>
      <c r="E697" s="2" t="s">
        <v>205</v>
      </c>
      <c r="F697" s="2">
        <v>37.17</v>
      </c>
      <c r="G697" s="2" t="s">
        <v>206</v>
      </c>
      <c r="H697" s="2">
        <v>80</v>
      </c>
      <c r="I697" s="2">
        <v>29.736000000000004</v>
      </c>
      <c r="J697" s="2" t="s">
        <v>52</v>
      </c>
      <c r="K697" s="20">
        <v>45167</v>
      </c>
      <c r="L697" s="20">
        <v>45169</v>
      </c>
      <c r="M697" s="20">
        <v>45169</v>
      </c>
      <c r="N697" s="2" t="s">
        <v>207</v>
      </c>
      <c r="O697" s="2" t="s">
        <v>72</v>
      </c>
      <c r="P697" s="2" t="s">
        <v>73</v>
      </c>
      <c r="Q697" s="2">
        <f t="shared" si="10"/>
        <v>1</v>
      </c>
    </row>
    <row r="698" spans="1:17" x14ac:dyDescent="0.25">
      <c r="A698" s="2" t="s">
        <v>2055</v>
      </c>
      <c r="B698" s="2" t="s">
        <v>2056</v>
      </c>
      <c r="C698" s="2" t="s">
        <v>30</v>
      </c>
      <c r="D698" s="2" t="s">
        <v>211</v>
      </c>
      <c r="E698" s="2" t="s">
        <v>212</v>
      </c>
      <c r="F698" s="2">
        <v>64.959999999999994</v>
      </c>
      <c r="G698" s="2" t="s">
        <v>206</v>
      </c>
      <c r="H698" s="2">
        <v>100</v>
      </c>
      <c r="I698" s="2">
        <v>64.959999999999994</v>
      </c>
      <c r="J698" s="2" t="s">
        <v>52</v>
      </c>
      <c r="K698" s="20">
        <v>45168</v>
      </c>
      <c r="L698" s="20">
        <v>45174</v>
      </c>
      <c r="M698" s="20">
        <v>45174</v>
      </c>
      <c r="N698" s="2" t="s">
        <v>234</v>
      </c>
      <c r="O698" s="2" t="s">
        <v>67</v>
      </c>
      <c r="P698" s="2" t="s">
        <v>68</v>
      </c>
      <c r="Q698" s="2">
        <f t="shared" si="10"/>
        <v>1</v>
      </c>
    </row>
    <row r="699" spans="1:17" x14ac:dyDescent="0.25">
      <c r="A699" s="2" t="s">
        <v>2058</v>
      </c>
      <c r="B699" s="2" t="s">
        <v>2059</v>
      </c>
      <c r="C699" s="2" t="s">
        <v>19</v>
      </c>
      <c r="D699" s="2" t="s">
        <v>370</v>
      </c>
      <c r="E699" s="2" t="s">
        <v>205</v>
      </c>
      <c r="F699" s="2">
        <v>31.56</v>
      </c>
      <c r="G699" s="2" t="s">
        <v>206</v>
      </c>
      <c r="H699" s="2">
        <v>80</v>
      </c>
      <c r="I699" s="2">
        <v>25.248000000000001</v>
      </c>
      <c r="J699" s="2" t="s">
        <v>52</v>
      </c>
      <c r="K699" s="20">
        <v>45173</v>
      </c>
      <c r="L699" s="20">
        <v>45175</v>
      </c>
      <c r="M699" s="20">
        <v>45175</v>
      </c>
      <c r="N699" s="2" t="s">
        <v>213</v>
      </c>
      <c r="O699" s="2" t="s">
        <v>40</v>
      </c>
      <c r="P699" s="2" t="s">
        <v>34</v>
      </c>
      <c r="Q699" s="2">
        <f t="shared" si="10"/>
        <v>1</v>
      </c>
    </row>
    <row r="700" spans="1:17" x14ac:dyDescent="0.25">
      <c r="A700" s="2" t="s">
        <v>2061</v>
      </c>
      <c r="B700" s="2" t="s">
        <v>2062</v>
      </c>
      <c r="C700" s="2" t="s">
        <v>30</v>
      </c>
      <c r="D700" s="2" t="s">
        <v>164</v>
      </c>
      <c r="E700" s="2" t="s">
        <v>212</v>
      </c>
      <c r="F700" s="2">
        <v>456.58800000000002</v>
      </c>
      <c r="G700" s="2" t="s">
        <v>206</v>
      </c>
      <c r="H700" s="2">
        <v>100</v>
      </c>
      <c r="I700" s="2">
        <v>456.58800000000002</v>
      </c>
      <c r="J700" s="2" t="s">
        <v>52</v>
      </c>
      <c r="K700" s="20">
        <v>45173</v>
      </c>
      <c r="L700" s="20">
        <v>45179</v>
      </c>
      <c r="M700" s="20">
        <v>45179</v>
      </c>
      <c r="N700" s="2" t="s">
        <v>213</v>
      </c>
      <c r="O700" s="2" t="s">
        <v>67</v>
      </c>
      <c r="P700" s="2" t="s">
        <v>68</v>
      </c>
      <c r="Q700" s="2">
        <f t="shared" si="10"/>
        <v>1</v>
      </c>
    </row>
    <row r="701" spans="1:17" x14ac:dyDescent="0.25">
      <c r="A701" s="2" t="s">
        <v>2063</v>
      </c>
      <c r="B701" s="2" t="s">
        <v>2064</v>
      </c>
      <c r="C701" s="2" t="s">
        <v>30</v>
      </c>
      <c r="D701" s="2" t="s">
        <v>154</v>
      </c>
      <c r="E701" s="2" t="s">
        <v>205</v>
      </c>
      <c r="F701" s="2">
        <v>165.6</v>
      </c>
      <c r="G701" s="2" t="s">
        <v>206</v>
      </c>
      <c r="H701" s="2">
        <v>80</v>
      </c>
      <c r="I701" s="2">
        <v>132.47999999999999</v>
      </c>
      <c r="J701" s="2" t="s">
        <v>52</v>
      </c>
      <c r="K701" s="20">
        <v>45175</v>
      </c>
      <c r="L701" s="20">
        <v>45179</v>
      </c>
      <c r="M701" s="20">
        <v>45179</v>
      </c>
      <c r="N701" s="2" t="s">
        <v>238</v>
      </c>
      <c r="O701" s="2" t="s">
        <v>97</v>
      </c>
      <c r="P701" s="2" t="s">
        <v>68</v>
      </c>
      <c r="Q701" s="2">
        <f t="shared" si="10"/>
        <v>1</v>
      </c>
    </row>
    <row r="702" spans="1:17" x14ac:dyDescent="0.25">
      <c r="A702" s="2" t="s">
        <v>2066</v>
      </c>
      <c r="B702" s="2" t="s">
        <v>2067</v>
      </c>
      <c r="C702" s="2" t="s">
        <v>30</v>
      </c>
      <c r="D702" s="2" t="s">
        <v>211</v>
      </c>
      <c r="E702" s="2" t="s">
        <v>205</v>
      </c>
      <c r="F702" s="2">
        <v>384.45</v>
      </c>
      <c r="G702" s="2" t="s">
        <v>206</v>
      </c>
      <c r="H702" s="2">
        <v>80</v>
      </c>
      <c r="I702" s="2">
        <v>307.56</v>
      </c>
      <c r="J702" s="2" t="s">
        <v>52</v>
      </c>
      <c r="K702" s="20">
        <v>45175</v>
      </c>
      <c r="L702" s="20">
        <v>45176</v>
      </c>
      <c r="M702" s="20">
        <v>45176</v>
      </c>
      <c r="N702" s="2" t="s">
        <v>234</v>
      </c>
      <c r="O702" s="2" t="s">
        <v>97</v>
      </c>
      <c r="P702" s="2" t="s">
        <v>68</v>
      </c>
      <c r="Q702" s="2">
        <f t="shared" si="10"/>
        <v>1</v>
      </c>
    </row>
    <row r="703" spans="1:17" x14ac:dyDescent="0.25">
      <c r="A703" s="2" t="s">
        <v>2069</v>
      </c>
      <c r="B703" s="2" t="s">
        <v>2070</v>
      </c>
      <c r="C703" s="2" t="s">
        <v>19</v>
      </c>
      <c r="D703" s="2" t="s">
        <v>51</v>
      </c>
      <c r="E703" s="2" t="s">
        <v>205</v>
      </c>
      <c r="F703" s="2">
        <v>59.808</v>
      </c>
      <c r="G703" s="2" t="s">
        <v>206</v>
      </c>
      <c r="H703" s="2">
        <v>80</v>
      </c>
      <c r="I703" s="2">
        <v>47.846400000000003</v>
      </c>
      <c r="J703" s="2" t="s">
        <v>52</v>
      </c>
      <c r="K703" s="20">
        <v>45175</v>
      </c>
      <c r="L703" s="20">
        <v>45181</v>
      </c>
      <c r="M703" s="20">
        <v>45181</v>
      </c>
      <c r="N703" s="2" t="s">
        <v>238</v>
      </c>
      <c r="O703" s="2" t="s">
        <v>54</v>
      </c>
      <c r="P703" s="2" t="s">
        <v>26</v>
      </c>
      <c r="Q703" s="2">
        <f t="shared" si="10"/>
        <v>1</v>
      </c>
    </row>
    <row r="704" spans="1:17" x14ac:dyDescent="0.25">
      <c r="A704" s="2" t="s">
        <v>2071</v>
      </c>
      <c r="B704" s="2" t="s">
        <v>2072</v>
      </c>
      <c r="C704" s="2" t="s">
        <v>19</v>
      </c>
      <c r="D704" s="2" t="s">
        <v>324</v>
      </c>
      <c r="E704" s="2" t="s">
        <v>212</v>
      </c>
      <c r="F704" s="2">
        <v>68.111999999999995</v>
      </c>
      <c r="G704" s="2" t="s">
        <v>206</v>
      </c>
      <c r="H704" s="2">
        <v>100</v>
      </c>
      <c r="I704" s="2">
        <v>68.111999999999995</v>
      </c>
      <c r="J704" s="2" t="s">
        <v>52</v>
      </c>
      <c r="K704" s="20">
        <v>45176</v>
      </c>
      <c r="L704" s="20">
        <v>45178</v>
      </c>
      <c r="M704" s="20">
        <v>45178</v>
      </c>
      <c r="N704" s="2" t="s">
        <v>207</v>
      </c>
      <c r="O704" s="2" t="s">
        <v>97</v>
      </c>
      <c r="P704" s="2" t="s">
        <v>68</v>
      </c>
      <c r="Q704" s="2">
        <f t="shared" si="10"/>
        <v>1</v>
      </c>
    </row>
    <row r="705" spans="1:17" x14ac:dyDescent="0.25">
      <c r="A705" s="2" t="s">
        <v>2074</v>
      </c>
      <c r="B705" s="2" t="s">
        <v>2075</v>
      </c>
      <c r="C705" s="2" t="s">
        <v>19</v>
      </c>
      <c r="D705" s="2" t="s">
        <v>150</v>
      </c>
      <c r="E705" s="2" t="s">
        <v>212</v>
      </c>
      <c r="F705" s="2">
        <v>16.559999999999999</v>
      </c>
      <c r="G705" s="2" t="s">
        <v>206</v>
      </c>
      <c r="H705" s="2">
        <v>100</v>
      </c>
      <c r="I705" s="2">
        <v>16.559999999999999</v>
      </c>
      <c r="J705" s="2" t="s">
        <v>52</v>
      </c>
      <c r="K705" s="20">
        <v>45176</v>
      </c>
      <c r="L705" s="20">
        <v>45181</v>
      </c>
      <c r="M705" s="20">
        <v>45181</v>
      </c>
      <c r="N705" s="2" t="s">
        <v>248</v>
      </c>
      <c r="O705" s="2" t="s">
        <v>25</v>
      </c>
      <c r="P705" s="2" t="s">
        <v>26</v>
      </c>
      <c r="Q705" s="2">
        <f t="shared" si="10"/>
        <v>1</v>
      </c>
    </row>
    <row r="706" spans="1:17" x14ac:dyDescent="0.25">
      <c r="A706" s="2" t="s">
        <v>2077</v>
      </c>
      <c r="B706" s="2" t="s">
        <v>2078</v>
      </c>
      <c r="C706" s="2" t="s">
        <v>30</v>
      </c>
      <c r="D706" s="2" t="s">
        <v>86</v>
      </c>
      <c r="E706" s="2" t="s">
        <v>205</v>
      </c>
      <c r="F706" s="2">
        <v>62.82</v>
      </c>
      <c r="G706" s="2" t="s">
        <v>206</v>
      </c>
      <c r="H706" s="2">
        <v>80</v>
      </c>
      <c r="I706" s="2">
        <v>50.256</v>
      </c>
      <c r="J706" s="2" t="s">
        <v>52</v>
      </c>
      <c r="K706" s="20">
        <v>45180</v>
      </c>
      <c r="L706" s="20">
        <v>45182</v>
      </c>
      <c r="M706" s="20">
        <v>45182</v>
      </c>
      <c r="N706" s="2" t="s">
        <v>220</v>
      </c>
      <c r="O706" s="2" t="s">
        <v>146</v>
      </c>
      <c r="P706" s="2" t="s">
        <v>73</v>
      </c>
      <c r="Q706" s="2">
        <f t="shared" ref="Q706:Q769" si="11">COUNTIF($A$2:$A$1778,A706)</f>
        <v>1</v>
      </c>
    </row>
    <row r="707" spans="1:17" x14ac:dyDescent="0.25">
      <c r="A707" s="2" t="s">
        <v>2080</v>
      </c>
      <c r="B707" s="2" t="s">
        <v>2081</v>
      </c>
      <c r="C707" s="2" t="s">
        <v>30</v>
      </c>
      <c r="D707" s="2" t="s">
        <v>77</v>
      </c>
      <c r="E707" s="2" t="s">
        <v>205</v>
      </c>
      <c r="F707" s="2">
        <v>33.479999999999997</v>
      </c>
      <c r="G707" s="2" t="s">
        <v>206</v>
      </c>
      <c r="H707" s="2">
        <v>80</v>
      </c>
      <c r="I707" s="2">
        <v>26.783999999999999</v>
      </c>
      <c r="J707" s="2" t="s">
        <v>52</v>
      </c>
      <c r="K707" s="20">
        <v>45184</v>
      </c>
      <c r="L707" s="20">
        <v>45188</v>
      </c>
      <c r="M707" s="20">
        <v>45188</v>
      </c>
      <c r="N707" s="2" t="s">
        <v>213</v>
      </c>
      <c r="O707" s="2" t="s">
        <v>33</v>
      </c>
      <c r="P707" s="2" t="s">
        <v>34</v>
      </c>
      <c r="Q707" s="2">
        <f t="shared" si="11"/>
        <v>1</v>
      </c>
    </row>
    <row r="708" spans="1:17" x14ac:dyDescent="0.25">
      <c r="A708" s="2" t="s">
        <v>2082</v>
      </c>
      <c r="B708" s="2" t="s">
        <v>2083</v>
      </c>
      <c r="C708" s="2" t="s">
        <v>30</v>
      </c>
      <c r="D708" s="2" t="s">
        <v>370</v>
      </c>
      <c r="E708" s="2" t="s">
        <v>212</v>
      </c>
      <c r="F708" s="2">
        <v>9.84</v>
      </c>
      <c r="G708" s="2" t="s">
        <v>206</v>
      </c>
      <c r="H708" s="2">
        <v>100</v>
      </c>
      <c r="I708" s="2">
        <v>9.84</v>
      </c>
      <c r="J708" s="2" t="s">
        <v>52</v>
      </c>
      <c r="K708" s="20">
        <v>45185</v>
      </c>
      <c r="L708" s="20">
        <v>45189</v>
      </c>
      <c r="M708" s="20">
        <v>45189</v>
      </c>
      <c r="N708" s="2" t="s">
        <v>207</v>
      </c>
      <c r="O708" s="2" t="s">
        <v>67</v>
      </c>
      <c r="P708" s="2" t="s">
        <v>68</v>
      </c>
      <c r="Q708" s="2">
        <f t="shared" si="11"/>
        <v>1</v>
      </c>
    </row>
    <row r="709" spans="1:17" x14ac:dyDescent="0.25">
      <c r="A709" s="2" t="s">
        <v>2084</v>
      </c>
      <c r="B709" s="2" t="s">
        <v>2085</v>
      </c>
      <c r="C709" s="2" t="s">
        <v>30</v>
      </c>
      <c r="D709" s="2" t="s">
        <v>119</v>
      </c>
      <c r="E709" s="2" t="s">
        <v>212</v>
      </c>
      <c r="F709" s="2">
        <v>165.6</v>
      </c>
      <c r="G709" s="2" t="s">
        <v>206</v>
      </c>
      <c r="H709" s="2">
        <v>100</v>
      </c>
      <c r="I709" s="2">
        <v>165.6</v>
      </c>
      <c r="J709" s="2" t="s">
        <v>52</v>
      </c>
      <c r="K709" s="20">
        <v>45187</v>
      </c>
      <c r="L709" s="20">
        <v>45190</v>
      </c>
      <c r="M709" s="20">
        <v>45190</v>
      </c>
      <c r="N709" s="2" t="s">
        <v>248</v>
      </c>
      <c r="O709" s="2" t="s">
        <v>97</v>
      </c>
      <c r="P709" s="2" t="s">
        <v>68</v>
      </c>
      <c r="Q709" s="2">
        <f t="shared" si="11"/>
        <v>1</v>
      </c>
    </row>
    <row r="710" spans="1:17" x14ac:dyDescent="0.25">
      <c r="A710" s="2" t="s">
        <v>2086</v>
      </c>
      <c r="B710" s="2" t="s">
        <v>2087</v>
      </c>
      <c r="C710" s="2" t="s">
        <v>30</v>
      </c>
      <c r="D710" s="2" t="s">
        <v>31</v>
      </c>
      <c r="E710" s="2" t="s">
        <v>212</v>
      </c>
      <c r="F710" s="2">
        <v>72.64</v>
      </c>
      <c r="G710" s="2" t="s">
        <v>206</v>
      </c>
      <c r="H710" s="2">
        <v>100</v>
      </c>
      <c r="I710" s="2">
        <v>72.64</v>
      </c>
      <c r="J710" s="2" t="s">
        <v>52</v>
      </c>
      <c r="K710" s="20">
        <v>45189</v>
      </c>
      <c r="L710" s="20">
        <v>45193</v>
      </c>
      <c r="M710" s="20">
        <v>45193</v>
      </c>
      <c r="N710" s="2" t="s">
        <v>207</v>
      </c>
      <c r="O710" s="2" t="s">
        <v>33</v>
      </c>
      <c r="P710" s="2" t="s">
        <v>34</v>
      </c>
      <c r="Q710" s="2">
        <f t="shared" si="11"/>
        <v>1</v>
      </c>
    </row>
    <row r="711" spans="1:17" x14ac:dyDescent="0.25">
      <c r="A711" s="2" t="s">
        <v>2089</v>
      </c>
      <c r="B711" s="2" t="s">
        <v>2090</v>
      </c>
      <c r="C711" s="2" t="s">
        <v>19</v>
      </c>
      <c r="D711" s="2" t="s">
        <v>31</v>
      </c>
      <c r="E711" s="2" t="s">
        <v>212</v>
      </c>
      <c r="F711" s="2">
        <v>1793.98</v>
      </c>
      <c r="G711" s="2" t="s">
        <v>206</v>
      </c>
      <c r="H711" s="2">
        <v>100</v>
      </c>
      <c r="I711" s="2">
        <v>1793.98</v>
      </c>
      <c r="J711" s="2" t="s">
        <v>52</v>
      </c>
      <c r="K711" s="20">
        <v>45189</v>
      </c>
      <c r="L711" s="20">
        <v>45192</v>
      </c>
      <c r="M711" s="20">
        <v>45192</v>
      </c>
      <c r="N711" s="2" t="s">
        <v>213</v>
      </c>
      <c r="O711" s="2" t="s">
        <v>25</v>
      </c>
      <c r="P711" s="2" t="s">
        <v>26</v>
      </c>
      <c r="Q711" s="2">
        <f t="shared" si="11"/>
        <v>1</v>
      </c>
    </row>
    <row r="712" spans="1:17" x14ac:dyDescent="0.25">
      <c r="A712" s="2" t="s">
        <v>2091</v>
      </c>
      <c r="B712" s="2" t="s">
        <v>2092</v>
      </c>
      <c r="C712" s="2" t="s">
        <v>30</v>
      </c>
      <c r="D712" s="2" t="s">
        <v>164</v>
      </c>
      <c r="E712" s="2" t="s">
        <v>205</v>
      </c>
      <c r="F712" s="2">
        <v>25.584</v>
      </c>
      <c r="G712" s="2" t="s">
        <v>206</v>
      </c>
      <c r="H712" s="2">
        <v>80</v>
      </c>
      <c r="I712" s="2">
        <v>20.467200000000002</v>
      </c>
      <c r="J712" s="2" t="s">
        <v>52</v>
      </c>
      <c r="K712" s="20">
        <v>45189</v>
      </c>
      <c r="L712" s="20">
        <v>45192</v>
      </c>
      <c r="M712" s="20">
        <v>45192</v>
      </c>
      <c r="N712" s="2" t="s">
        <v>220</v>
      </c>
      <c r="O712" s="2" t="s">
        <v>67</v>
      </c>
      <c r="P712" s="2" t="s">
        <v>68</v>
      </c>
      <c r="Q712" s="2">
        <f t="shared" si="11"/>
        <v>1</v>
      </c>
    </row>
    <row r="713" spans="1:17" x14ac:dyDescent="0.25">
      <c r="A713" s="2" t="s">
        <v>2093</v>
      </c>
      <c r="B713" s="2" t="s">
        <v>2094</v>
      </c>
      <c r="C713" s="2" t="s">
        <v>30</v>
      </c>
      <c r="D713" s="2" t="s">
        <v>154</v>
      </c>
      <c r="E713" s="2" t="s">
        <v>212</v>
      </c>
      <c r="F713" s="2">
        <v>343.85</v>
      </c>
      <c r="G713" s="2" t="s">
        <v>206</v>
      </c>
      <c r="H713" s="2">
        <v>100</v>
      </c>
      <c r="I713" s="2">
        <v>343.85</v>
      </c>
      <c r="J713" s="2" t="s">
        <v>52</v>
      </c>
      <c r="K713" s="20">
        <v>45190</v>
      </c>
      <c r="L713" s="20">
        <v>45194</v>
      </c>
      <c r="M713" s="20">
        <v>45194</v>
      </c>
      <c r="N713" s="2" t="s">
        <v>207</v>
      </c>
      <c r="O713" s="2" t="s">
        <v>25</v>
      </c>
      <c r="P713" s="2" t="s">
        <v>26</v>
      </c>
      <c r="Q713" s="2">
        <f t="shared" si="11"/>
        <v>1</v>
      </c>
    </row>
    <row r="714" spans="1:17" x14ac:dyDescent="0.25">
      <c r="A714" s="2" t="s">
        <v>2095</v>
      </c>
      <c r="B714" s="2" t="s">
        <v>2096</v>
      </c>
      <c r="C714" s="2" t="s">
        <v>30</v>
      </c>
      <c r="D714" s="2" t="s">
        <v>62</v>
      </c>
      <c r="E714" s="2" t="s">
        <v>205</v>
      </c>
      <c r="F714" s="2">
        <v>31.744</v>
      </c>
      <c r="G714" s="2" t="s">
        <v>206</v>
      </c>
      <c r="H714" s="2">
        <v>80</v>
      </c>
      <c r="I714" s="2">
        <v>25.395200000000003</v>
      </c>
      <c r="J714" s="2" t="s">
        <v>52</v>
      </c>
      <c r="K714" s="20">
        <v>45192</v>
      </c>
      <c r="L714" s="20">
        <v>45194</v>
      </c>
      <c r="M714" s="20">
        <v>45194</v>
      </c>
      <c r="N714" s="2" t="s">
        <v>220</v>
      </c>
      <c r="O714" s="2" t="s">
        <v>40</v>
      </c>
      <c r="P714" s="2" t="s">
        <v>34</v>
      </c>
      <c r="Q714" s="2">
        <f t="shared" si="11"/>
        <v>1</v>
      </c>
    </row>
    <row r="715" spans="1:17" x14ac:dyDescent="0.25">
      <c r="A715" s="2" t="s">
        <v>2098</v>
      </c>
      <c r="B715" s="2" t="s">
        <v>2099</v>
      </c>
      <c r="C715" s="2" t="s">
        <v>19</v>
      </c>
      <c r="D715" s="2" t="s">
        <v>324</v>
      </c>
      <c r="E715" s="2" t="s">
        <v>212</v>
      </c>
      <c r="F715" s="2">
        <v>38.088000000000001</v>
      </c>
      <c r="G715" s="2" t="s">
        <v>206</v>
      </c>
      <c r="H715" s="2">
        <v>100</v>
      </c>
      <c r="I715" s="2">
        <v>38.088000000000001</v>
      </c>
      <c r="J715" s="2" t="s">
        <v>52</v>
      </c>
      <c r="K715" s="20">
        <v>45194</v>
      </c>
      <c r="L715" s="20">
        <v>45194</v>
      </c>
      <c r="M715" s="20">
        <v>45194</v>
      </c>
      <c r="N715" s="2" t="s">
        <v>220</v>
      </c>
      <c r="O715" s="2" t="s">
        <v>25</v>
      </c>
      <c r="P715" s="2" t="s">
        <v>26</v>
      </c>
      <c r="Q715" s="2">
        <f t="shared" si="11"/>
        <v>1</v>
      </c>
    </row>
    <row r="716" spans="1:17" x14ac:dyDescent="0.25">
      <c r="A716" s="2" t="s">
        <v>2101</v>
      </c>
      <c r="B716" s="2" t="s">
        <v>2102</v>
      </c>
      <c r="C716" s="2" t="s">
        <v>30</v>
      </c>
      <c r="D716" s="2" t="s">
        <v>186</v>
      </c>
      <c r="E716" s="2" t="s">
        <v>205</v>
      </c>
      <c r="F716" s="2">
        <v>72.45</v>
      </c>
      <c r="G716" s="2" t="s">
        <v>206</v>
      </c>
      <c r="H716" s="2">
        <v>80</v>
      </c>
      <c r="I716" s="2">
        <v>57.960000000000008</v>
      </c>
      <c r="J716" s="2" t="s">
        <v>52</v>
      </c>
      <c r="K716" s="20">
        <v>45195</v>
      </c>
      <c r="L716" s="20">
        <v>45201</v>
      </c>
      <c r="M716" s="20">
        <v>45201</v>
      </c>
      <c r="N716" s="2" t="s">
        <v>248</v>
      </c>
      <c r="O716" s="2" t="s">
        <v>97</v>
      </c>
      <c r="P716" s="2" t="s">
        <v>68</v>
      </c>
      <c r="Q716" s="2">
        <f t="shared" si="11"/>
        <v>1</v>
      </c>
    </row>
    <row r="717" spans="1:17" x14ac:dyDescent="0.25">
      <c r="A717" s="2" t="s">
        <v>2104</v>
      </c>
      <c r="B717" s="2" t="s">
        <v>2105</v>
      </c>
      <c r="C717" s="2" t="s">
        <v>30</v>
      </c>
      <c r="D717" s="2" t="s">
        <v>154</v>
      </c>
      <c r="E717" s="2" t="s">
        <v>205</v>
      </c>
      <c r="F717" s="2">
        <v>72.224000000000004</v>
      </c>
      <c r="G717" s="2" t="s">
        <v>206</v>
      </c>
      <c r="H717" s="2">
        <v>80</v>
      </c>
      <c r="I717" s="2">
        <v>57.779200000000003</v>
      </c>
      <c r="J717" s="2" t="s">
        <v>52</v>
      </c>
      <c r="K717" s="20">
        <v>45195</v>
      </c>
      <c r="L717" s="20">
        <v>45200</v>
      </c>
      <c r="M717" s="20">
        <v>45200</v>
      </c>
      <c r="N717" s="2" t="s">
        <v>213</v>
      </c>
      <c r="O717" s="2" t="s">
        <v>46</v>
      </c>
      <c r="P717" s="2" t="s">
        <v>47</v>
      </c>
      <c r="Q717" s="2">
        <f t="shared" si="11"/>
        <v>1</v>
      </c>
    </row>
    <row r="718" spans="1:17" x14ac:dyDescent="0.25">
      <c r="A718" s="2" t="s">
        <v>2107</v>
      </c>
      <c r="B718" s="2" t="s">
        <v>2108</v>
      </c>
      <c r="C718" s="2" t="s">
        <v>19</v>
      </c>
      <c r="D718" s="2" t="s">
        <v>58</v>
      </c>
      <c r="E718" s="2" t="s">
        <v>205</v>
      </c>
      <c r="F718" s="2">
        <v>6.46999999999999</v>
      </c>
      <c r="G718" s="2" t="s">
        <v>206</v>
      </c>
      <c r="H718" s="2">
        <v>80</v>
      </c>
      <c r="I718" s="2">
        <v>5.1759999999999922</v>
      </c>
      <c r="J718" s="2" t="s">
        <v>52</v>
      </c>
      <c r="K718" s="20">
        <v>45196</v>
      </c>
      <c r="L718" s="20">
        <v>45201</v>
      </c>
      <c r="M718" s="20">
        <v>45201</v>
      </c>
      <c r="N718" s="2" t="s">
        <v>248</v>
      </c>
      <c r="O718" s="2" t="s">
        <v>46</v>
      </c>
      <c r="P718" s="2" t="s">
        <v>47</v>
      </c>
      <c r="Q718" s="2">
        <f t="shared" si="11"/>
        <v>1</v>
      </c>
    </row>
    <row r="719" spans="1:17" x14ac:dyDescent="0.25">
      <c r="A719" s="2" t="s">
        <v>2109</v>
      </c>
      <c r="B719" s="2" t="s">
        <v>2110</v>
      </c>
      <c r="C719" s="2" t="s">
        <v>30</v>
      </c>
      <c r="D719" s="2" t="s">
        <v>370</v>
      </c>
      <c r="E719" s="2" t="s">
        <v>212</v>
      </c>
      <c r="F719" s="2">
        <v>32.4</v>
      </c>
      <c r="G719" s="2" t="s">
        <v>206</v>
      </c>
      <c r="H719" s="2">
        <v>100</v>
      </c>
      <c r="I719" s="2">
        <v>32.4</v>
      </c>
      <c r="J719" s="2" t="s">
        <v>52</v>
      </c>
      <c r="K719" s="20">
        <v>45197</v>
      </c>
      <c r="L719" s="20">
        <v>45203</v>
      </c>
      <c r="M719" s="20">
        <v>45203</v>
      </c>
      <c r="N719" s="2" t="s">
        <v>207</v>
      </c>
      <c r="O719" s="2" t="s">
        <v>54</v>
      </c>
      <c r="P719" s="2" t="s">
        <v>26</v>
      </c>
      <c r="Q719" s="2">
        <f t="shared" si="11"/>
        <v>1</v>
      </c>
    </row>
    <row r="720" spans="1:17" x14ac:dyDescent="0.25">
      <c r="A720" s="2" t="s">
        <v>2111</v>
      </c>
      <c r="B720" s="2" t="s">
        <v>2112</v>
      </c>
      <c r="C720" s="2" t="s">
        <v>19</v>
      </c>
      <c r="D720" s="2" t="s">
        <v>31</v>
      </c>
      <c r="E720" s="2" t="s">
        <v>205</v>
      </c>
      <c r="F720" s="2">
        <v>160.77600000000001</v>
      </c>
      <c r="G720" s="2" t="s">
        <v>206</v>
      </c>
      <c r="H720" s="2">
        <v>80</v>
      </c>
      <c r="I720" s="2">
        <v>128.6208</v>
      </c>
      <c r="J720" s="2" t="s">
        <v>52</v>
      </c>
      <c r="K720" s="20">
        <v>45200</v>
      </c>
      <c r="L720" s="20">
        <v>45204</v>
      </c>
      <c r="M720" s="20">
        <v>45204</v>
      </c>
      <c r="N720" s="2" t="s">
        <v>248</v>
      </c>
      <c r="O720" s="2" t="s">
        <v>40</v>
      </c>
      <c r="P720" s="2" t="s">
        <v>34</v>
      </c>
      <c r="Q720" s="2">
        <f t="shared" si="11"/>
        <v>1</v>
      </c>
    </row>
    <row r="721" spans="1:17" x14ac:dyDescent="0.25">
      <c r="A721" s="2" t="s">
        <v>2114</v>
      </c>
      <c r="B721" s="2" t="s">
        <v>2115</v>
      </c>
      <c r="C721" s="2" t="s">
        <v>30</v>
      </c>
      <c r="D721" s="2" t="s">
        <v>86</v>
      </c>
      <c r="E721" s="2" t="s">
        <v>21</v>
      </c>
      <c r="F721" s="2">
        <v>111.75</v>
      </c>
      <c r="G721" s="2" t="s">
        <v>22</v>
      </c>
      <c r="H721" s="2">
        <v>0</v>
      </c>
      <c r="I721" s="2">
        <v>0</v>
      </c>
      <c r="J721" s="2" t="s">
        <v>52</v>
      </c>
      <c r="K721" s="20">
        <v>45201</v>
      </c>
      <c r="L721" s="20">
        <v>45202</v>
      </c>
      <c r="M721" s="20">
        <v>45202</v>
      </c>
      <c r="N721" s="2" t="s">
        <v>24</v>
      </c>
      <c r="O721" s="2" t="s">
        <v>146</v>
      </c>
      <c r="P721" s="2" t="s">
        <v>73</v>
      </c>
      <c r="Q721" s="2">
        <f t="shared" si="11"/>
        <v>1</v>
      </c>
    </row>
    <row r="722" spans="1:17" x14ac:dyDescent="0.25">
      <c r="A722" s="2" t="s">
        <v>2116</v>
      </c>
      <c r="B722" s="2" t="s">
        <v>2117</v>
      </c>
      <c r="C722" s="2" t="s">
        <v>30</v>
      </c>
      <c r="D722" s="2" t="s">
        <v>370</v>
      </c>
      <c r="E722" s="2" t="s">
        <v>212</v>
      </c>
      <c r="F722" s="2">
        <v>276.78399999999999</v>
      </c>
      <c r="G722" s="2" t="s">
        <v>206</v>
      </c>
      <c r="H722" s="2">
        <v>100</v>
      </c>
      <c r="I722" s="2">
        <v>276.78399999999999</v>
      </c>
      <c r="J722" s="2" t="s">
        <v>52</v>
      </c>
      <c r="K722" s="20">
        <v>45202</v>
      </c>
      <c r="L722" s="20">
        <v>45203</v>
      </c>
      <c r="M722" s="20">
        <v>45203</v>
      </c>
      <c r="N722" s="2" t="s">
        <v>213</v>
      </c>
      <c r="O722" s="2" t="s">
        <v>40</v>
      </c>
      <c r="P722" s="2" t="s">
        <v>34</v>
      </c>
      <c r="Q722" s="2">
        <f t="shared" si="11"/>
        <v>1</v>
      </c>
    </row>
    <row r="723" spans="1:17" x14ac:dyDescent="0.25">
      <c r="A723" s="2" t="s">
        <v>2118</v>
      </c>
      <c r="B723" s="2" t="s">
        <v>2119</v>
      </c>
      <c r="C723" s="2" t="s">
        <v>30</v>
      </c>
      <c r="D723" s="2" t="s">
        <v>126</v>
      </c>
      <c r="E723" s="2" t="s">
        <v>212</v>
      </c>
      <c r="F723" s="2">
        <v>2003.1679999999999</v>
      </c>
      <c r="G723" s="2" t="s">
        <v>206</v>
      </c>
      <c r="H723" s="2">
        <v>100</v>
      </c>
      <c r="I723" s="2">
        <v>2003.1679999999999</v>
      </c>
      <c r="J723" s="2" t="s">
        <v>52</v>
      </c>
      <c r="K723" s="20">
        <v>45207</v>
      </c>
      <c r="L723" s="20">
        <v>45212</v>
      </c>
      <c r="M723" s="20">
        <v>45212</v>
      </c>
      <c r="N723" s="2" t="s">
        <v>234</v>
      </c>
      <c r="O723" s="2" t="s">
        <v>46</v>
      </c>
      <c r="P723" s="2" t="s">
        <v>47</v>
      </c>
      <c r="Q723" s="2">
        <f t="shared" si="11"/>
        <v>1</v>
      </c>
    </row>
    <row r="724" spans="1:17" x14ac:dyDescent="0.25">
      <c r="A724" s="2" t="s">
        <v>2120</v>
      </c>
      <c r="B724" s="2" t="s">
        <v>2121</v>
      </c>
      <c r="C724" s="2" t="s">
        <v>30</v>
      </c>
      <c r="D724" s="2" t="s">
        <v>105</v>
      </c>
      <c r="E724" s="2" t="s">
        <v>212</v>
      </c>
      <c r="F724" s="2">
        <v>7.71</v>
      </c>
      <c r="G724" s="2" t="s">
        <v>206</v>
      </c>
      <c r="H724" s="2">
        <v>100</v>
      </c>
      <c r="I724" s="2">
        <v>7.71</v>
      </c>
      <c r="J724" s="2" t="s">
        <v>52</v>
      </c>
      <c r="K724" s="20">
        <v>45207</v>
      </c>
      <c r="L724" s="20">
        <v>45209</v>
      </c>
      <c r="M724" s="20">
        <v>45209</v>
      </c>
      <c r="N724" s="2" t="s">
        <v>207</v>
      </c>
      <c r="O724" s="2" t="s">
        <v>146</v>
      </c>
      <c r="P724" s="2" t="s">
        <v>73</v>
      </c>
      <c r="Q724" s="2">
        <f t="shared" si="11"/>
        <v>1</v>
      </c>
    </row>
    <row r="725" spans="1:17" x14ac:dyDescent="0.25">
      <c r="A725" s="2" t="s">
        <v>2123</v>
      </c>
      <c r="B725" s="2" t="s">
        <v>2124</v>
      </c>
      <c r="C725" s="2" t="s">
        <v>30</v>
      </c>
      <c r="D725" s="2" t="s">
        <v>81</v>
      </c>
      <c r="E725" s="2" t="s">
        <v>205</v>
      </c>
      <c r="F725" s="2">
        <v>115.29600000000001</v>
      </c>
      <c r="G725" s="2" t="s">
        <v>206</v>
      </c>
      <c r="H725" s="2">
        <v>80</v>
      </c>
      <c r="I725" s="2">
        <v>92.236800000000017</v>
      </c>
      <c r="J725" s="2" t="s">
        <v>52</v>
      </c>
      <c r="K725" s="20">
        <v>45208</v>
      </c>
      <c r="L725" s="20">
        <v>45215</v>
      </c>
      <c r="M725" s="20">
        <v>45215</v>
      </c>
      <c r="N725" s="2" t="s">
        <v>207</v>
      </c>
      <c r="O725" s="2" t="s">
        <v>25</v>
      </c>
      <c r="P725" s="2" t="s">
        <v>26</v>
      </c>
      <c r="Q725" s="2">
        <f t="shared" si="11"/>
        <v>1</v>
      </c>
    </row>
    <row r="726" spans="1:17" x14ac:dyDescent="0.25">
      <c r="A726" s="2" t="s">
        <v>2126</v>
      </c>
      <c r="B726" s="2" t="s">
        <v>2127</v>
      </c>
      <c r="C726" s="2" t="s">
        <v>19</v>
      </c>
      <c r="D726" s="2" t="s">
        <v>20</v>
      </c>
      <c r="E726" s="2" t="s">
        <v>212</v>
      </c>
      <c r="F726" s="2">
        <v>371.2</v>
      </c>
      <c r="G726" s="2" t="s">
        <v>206</v>
      </c>
      <c r="H726" s="2">
        <v>100</v>
      </c>
      <c r="I726" s="2">
        <v>371.2</v>
      </c>
      <c r="J726" s="2" t="s">
        <v>52</v>
      </c>
      <c r="K726" s="20">
        <v>45208</v>
      </c>
      <c r="L726" s="20">
        <v>45208</v>
      </c>
      <c r="M726" s="20">
        <v>45208</v>
      </c>
      <c r="N726" s="2" t="s">
        <v>220</v>
      </c>
      <c r="O726" s="2" t="s">
        <v>146</v>
      </c>
      <c r="P726" s="2" t="s">
        <v>73</v>
      </c>
      <c r="Q726" s="2">
        <f t="shared" si="11"/>
        <v>1</v>
      </c>
    </row>
    <row r="727" spans="1:17" x14ac:dyDescent="0.25">
      <c r="A727" s="2" t="s">
        <v>2128</v>
      </c>
      <c r="B727" s="2" t="s">
        <v>2129</v>
      </c>
      <c r="C727" s="2" t="s">
        <v>30</v>
      </c>
      <c r="D727" s="2" t="s">
        <v>20</v>
      </c>
      <c r="E727" s="2" t="s">
        <v>212</v>
      </c>
      <c r="F727" s="2">
        <v>32.67</v>
      </c>
      <c r="G727" s="2" t="s">
        <v>206</v>
      </c>
      <c r="H727" s="2">
        <v>100</v>
      </c>
      <c r="I727" s="2">
        <v>32.67</v>
      </c>
      <c r="J727" s="2" t="s">
        <v>52</v>
      </c>
      <c r="K727" s="20">
        <v>45209</v>
      </c>
      <c r="L727" s="20">
        <v>45215</v>
      </c>
      <c r="M727" s="20">
        <v>45215</v>
      </c>
      <c r="N727" s="2" t="s">
        <v>234</v>
      </c>
      <c r="O727" s="2" t="s">
        <v>146</v>
      </c>
      <c r="P727" s="2" t="s">
        <v>73</v>
      </c>
      <c r="Q727" s="2">
        <f t="shared" si="11"/>
        <v>1</v>
      </c>
    </row>
    <row r="728" spans="1:17" x14ac:dyDescent="0.25">
      <c r="A728" s="2" t="s">
        <v>2131</v>
      </c>
      <c r="B728" s="2" t="s">
        <v>2132</v>
      </c>
      <c r="C728" s="2" t="s">
        <v>30</v>
      </c>
      <c r="D728" s="2" t="s">
        <v>370</v>
      </c>
      <c r="E728" s="2" t="s">
        <v>212</v>
      </c>
      <c r="F728" s="2">
        <v>252.78399999999999</v>
      </c>
      <c r="G728" s="2" t="s">
        <v>206</v>
      </c>
      <c r="H728" s="2">
        <v>100</v>
      </c>
      <c r="I728" s="2">
        <v>252.78399999999999</v>
      </c>
      <c r="J728" s="2" t="s">
        <v>52</v>
      </c>
      <c r="K728" s="20">
        <v>45217</v>
      </c>
      <c r="L728" s="20">
        <v>45220</v>
      </c>
      <c r="M728" s="20">
        <v>45220</v>
      </c>
      <c r="N728" s="2" t="s">
        <v>207</v>
      </c>
      <c r="O728" s="2" t="s">
        <v>72</v>
      </c>
      <c r="P728" s="2" t="s">
        <v>73</v>
      </c>
      <c r="Q728" s="2">
        <f t="shared" si="11"/>
        <v>1</v>
      </c>
    </row>
    <row r="729" spans="1:17" x14ac:dyDescent="0.25">
      <c r="A729" s="2" t="s">
        <v>2134</v>
      </c>
      <c r="B729" s="2" t="s">
        <v>2135</v>
      </c>
      <c r="C729" s="2" t="s">
        <v>30</v>
      </c>
      <c r="D729" s="2" t="s">
        <v>31</v>
      </c>
      <c r="E729" s="2" t="s">
        <v>212</v>
      </c>
      <c r="F729" s="2">
        <v>386.91</v>
      </c>
      <c r="G729" s="2" t="s">
        <v>206</v>
      </c>
      <c r="H729" s="2">
        <v>100</v>
      </c>
      <c r="I729" s="2">
        <v>386.91</v>
      </c>
      <c r="J729" s="2" t="s">
        <v>52</v>
      </c>
      <c r="K729" s="20">
        <v>45221</v>
      </c>
      <c r="L729" s="20">
        <v>45225</v>
      </c>
      <c r="M729" s="20">
        <v>45225</v>
      </c>
      <c r="N729" s="2" t="s">
        <v>238</v>
      </c>
      <c r="O729" s="2" t="s">
        <v>67</v>
      </c>
      <c r="P729" s="2" t="s">
        <v>68</v>
      </c>
      <c r="Q729" s="2">
        <f t="shared" si="11"/>
        <v>1</v>
      </c>
    </row>
    <row r="730" spans="1:17" x14ac:dyDescent="0.25">
      <c r="A730" s="2" t="s">
        <v>2136</v>
      </c>
      <c r="B730" s="2" t="s">
        <v>2137</v>
      </c>
      <c r="C730" s="2" t="s">
        <v>30</v>
      </c>
      <c r="D730" s="2" t="s">
        <v>126</v>
      </c>
      <c r="E730" s="2" t="s">
        <v>205</v>
      </c>
      <c r="F730" s="2">
        <v>51.167999999999999</v>
      </c>
      <c r="G730" s="2" t="s">
        <v>206</v>
      </c>
      <c r="H730" s="2">
        <v>80</v>
      </c>
      <c r="I730" s="2">
        <v>40.934400000000004</v>
      </c>
      <c r="J730" s="2" t="s">
        <v>52</v>
      </c>
      <c r="K730" s="20">
        <v>45221</v>
      </c>
      <c r="L730" s="20">
        <v>45227</v>
      </c>
      <c r="M730" s="20">
        <v>45227</v>
      </c>
      <c r="N730" s="2" t="s">
        <v>234</v>
      </c>
      <c r="O730" s="2" t="s">
        <v>33</v>
      </c>
      <c r="P730" s="2" t="s">
        <v>34</v>
      </c>
      <c r="Q730" s="2">
        <f t="shared" si="11"/>
        <v>1</v>
      </c>
    </row>
    <row r="731" spans="1:17" x14ac:dyDescent="0.25">
      <c r="A731" s="2" t="s">
        <v>2139</v>
      </c>
      <c r="B731" s="2" t="s">
        <v>2140</v>
      </c>
      <c r="C731" s="2" t="s">
        <v>19</v>
      </c>
      <c r="D731" s="2" t="s">
        <v>230</v>
      </c>
      <c r="E731" s="2" t="s">
        <v>212</v>
      </c>
      <c r="F731" s="2">
        <v>81.92</v>
      </c>
      <c r="G731" s="2" t="s">
        <v>206</v>
      </c>
      <c r="H731" s="2">
        <v>100</v>
      </c>
      <c r="I731" s="2">
        <v>81.92</v>
      </c>
      <c r="J731" s="2" t="s">
        <v>52</v>
      </c>
      <c r="K731" s="20">
        <v>45221</v>
      </c>
      <c r="L731" s="20">
        <v>45226</v>
      </c>
      <c r="M731" s="20">
        <v>45226</v>
      </c>
      <c r="N731" s="2" t="s">
        <v>220</v>
      </c>
      <c r="O731" s="2" t="s">
        <v>25</v>
      </c>
      <c r="P731" s="2" t="s">
        <v>26</v>
      </c>
      <c r="Q731" s="2">
        <f t="shared" si="11"/>
        <v>1</v>
      </c>
    </row>
    <row r="732" spans="1:17" x14ac:dyDescent="0.25">
      <c r="A732" s="2" t="s">
        <v>2142</v>
      </c>
      <c r="B732" s="2" t="s">
        <v>2143</v>
      </c>
      <c r="C732" s="2" t="s">
        <v>30</v>
      </c>
      <c r="D732" s="2" t="s">
        <v>164</v>
      </c>
      <c r="E732" s="2" t="s">
        <v>212</v>
      </c>
      <c r="F732" s="2">
        <v>6.56</v>
      </c>
      <c r="G732" s="2" t="s">
        <v>206</v>
      </c>
      <c r="H732" s="2">
        <v>100</v>
      </c>
      <c r="I732" s="2">
        <v>6.56</v>
      </c>
      <c r="J732" s="2" t="s">
        <v>52</v>
      </c>
      <c r="K732" s="20">
        <v>45221</v>
      </c>
      <c r="L732" s="20">
        <v>45227</v>
      </c>
      <c r="M732" s="20">
        <v>45227</v>
      </c>
      <c r="N732" s="2" t="s">
        <v>234</v>
      </c>
      <c r="O732" s="2" t="s">
        <v>46</v>
      </c>
      <c r="P732" s="2" t="s">
        <v>47</v>
      </c>
      <c r="Q732" s="2">
        <f t="shared" si="11"/>
        <v>1</v>
      </c>
    </row>
    <row r="733" spans="1:17" x14ac:dyDescent="0.25">
      <c r="A733" s="2" t="s">
        <v>2144</v>
      </c>
      <c r="B733" s="2" t="s">
        <v>2145</v>
      </c>
      <c r="C733" s="2" t="s">
        <v>30</v>
      </c>
      <c r="D733" s="2" t="s">
        <v>211</v>
      </c>
      <c r="E733" s="2" t="s">
        <v>205</v>
      </c>
      <c r="F733" s="2">
        <v>37.44</v>
      </c>
      <c r="G733" s="2" t="s">
        <v>206</v>
      </c>
      <c r="H733" s="2">
        <v>80</v>
      </c>
      <c r="I733" s="2">
        <v>29.951999999999998</v>
      </c>
      <c r="J733" s="2" t="s">
        <v>52</v>
      </c>
      <c r="K733" s="20">
        <v>45222</v>
      </c>
      <c r="L733" s="20">
        <v>45224</v>
      </c>
      <c r="M733" s="20">
        <v>45224</v>
      </c>
      <c r="N733" s="2" t="s">
        <v>213</v>
      </c>
      <c r="O733" s="2" t="s">
        <v>146</v>
      </c>
      <c r="P733" s="2" t="s">
        <v>73</v>
      </c>
      <c r="Q733" s="2">
        <f t="shared" si="11"/>
        <v>1</v>
      </c>
    </row>
    <row r="734" spans="1:17" x14ac:dyDescent="0.25">
      <c r="A734" s="2" t="s">
        <v>2147</v>
      </c>
      <c r="B734" s="2" t="s">
        <v>2148</v>
      </c>
      <c r="C734" s="2" t="s">
        <v>19</v>
      </c>
      <c r="D734" s="2" t="s">
        <v>77</v>
      </c>
      <c r="E734" s="2" t="s">
        <v>205</v>
      </c>
      <c r="F734" s="2">
        <v>67.78</v>
      </c>
      <c r="G734" s="2" t="s">
        <v>206</v>
      </c>
      <c r="H734" s="2">
        <v>80</v>
      </c>
      <c r="I734" s="2">
        <v>54.224000000000004</v>
      </c>
      <c r="J734" s="2" t="s">
        <v>52</v>
      </c>
      <c r="K734" s="20">
        <v>45227</v>
      </c>
      <c r="L734" s="20">
        <v>45233</v>
      </c>
      <c r="M734" s="20">
        <v>45233</v>
      </c>
      <c r="N734" s="2" t="s">
        <v>207</v>
      </c>
      <c r="O734" s="2" t="s">
        <v>46</v>
      </c>
      <c r="P734" s="2" t="s">
        <v>47</v>
      </c>
      <c r="Q734" s="2">
        <f t="shared" si="11"/>
        <v>1</v>
      </c>
    </row>
    <row r="735" spans="1:17" x14ac:dyDescent="0.25">
      <c r="A735" s="2" t="s">
        <v>2149</v>
      </c>
      <c r="B735" s="2" t="s">
        <v>2150</v>
      </c>
      <c r="C735" s="2" t="s">
        <v>30</v>
      </c>
      <c r="D735" s="2" t="s">
        <v>51</v>
      </c>
      <c r="E735" s="2" t="s">
        <v>212</v>
      </c>
      <c r="F735" s="2">
        <v>14.976000000000001</v>
      </c>
      <c r="G735" s="2" t="s">
        <v>206</v>
      </c>
      <c r="H735" s="2">
        <v>100</v>
      </c>
      <c r="I735" s="2">
        <v>14.976000000000001</v>
      </c>
      <c r="J735" s="2" t="s">
        <v>52</v>
      </c>
      <c r="K735" s="20">
        <v>45227</v>
      </c>
      <c r="L735" s="20">
        <v>45232</v>
      </c>
      <c r="M735" s="20">
        <v>45232</v>
      </c>
      <c r="N735" s="2" t="s">
        <v>238</v>
      </c>
      <c r="O735" s="2" t="s">
        <v>46</v>
      </c>
      <c r="P735" s="2" t="s">
        <v>47</v>
      </c>
      <c r="Q735" s="2">
        <f t="shared" si="11"/>
        <v>1</v>
      </c>
    </row>
    <row r="736" spans="1:17" x14ac:dyDescent="0.25">
      <c r="A736" s="2" t="s">
        <v>2152</v>
      </c>
      <c r="B736" s="2" t="s">
        <v>2153</v>
      </c>
      <c r="C736" s="2" t="s">
        <v>30</v>
      </c>
      <c r="D736" s="2" t="s">
        <v>58</v>
      </c>
      <c r="E736" s="2" t="s">
        <v>212</v>
      </c>
      <c r="F736" s="2">
        <v>35.909999999999997</v>
      </c>
      <c r="G736" s="2" t="s">
        <v>206</v>
      </c>
      <c r="H736" s="2">
        <v>100</v>
      </c>
      <c r="I736" s="2">
        <v>35.909999999999997</v>
      </c>
      <c r="J736" s="2" t="s">
        <v>52</v>
      </c>
      <c r="K736" s="20">
        <v>45228</v>
      </c>
      <c r="L736" s="20">
        <v>45228</v>
      </c>
      <c r="M736" s="20">
        <v>45228</v>
      </c>
      <c r="N736" s="2" t="s">
        <v>220</v>
      </c>
      <c r="O736" s="2" t="s">
        <v>54</v>
      </c>
      <c r="P736" s="2" t="s">
        <v>26</v>
      </c>
      <c r="Q736" s="2">
        <f t="shared" si="11"/>
        <v>1</v>
      </c>
    </row>
    <row r="737" spans="1:17" x14ac:dyDescent="0.25">
      <c r="A737" s="2" t="s">
        <v>2154</v>
      </c>
      <c r="B737" s="2" t="s">
        <v>2155</v>
      </c>
      <c r="C737" s="2" t="s">
        <v>19</v>
      </c>
      <c r="D737" s="2" t="s">
        <v>51</v>
      </c>
      <c r="E737" s="2" t="s">
        <v>205</v>
      </c>
      <c r="F737" s="2">
        <v>13.092000000000001</v>
      </c>
      <c r="G737" s="2" t="s">
        <v>206</v>
      </c>
      <c r="H737" s="2">
        <v>80</v>
      </c>
      <c r="I737" s="2">
        <v>10.473600000000001</v>
      </c>
      <c r="J737" s="2" t="s">
        <v>52</v>
      </c>
      <c r="K737" s="20">
        <v>45228</v>
      </c>
      <c r="L737" s="20">
        <v>45235</v>
      </c>
      <c r="M737" s="20">
        <v>45235</v>
      </c>
      <c r="N737" s="2" t="s">
        <v>220</v>
      </c>
      <c r="O737" s="2" t="s">
        <v>82</v>
      </c>
      <c r="P737" s="2" t="s">
        <v>47</v>
      </c>
      <c r="Q737" s="2">
        <f t="shared" si="11"/>
        <v>1</v>
      </c>
    </row>
    <row r="738" spans="1:17" x14ac:dyDescent="0.25">
      <c r="A738" s="2" t="s">
        <v>2156</v>
      </c>
      <c r="B738" s="2" t="s">
        <v>2157</v>
      </c>
      <c r="C738" s="2" t="s">
        <v>19</v>
      </c>
      <c r="D738" s="2" t="s">
        <v>119</v>
      </c>
      <c r="E738" s="2" t="s">
        <v>205</v>
      </c>
      <c r="F738" s="2">
        <v>63.88</v>
      </c>
      <c r="G738" s="2" t="s">
        <v>206</v>
      </c>
      <c r="H738" s="2">
        <v>80</v>
      </c>
      <c r="I738" s="2">
        <v>51.104000000000006</v>
      </c>
      <c r="J738" s="2" t="s">
        <v>52</v>
      </c>
      <c r="K738" s="20">
        <v>45229</v>
      </c>
      <c r="L738" s="20">
        <v>45232</v>
      </c>
      <c r="M738" s="20">
        <v>45232</v>
      </c>
      <c r="N738" s="2" t="s">
        <v>213</v>
      </c>
      <c r="O738" s="2" t="s">
        <v>67</v>
      </c>
      <c r="P738" s="2" t="s">
        <v>68</v>
      </c>
      <c r="Q738" s="2">
        <f t="shared" si="11"/>
        <v>1</v>
      </c>
    </row>
    <row r="739" spans="1:17" x14ac:dyDescent="0.25">
      <c r="A739" s="2" t="s">
        <v>2159</v>
      </c>
      <c r="B739" s="2" t="s">
        <v>2160</v>
      </c>
      <c r="C739" s="2" t="s">
        <v>19</v>
      </c>
      <c r="D739" s="2" t="s">
        <v>31</v>
      </c>
      <c r="E739" s="2" t="s">
        <v>212</v>
      </c>
      <c r="F739" s="2">
        <v>12.294</v>
      </c>
      <c r="G739" s="2" t="s">
        <v>206</v>
      </c>
      <c r="H739" s="2">
        <v>100</v>
      </c>
      <c r="I739" s="2">
        <v>12.294</v>
      </c>
      <c r="J739" s="2" t="s">
        <v>52</v>
      </c>
      <c r="K739" s="20">
        <v>45230</v>
      </c>
      <c r="L739" s="20">
        <v>45235</v>
      </c>
      <c r="M739" s="20">
        <v>45235</v>
      </c>
      <c r="N739" s="2" t="s">
        <v>238</v>
      </c>
      <c r="O739" s="2" t="s">
        <v>67</v>
      </c>
      <c r="P739" s="2" t="s">
        <v>68</v>
      </c>
      <c r="Q739" s="2">
        <f t="shared" si="11"/>
        <v>1</v>
      </c>
    </row>
    <row r="740" spans="1:17" x14ac:dyDescent="0.25">
      <c r="A740" s="2" t="s">
        <v>2162</v>
      </c>
      <c r="B740" s="2" t="s">
        <v>2163</v>
      </c>
      <c r="C740" s="2" t="s">
        <v>19</v>
      </c>
      <c r="D740" s="2" t="s">
        <v>44</v>
      </c>
      <c r="E740" s="2" t="s">
        <v>212</v>
      </c>
      <c r="F740" s="2">
        <v>174.3</v>
      </c>
      <c r="G740" s="2" t="s">
        <v>206</v>
      </c>
      <c r="H740" s="2">
        <v>100</v>
      </c>
      <c r="I740" s="2">
        <v>174.3</v>
      </c>
      <c r="J740" s="2" t="s">
        <v>52</v>
      </c>
      <c r="K740" s="20">
        <v>45231</v>
      </c>
      <c r="L740" s="20">
        <v>45237</v>
      </c>
      <c r="M740" s="20">
        <v>45237</v>
      </c>
      <c r="N740" s="2" t="s">
        <v>234</v>
      </c>
      <c r="O740" s="2" t="s">
        <v>54</v>
      </c>
      <c r="P740" s="2" t="s">
        <v>26</v>
      </c>
      <c r="Q740" s="2">
        <f t="shared" si="11"/>
        <v>1</v>
      </c>
    </row>
    <row r="741" spans="1:17" x14ac:dyDescent="0.25">
      <c r="A741" s="2" t="s">
        <v>2165</v>
      </c>
      <c r="B741" s="2" t="s">
        <v>2166</v>
      </c>
      <c r="C741" s="2" t="s">
        <v>19</v>
      </c>
      <c r="D741" s="2" t="s">
        <v>51</v>
      </c>
      <c r="E741" s="2" t="s">
        <v>212</v>
      </c>
      <c r="F741" s="2">
        <v>140.73599999999999</v>
      </c>
      <c r="G741" s="2" t="s">
        <v>206</v>
      </c>
      <c r="H741" s="2">
        <v>100</v>
      </c>
      <c r="I741" s="2">
        <v>140.73599999999999</v>
      </c>
      <c r="J741" s="2" t="s">
        <v>52</v>
      </c>
      <c r="K741" s="20">
        <v>45231</v>
      </c>
      <c r="L741" s="20">
        <v>45235</v>
      </c>
      <c r="M741" s="20">
        <v>45235</v>
      </c>
      <c r="N741" s="2" t="s">
        <v>238</v>
      </c>
      <c r="O741" s="2" t="s">
        <v>33</v>
      </c>
      <c r="P741" s="2" t="s">
        <v>34</v>
      </c>
      <c r="Q741" s="2">
        <f t="shared" si="11"/>
        <v>1</v>
      </c>
    </row>
    <row r="742" spans="1:17" x14ac:dyDescent="0.25">
      <c r="A742" s="2" t="s">
        <v>2168</v>
      </c>
      <c r="B742" s="2" t="s">
        <v>2169</v>
      </c>
      <c r="C742" s="2" t="s">
        <v>30</v>
      </c>
      <c r="D742" s="2" t="s">
        <v>31</v>
      </c>
      <c r="E742" s="2" t="s">
        <v>21</v>
      </c>
      <c r="F742" s="2">
        <v>184.149</v>
      </c>
      <c r="G742" s="2" t="s">
        <v>22</v>
      </c>
      <c r="H742" s="2">
        <v>0</v>
      </c>
      <c r="I742" s="2">
        <v>0</v>
      </c>
      <c r="J742" s="2" t="s">
        <v>52</v>
      </c>
      <c r="K742" s="20">
        <v>45234</v>
      </c>
      <c r="L742" s="20">
        <v>45236</v>
      </c>
      <c r="M742" s="20">
        <v>45236</v>
      </c>
      <c r="N742" s="2" t="s">
        <v>63</v>
      </c>
      <c r="O742" s="2" t="s">
        <v>25</v>
      </c>
      <c r="P742" s="2" t="s">
        <v>26</v>
      </c>
      <c r="Q742" s="2">
        <f t="shared" si="11"/>
        <v>1</v>
      </c>
    </row>
    <row r="743" spans="1:17" x14ac:dyDescent="0.25">
      <c r="A743" s="2" t="s">
        <v>2171</v>
      </c>
      <c r="B743" s="2" t="s">
        <v>2172</v>
      </c>
      <c r="C743" s="2" t="s">
        <v>19</v>
      </c>
      <c r="D743" s="2" t="s">
        <v>96</v>
      </c>
      <c r="E743" s="2" t="s">
        <v>205</v>
      </c>
      <c r="F743" s="2">
        <v>19.399999999999999</v>
      </c>
      <c r="G743" s="2" t="s">
        <v>206</v>
      </c>
      <c r="H743" s="2">
        <v>80</v>
      </c>
      <c r="I743" s="2">
        <v>15.52</v>
      </c>
      <c r="J743" s="2" t="s">
        <v>52</v>
      </c>
      <c r="K743" s="20">
        <v>45235</v>
      </c>
      <c r="L743" s="20">
        <v>45236</v>
      </c>
      <c r="M743" s="20">
        <v>45236</v>
      </c>
      <c r="N743" s="2" t="s">
        <v>248</v>
      </c>
      <c r="O743" s="2" t="s">
        <v>146</v>
      </c>
      <c r="P743" s="2" t="s">
        <v>73</v>
      </c>
      <c r="Q743" s="2">
        <f t="shared" si="11"/>
        <v>1</v>
      </c>
    </row>
    <row r="744" spans="1:17" x14ac:dyDescent="0.25">
      <c r="A744" s="2" t="s">
        <v>2173</v>
      </c>
      <c r="B744" s="2" t="s">
        <v>2174</v>
      </c>
      <c r="C744" s="2" t="s">
        <v>19</v>
      </c>
      <c r="D744" s="2" t="s">
        <v>38</v>
      </c>
      <c r="E744" s="2" t="s">
        <v>205</v>
      </c>
      <c r="F744" s="2">
        <v>182.994</v>
      </c>
      <c r="G744" s="2" t="s">
        <v>206</v>
      </c>
      <c r="H744" s="2">
        <v>80</v>
      </c>
      <c r="I744" s="2">
        <v>146.39520000000002</v>
      </c>
      <c r="J744" s="2" t="s">
        <v>52</v>
      </c>
      <c r="K744" s="20">
        <v>45236</v>
      </c>
      <c r="L744" s="20">
        <v>45241</v>
      </c>
      <c r="M744" s="20">
        <v>45241</v>
      </c>
      <c r="N744" s="2" t="s">
        <v>248</v>
      </c>
      <c r="O744" s="2" t="s">
        <v>25</v>
      </c>
      <c r="P744" s="2" t="s">
        <v>26</v>
      </c>
      <c r="Q744" s="2">
        <f t="shared" si="11"/>
        <v>1</v>
      </c>
    </row>
    <row r="745" spans="1:17" x14ac:dyDescent="0.25">
      <c r="A745" s="2" t="s">
        <v>2176</v>
      </c>
      <c r="B745" s="2" t="s">
        <v>2177</v>
      </c>
      <c r="C745" s="2" t="s">
        <v>30</v>
      </c>
      <c r="D745" s="2" t="s">
        <v>230</v>
      </c>
      <c r="E745" s="2" t="s">
        <v>212</v>
      </c>
      <c r="F745" s="2">
        <v>347.58</v>
      </c>
      <c r="G745" s="2" t="s">
        <v>206</v>
      </c>
      <c r="H745" s="2">
        <v>100</v>
      </c>
      <c r="I745" s="2">
        <v>347.58</v>
      </c>
      <c r="J745" s="2" t="s">
        <v>52</v>
      </c>
      <c r="K745" s="20">
        <v>45236</v>
      </c>
      <c r="L745" s="20">
        <v>45241</v>
      </c>
      <c r="M745" s="20">
        <v>45241</v>
      </c>
      <c r="N745" s="2" t="s">
        <v>248</v>
      </c>
      <c r="O745" s="2" t="s">
        <v>67</v>
      </c>
      <c r="P745" s="2" t="s">
        <v>68</v>
      </c>
      <c r="Q745" s="2">
        <f t="shared" si="11"/>
        <v>1</v>
      </c>
    </row>
    <row r="746" spans="1:17" x14ac:dyDescent="0.25">
      <c r="A746" s="2" t="s">
        <v>2179</v>
      </c>
      <c r="B746" s="2" t="s">
        <v>2180</v>
      </c>
      <c r="C746" s="2" t="s">
        <v>19</v>
      </c>
      <c r="D746" s="2" t="s">
        <v>164</v>
      </c>
      <c r="E746" s="2" t="s">
        <v>21</v>
      </c>
      <c r="F746" s="2">
        <v>368.43200000000002</v>
      </c>
      <c r="G746" s="2" t="s">
        <v>22</v>
      </c>
      <c r="H746" s="2">
        <v>0</v>
      </c>
      <c r="I746" s="2">
        <v>0</v>
      </c>
      <c r="J746" s="2" t="s">
        <v>52</v>
      </c>
      <c r="K746" s="20">
        <v>45237</v>
      </c>
      <c r="L746" s="20">
        <v>45240</v>
      </c>
      <c r="M746" s="20">
        <v>45240</v>
      </c>
      <c r="N746" s="2" t="s">
        <v>45</v>
      </c>
      <c r="O746" s="2" t="s">
        <v>146</v>
      </c>
      <c r="P746" s="2" t="s">
        <v>73</v>
      </c>
      <c r="Q746" s="2">
        <f t="shared" si="11"/>
        <v>1</v>
      </c>
    </row>
    <row r="747" spans="1:17" x14ac:dyDescent="0.25">
      <c r="A747" s="2" t="s">
        <v>2181</v>
      </c>
      <c r="B747" s="2" t="s">
        <v>2182</v>
      </c>
      <c r="C747" s="2" t="s">
        <v>19</v>
      </c>
      <c r="D747" s="2" t="s">
        <v>186</v>
      </c>
      <c r="E747" s="2" t="s">
        <v>21</v>
      </c>
      <c r="F747" s="2">
        <v>1030.4940000000001</v>
      </c>
      <c r="G747" s="2" t="s">
        <v>22</v>
      </c>
      <c r="H747" s="2">
        <v>0</v>
      </c>
      <c r="I747" s="2">
        <v>0</v>
      </c>
      <c r="J747" s="2" t="s">
        <v>52</v>
      </c>
      <c r="K747" s="20">
        <v>45238</v>
      </c>
      <c r="L747" s="20">
        <v>45240</v>
      </c>
      <c r="M747" s="20">
        <v>45240</v>
      </c>
      <c r="N747" s="2" t="s">
        <v>45</v>
      </c>
      <c r="O747" s="2" t="s">
        <v>72</v>
      </c>
      <c r="P747" s="2" t="s">
        <v>73</v>
      </c>
      <c r="Q747" s="2">
        <f t="shared" si="11"/>
        <v>1</v>
      </c>
    </row>
    <row r="748" spans="1:17" x14ac:dyDescent="0.25">
      <c r="A748" s="2" t="s">
        <v>2184</v>
      </c>
      <c r="B748" s="2" t="s">
        <v>2185</v>
      </c>
      <c r="C748" s="2" t="s">
        <v>19</v>
      </c>
      <c r="D748" s="2" t="s">
        <v>38</v>
      </c>
      <c r="E748" s="2" t="s">
        <v>205</v>
      </c>
      <c r="F748" s="2">
        <v>359.32</v>
      </c>
      <c r="G748" s="2" t="s">
        <v>206</v>
      </c>
      <c r="H748" s="2">
        <v>80</v>
      </c>
      <c r="I748" s="2">
        <v>287.45600000000002</v>
      </c>
      <c r="J748" s="2" t="s">
        <v>52</v>
      </c>
      <c r="K748" s="20">
        <v>45238</v>
      </c>
      <c r="L748" s="20">
        <v>45242</v>
      </c>
      <c r="M748" s="20">
        <v>45242</v>
      </c>
      <c r="N748" s="2" t="s">
        <v>220</v>
      </c>
      <c r="O748" s="2" t="s">
        <v>46</v>
      </c>
      <c r="P748" s="2" t="s">
        <v>47</v>
      </c>
      <c r="Q748" s="2">
        <f t="shared" si="11"/>
        <v>1</v>
      </c>
    </row>
    <row r="749" spans="1:17" x14ac:dyDescent="0.25">
      <c r="A749" s="2" t="s">
        <v>2187</v>
      </c>
      <c r="B749" s="2" t="s">
        <v>2188</v>
      </c>
      <c r="C749" s="2" t="s">
        <v>19</v>
      </c>
      <c r="D749" s="2" t="s">
        <v>86</v>
      </c>
      <c r="E749" s="2" t="s">
        <v>1006</v>
      </c>
      <c r="F749" s="2">
        <v>238</v>
      </c>
      <c r="G749" s="2" t="s">
        <v>995</v>
      </c>
      <c r="H749" s="2">
        <v>0</v>
      </c>
      <c r="I749" s="2">
        <v>0</v>
      </c>
      <c r="J749" s="2" t="s">
        <v>52</v>
      </c>
      <c r="K749" s="20">
        <v>45240</v>
      </c>
      <c r="L749" s="20">
        <v>45245</v>
      </c>
      <c r="M749" s="20"/>
      <c r="O749" s="2" t="s">
        <v>67</v>
      </c>
      <c r="P749" s="2" t="s">
        <v>68</v>
      </c>
      <c r="Q749" s="2">
        <f t="shared" si="11"/>
        <v>1</v>
      </c>
    </row>
    <row r="750" spans="1:17" x14ac:dyDescent="0.25">
      <c r="A750" s="2" t="s">
        <v>2190</v>
      </c>
      <c r="B750" s="2" t="s">
        <v>2191</v>
      </c>
      <c r="C750" s="2" t="s">
        <v>19</v>
      </c>
      <c r="D750" s="2" t="s">
        <v>230</v>
      </c>
      <c r="E750" s="2" t="s">
        <v>21</v>
      </c>
      <c r="F750" s="2">
        <v>45.616</v>
      </c>
      <c r="G750" s="2" t="s">
        <v>22</v>
      </c>
      <c r="H750" s="2">
        <v>0</v>
      </c>
      <c r="I750" s="2">
        <v>0</v>
      </c>
      <c r="J750" s="2" t="s">
        <v>52</v>
      </c>
      <c r="K750" s="20">
        <v>45241</v>
      </c>
      <c r="L750" s="20">
        <v>45243</v>
      </c>
      <c r="M750" s="20">
        <v>45243</v>
      </c>
      <c r="N750" s="2" t="s">
        <v>24</v>
      </c>
      <c r="O750" s="2" t="s">
        <v>97</v>
      </c>
      <c r="P750" s="2" t="s">
        <v>68</v>
      </c>
      <c r="Q750" s="2">
        <f t="shared" si="11"/>
        <v>1</v>
      </c>
    </row>
    <row r="751" spans="1:17" x14ac:dyDescent="0.25">
      <c r="A751" s="2" t="s">
        <v>2193</v>
      </c>
      <c r="B751" s="2" t="s">
        <v>2194</v>
      </c>
      <c r="C751" s="2" t="s">
        <v>19</v>
      </c>
      <c r="D751" s="2" t="s">
        <v>211</v>
      </c>
      <c r="E751" s="2" t="s">
        <v>1006</v>
      </c>
      <c r="F751" s="2">
        <v>16.989999999999998</v>
      </c>
      <c r="G751" s="2" t="s">
        <v>995</v>
      </c>
      <c r="H751" s="2">
        <v>0</v>
      </c>
      <c r="I751" s="2">
        <v>0</v>
      </c>
      <c r="J751" s="2" t="s">
        <v>52</v>
      </c>
      <c r="K751" s="20">
        <v>45241</v>
      </c>
      <c r="L751" s="20">
        <v>45244</v>
      </c>
      <c r="M751" s="20"/>
      <c r="O751" s="2" t="s">
        <v>146</v>
      </c>
      <c r="P751" s="2" t="s">
        <v>73</v>
      </c>
      <c r="Q751" s="2">
        <f t="shared" si="11"/>
        <v>1</v>
      </c>
    </row>
    <row r="752" spans="1:17" x14ac:dyDescent="0.25">
      <c r="A752" s="2" t="s">
        <v>2195</v>
      </c>
      <c r="B752" s="2" t="s">
        <v>2196</v>
      </c>
      <c r="C752" s="2" t="s">
        <v>30</v>
      </c>
      <c r="D752" s="2" t="s">
        <v>86</v>
      </c>
      <c r="E752" s="2" t="s">
        <v>1002</v>
      </c>
      <c r="F752" s="2">
        <v>14.73</v>
      </c>
      <c r="G752" s="2" t="s">
        <v>995</v>
      </c>
      <c r="H752" s="2">
        <v>40</v>
      </c>
      <c r="I752" s="2">
        <v>5.8920000000000003</v>
      </c>
      <c r="J752" s="2" t="s">
        <v>52</v>
      </c>
      <c r="K752" s="20">
        <v>45244</v>
      </c>
      <c r="L752" s="20">
        <v>45248</v>
      </c>
      <c r="M752" s="20"/>
      <c r="O752" s="2" t="s">
        <v>146</v>
      </c>
      <c r="P752" s="2" t="s">
        <v>73</v>
      </c>
      <c r="Q752" s="2">
        <f t="shared" si="11"/>
        <v>1</v>
      </c>
    </row>
    <row r="753" spans="1:17" x14ac:dyDescent="0.25">
      <c r="A753" s="2" t="s">
        <v>2198</v>
      </c>
      <c r="B753" s="2" t="s">
        <v>2199</v>
      </c>
      <c r="C753" s="2" t="s">
        <v>19</v>
      </c>
      <c r="D753" s="2" t="s">
        <v>370</v>
      </c>
      <c r="E753" s="2" t="s">
        <v>1002</v>
      </c>
      <c r="F753" s="2">
        <v>31.56</v>
      </c>
      <c r="G753" s="2" t="s">
        <v>995</v>
      </c>
      <c r="H753" s="2">
        <v>40</v>
      </c>
      <c r="I753" s="2">
        <v>12.624000000000001</v>
      </c>
      <c r="J753" s="2" t="s">
        <v>52</v>
      </c>
      <c r="K753" s="20">
        <v>45244</v>
      </c>
      <c r="L753" s="20">
        <v>45248</v>
      </c>
      <c r="M753" s="20"/>
      <c r="O753" s="2" t="s">
        <v>82</v>
      </c>
      <c r="P753" s="2" t="s">
        <v>47</v>
      </c>
      <c r="Q753" s="2">
        <f t="shared" si="11"/>
        <v>1</v>
      </c>
    </row>
    <row r="754" spans="1:17" x14ac:dyDescent="0.25">
      <c r="A754" s="2" t="s">
        <v>2200</v>
      </c>
      <c r="B754" s="2" t="s">
        <v>2201</v>
      </c>
      <c r="C754" s="2" t="s">
        <v>19</v>
      </c>
      <c r="D754" s="2" t="s">
        <v>164</v>
      </c>
      <c r="E754" s="2" t="s">
        <v>1002</v>
      </c>
      <c r="F754" s="2">
        <v>639.96799999999996</v>
      </c>
      <c r="G754" s="2" t="s">
        <v>995</v>
      </c>
      <c r="H754" s="2">
        <v>40</v>
      </c>
      <c r="I754" s="2">
        <v>255.9872</v>
      </c>
      <c r="J754" s="2" t="s">
        <v>52</v>
      </c>
      <c r="K754" s="20">
        <v>45244</v>
      </c>
      <c r="L754" s="20">
        <v>45248</v>
      </c>
      <c r="M754" s="20"/>
      <c r="O754" s="2" t="s">
        <v>25</v>
      </c>
      <c r="P754" s="2" t="s">
        <v>26</v>
      </c>
      <c r="Q754" s="2">
        <f t="shared" si="11"/>
        <v>1</v>
      </c>
    </row>
    <row r="755" spans="1:17" x14ac:dyDescent="0.25">
      <c r="A755" s="2" t="s">
        <v>2203</v>
      </c>
      <c r="B755" s="2" t="s">
        <v>2204</v>
      </c>
      <c r="C755" s="2" t="s">
        <v>30</v>
      </c>
      <c r="D755" s="2" t="s">
        <v>105</v>
      </c>
      <c r="E755" s="2" t="s">
        <v>1002</v>
      </c>
      <c r="F755" s="2">
        <v>83.9</v>
      </c>
      <c r="G755" s="2" t="s">
        <v>995</v>
      </c>
      <c r="H755" s="2">
        <v>40</v>
      </c>
      <c r="I755" s="2">
        <v>33.56</v>
      </c>
      <c r="J755" s="2" t="s">
        <v>52</v>
      </c>
      <c r="K755" s="20">
        <v>45247</v>
      </c>
      <c r="L755" s="20">
        <v>45248</v>
      </c>
      <c r="M755" s="20"/>
      <c r="O755" s="2" t="s">
        <v>33</v>
      </c>
      <c r="P755" s="2" t="s">
        <v>34</v>
      </c>
      <c r="Q755" s="2">
        <f t="shared" si="11"/>
        <v>1</v>
      </c>
    </row>
    <row r="756" spans="1:17" x14ac:dyDescent="0.25">
      <c r="A756" s="2" t="s">
        <v>2206</v>
      </c>
      <c r="B756" s="2" t="s">
        <v>2207</v>
      </c>
      <c r="C756" s="2" t="s">
        <v>19</v>
      </c>
      <c r="D756" s="2" t="s">
        <v>324</v>
      </c>
      <c r="E756" s="2" t="s">
        <v>994</v>
      </c>
      <c r="F756" s="2">
        <v>8.9399999999999906</v>
      </c>
      <c r="G756" s="2" t="s">
        <v>995</v>
      </c>
      <c r="H756" s="2">
        <v>40</v>
      </c>
      <c r="I756" s="2">
        <v>3.5759999999999965</v>
      </c>
      <c r="J756" s="2" t="s">
        <v>52</v>
      </c>
      <c r="K756" s="20">
        <v>45248</v>
      </c>
      <c r="L756" s="20">
        <v>45253</v>
      </c>
      <c r="M756" s="20"/>
      <c r="O756" s="2" t="s">
        <v>25</v>
      </c>
      <c r="P756" s="2" t="s">
        <v>26</v>
      </c>
      <c r="Q756" s="2">
        <f t="shared" si="11"/>
        <v>1</v>
      </c>
    </row>
    <row r="757" spans="1:17" x14ac:dyDescent="0.25">
      <c r="A757" s="2" t="s">
        <v>2208</v>
      </c>
      <c r="B757" s="2" t="s">
        <v>2209</v>
      </c>
      <c r="C757" s="2" t="s">
        <v>19</v>
      </c>
      <c r="D757" s="2" t="s">
        <v>370</v>
      </c>
      <c r="E757" s="2" t="s">
        <v>1002</v>
      </c>
      <c r="F757" s="2">
        <v>27.86</v>
      </c>
      <c r="G757" s="2" t="s">
        <v>995</v>
      </c>
      <c r="H757" s="2">
        <v>40</v>
      </c>
      <c r="I757" s="2">
        <v>11.144</v>
      </c>
      <c r="J757" s="2" t="s">
        <v>52</v>
      </c>
      <c r="K757" s="20">
        <v>45250</v>
      </c>
      <c r="L757" s="20">
        <v>45252</v>
      </c>
      <c r="M757" s="20"/>
      <c r="O757" s="2" t="s">
        <v>82</v>
      </c>
      <c r="P757" s="2" t="s">
        <v>47</v>
      </c>
      <c r="Q757" s="2">
        <f t="shared" si="11"/>
        <v>1</v>
      </c>
    </row>
    <row r="758" spans="1:17" x14ac:dyDescent="0.25">
      <c r="A758" s="2" t="s">
        <v>2211</v>
      </c>
      <c r="B758" s="2" t="s">
        <v>2212</v>
      </c>
      <c r="C758" s="2" t="s">
        <v>30</v>
      </c>
      <c r="D758" s="2" t="s">
        <v>230</v>
      </c>
      <c r="E758" s="2" t="s">
        <v>994</v>
      </c>
      <c r="F758" s="2">
        <v>390.36799999999999</v>
      </c>
      <c r="G758" s="2" t="s">
        <v>995</v>
      </c>
      <c r="H758" s="2">
        <v>40</v>
      </c>
      <c r="I758" s="2">
        <v>156.1472</v>
      </c>
      <c r="J758" s="2" t="s">
        <v>52</v>
      </c>
      <c r="K758" s="20">
        <v>45251</v>
      </c>
      <c r="L758" s="20">
        <v>45255</v>
      </c>
      <c r="M758" s="20"/>
      <c r="O758" s="2" t="s">
        <v>97</v>
      </c>
      <c r="P758" s="2" t="s">
        <v>68</v>
      </c>
      <c r="Q758" s="2">
        <f t="shared" si="11"/>
        <v>1</v>
      </c>
    </row>
    <row r="759" spans="1:17" x14ac:dyDescent="0.25">
      <c r="A759" s="2" t="s">
        <v>2213</v>
      </c>
      <c r="B759" s="2" t="s">
        <v>2214</v>
      </c>
      <c r="C759" s="2" t="s">
        <v>30</v>
      </c>
      <c r="D759" s="2" t="s">
        <v>324</v>
      </c>
      <c r="E759" s="2" t="s">
        <v>1002</v>
      </c>
      <c r="F759" s="2">
        <v>11.952</v>
      </c>
      <c r="G759" s="2" t="s">
        <v>995</v>
      </c>
      <c r="H759" s="2">
        <v>40</v>
      </c>
      <c r="I759" s="2">
        <v>4.7808000000000002</v>
      </c>
      <c r="J759" s="2" t="s">
        <v>52</v>
      </c>
      <c r="K759" s="20">
        <v>45252</v>
      </c>
      <c r="L759" s="20">
        <v>45252</v>
      </c>
      <c r="M759" s="20"/>
      <c r="O759" s="2" t="s">
        <v>40</v>
      </c>
      <c r="P759" s="2" t="s">
        <v>34</v>
      </c>
      <c r="Q759" s="2">
        <f t="shared" si="11"/>
        <v>1</v>
      </c>
    </row>
    <row r="760" spans="1:17" x14ac:dyDescent="0.25">
      <c r="A760" s="2" t="s">
        <v>2215</v>
      </c>
      <c r="B760" s="2" t="s">
        <v>2216</v>
      </c>
      <c r="C760" s="2" t="s">
        <v>19</v>
      </c>
      <c r="D760" s="2" t="s">
        <v>164</v>
      </c>
      <c r="E760" s="2" t="s">
        <v>1002</v>
      </c>
      <c r="F760" s="2">
        <v>290.98</v>
      </c>
      <c r="G760" s="2" t="s">
        <v>995</v>
      </c>
      <c r="H760" s="2">
        <v>40</v>
      </c>
      <c r="I760" s="2">
        <v>116.39200000000001</v>
      </c>
      <c r="J760" s="2" t="s">
        <v>52</v>
      </c>
      <c r="K760" s="20">
        <v>45252</v>
      </c>
      <c r="L760" s="20">
        <v>45257</v>
      </c>
      <c r="M760" s="20"/>
      <c r="O760" s="2" t="s">
        <v>46</v>
      </c>
      <c r="P760" s="2" t="s">
        <v>47</v>
      </c>
      <c r="Q760" s="2">
        <f t="shared" si="11"/>
        <v>1</v>
      </c>
    </row>
    <row r="761" spans="1:17" x14ac:dyDescent="0.25">
      <c r="A761" s="2" t="s">
        <v>2218</v>
      </c>
      <c r="B761" s="2" t="s">
        <v>2219</v>
      </c>
      <c r="C761" s="2" t="s">
        <v>30</v>
      </c>
      <c r="D761" s="2" t="s">
        <v>119</v>
      </c>
      <c r="E761" s="2" t="s">
        <v>994</v>
      </c>
      <c r="F761" s="2">
        <v>71.98</v>
      </c>
      <c r="G761" s="2" t="s">
        <v>995</v>
      </c>
      <c r="H761" s="2">
        <v>15</v>
      </c>
      <c r="I761" s="2">
        <v>10.797000000000001</v>
      </c>
      <c r="J761" s="2" t="s">
        <v>52</v>
      </c>
      <c r="K761" s="20">
        <v>45253</v>
      </c>
      <c r="L761" s="20">
        <v>45257</v>
      </c>
      <c r="M761" s="20"/>
      <c r="O761" s="2" t="s">
        <v>46</v>
      </c>
      <c r="P761" s="2" t="s">
        <v>47</v>
      </c>
      <c r="Q761" s="2">
        <f t="shared" si="11"/>
        <v>1</v>
      </c>
    </row>
    <row r="762" spans="1:17" x14ac:dyDescent="0.25">
      <c r="A762" s="2" t="s">
        <v>2220</v>
      </c>
      <c r="B762" s="2" t="s">
        <v>2221</v>
      </c>
      <c r="C762" s="2" t="s">
        <v>30</v>
      </c>
      <c r="D762" s="2" t="s">
        <v>86</v>
      </c>
      <c r="E762" s="2" t="s">
        <v>1006</v>
      </c>
      <c r="F762" s="2">
        <v>316</v>
      </c>
      <c r="G762" s="2" t="s">
        <v>995</v>
      </c>
      <c r="H762" s="2">
        <v>0</v>
      </c>
      <c r="I762" s="2">
        <v>0</v>
      </c>
      <c r="J762" s="2" t="s">
        <v>52</v>
      </c>
      <c r="K762" s="20">
        <v>45255</v>
      </c>
      <c r="L762" s="20">
        <v>45260</v>
      </c>
      <c r="M762" s="20"/>
      <c r="O762" s="2" t="s">
        <v>146</v>
      </c>
      <c r="P762" s="2" t="s">
        <v>73</v>
      </c>
      <c r="Q762" s="2">
        <f t="shared" si="11"/>
        <v>1</v>
      </c>
    </row>
    <row r="763" spans="1:17" x14ac:dyDescent="0.25">
      <c r="A763" s="2" t="s">
        <v>2223</v>
      </c>
      <c r="B763" s="2" t="s">
        <v>2224</v>
      </c>
      <c r="C763" s="2" t="s">
        <v>19</v>
      </c>
      <c r="D763" s="2" t="s">
        <v>150</v>
      </c>
      <c r="E763" s="2" t="s">
        <v>21</v>
      </c>
      <c r="F763" s="2">
        <v>180.71200000000002</v>
      </c>
      <c r="G763" s="2" t="s">
        <v>22</v>
      </c>
      <c r="H763" s="2">
        <v>0</v>
      </c>
      <c r="I763" s="2">
        <v>0</v>
      </c>
      <c r="J763" s="2" t="s">
        <v>52</v>
      </c>
      <c r="K763" s="20">
        <v>45255</v>
      </c>
      <c r="L763" s="20">
        <v>45257</v>
      </c>
      <c r="M763" s="20">
        <v>45257</v>
      </c>
      <c r="N763" s="2" t="s">
        <v>39</v>
      </c>
      <c r="O763" s="2" t="s">
        <v>82</v>
      </c>
      <c r="P763" s="2" t="s">
        <v>47</v>
      </c>
      <c r="Q763" s="2">
        <f t="shared" si="11"/>
        <v>1</v>
      </c>
    </row>
    <row r="764" spans="1:17" x14ac:dyDescent="0.25">
      <c r="A764" s="2" t="s">
        <v>2225</v>
      </c>
      <c r="B764" s="2" t="s">
        <v>2226</v>
      </c>
      <c r="C764" s="2" t="s">
        <v>19</v>
      </c>
      <c r="D764" s="2" t="s">
        <v>115</v>
      </c>
      <c r="E764" s="2" t="s">
        <v>994</v>
      </c>
      <c r="F764" s="2">
        <v>332.83199999999999</v>
      </c>
      <c r="G764" s="2" t="s">
        <v>995</v>
      </c>
      <c r="H764" s="2">
        <v>40</v>
      </c>
      <c r="I764" s="2">
        <v>133.1328</v>
      </c>
      <c r="J764" s="2" t="s">
        <v>52</v>
      </c>
      <c r="K764" s="20">
        <v>45256</v>
      </c>
      <c r="L764" s="20">
        <v>45260</v>
      </c>
      <c r="M764" s="20"/>
      <c r="O764" s="2" t="s">
        <v>33</v>
      </c>
      <c r="P764" s="2" t="s">
        <v>34</v>
      </c>
      <c r="Q764" s="2">
        <f t="shared" si="11"/>
        <v>1</v>
      </c>
    </row>
    <row r="765" spans="1:17" x14ac:dyDescent="0.25">
      <c r="A765" s="2" t="s">
        <v>2228</v>
      </c>
      <c r="B765" s="2" t="s">
        <v>2229</v>
      </c>
      <c r="C765" s="2" t="s">
        <v>30</v>
      </c>
      <c r="D765" s="2" t="s">
        <v>370</v>
      </c>
      <c r="E765" s="2" t="s">
        <v>1006</v>
      </c>
      <c r="F765" s="2">
        <v>14.56</v>
      </c>
      <c r="G765" s="2" t="s">
        <v>995</v>
      </c>
      <c r="H765" s="2">
        <v>0</v>
      </c>
      <c r="I765" s="2">
        <v>0</v>
      </c>
      <c r="J765" s="2" t="s">
        <v>52</v>
      </c>
      <c r="K765" s="20">
        <v>45257</v>
      </c>
      <c r="L765" s="20">
        <v>45261</v>
      </c>
      <c r="M765" s="20"/>
      <c r="O765" s="2" t="s">
        <v>54</v>
      </c>
      <c r="P765" s="2" t="s">
        <v>26</v>
      </c>
      <c r="Q765" s="2">
        <f t="shared" si="11"/>
        <v>1</v>
      </c>
    </row>
    <row r="766" spans="1:17" x14ac:dyDescent="0.25">
      <c r="A766" s="2" t="s">
        <v>2230</v>
      </c>
      <c r="B766" s="2" t="s">
        <v>2231</v>
      </c>
      <c r="C766" s="2" t="s">
        <v>30</v>
      </c>
      <c r="D766" s="2" t="s">
        <v>44</v>
      </c>
      <c r="E766" s="2" t="s">
        <v>1002</v>
      </c>
      <c r="F766" s="2">
        <v>55.98</v>
      </c>
      <c r="G766" s="2" t="s">
        <v>995</v>
      </c>
      <c r="H766" s="2">
        <v>40</v>
      </c>
      <c r="I766" s="2">
        <v>22.391999999999999</v>
      </c>
      <c r="J766" s="2" t="s">
        <v>52</v>
      </c>
      <c r="K766" s="20">
        <v>45257</v>
      </c>
      <c r="L766" s="20">
        <v>45263</v>
      </c>
      <c r="M766" s="20"/>
      <c r="O766" s="2" t="s">
        <v>25</v>
      </c>
      <c r="P766" s="2" t="s">
        <v>26</v>
      </c>
      <c r="Q766" s="2">
        <f t="shared" si="11"/>
        <v>1</v>
      </c>
    </row>
    <row r="767" spans="1:17" x14ac:dyDescent="0.25">
      <c r="A767" s="2" t="s">
        <v>2233</v>
      </c>
      <c r="B767" s="2" t="s">
        <v>2234</v>
      </c>
      <c r="C767" s="2" t="s">
        <v>30</v>
      </c>
      <c r="D767" s="2" t="s">
        <v>119</v>
      </c>
      <c r="E767" s="2" t="s">
        <v>21</v>
      </c>
      <c r="F767" s="2">
        <v>3236.41</v>
      </c>
      <c r="G767" s="2" t="s">
        <v>22</v>
      </c>
      <c r="H767" s="2">
        <v>0</v>
      </c>
      <c r="I767" s="2">
        <v>0</v>
      </c>
      <c r="J767" s="2" t="s">
        <v>52</v>
      </c>
      <c r="K767" s="20">
        <v>45257</v>
      </c>
      <c r="L767" s="20">
        <v>45260</v>
      </c>
      <c r="M767" s="20">
        <v>45260</v>
      </c>
      <c r="N767" s="2" t="s">
        <v>24</v>
      </c>
      <c r="O767" s="2" t="s">
        <v>46</v>
      </c>
      <c r="P767" s="2" t="s">
        <v>47</v>
      </c>
      <c r="Q767" s="2">
        <f t="shared" si="11"/>
        <v>1</v>
      </c>
    </row>
    <row r="768" spans="1:17" x14ac:dyDescent="0.25">
      <c r="A768" s="2" t="s">
        <v>2235</v>
      </c>
      <c r="B768" s="2" t="s">
        <v>2236</v>
      </c>
      <c r="C768" s="2" t="s">
        <v>30</v>
      </c>
      <c r="D768" s="2" t="s">
        <v>51</v>
      </c>
      <c r="E768" s="2" t="s">
        <v>1002</v>
      </c>
      <c r="F768" s="2">
        <v>125.13</v>
      </c>
      <c r="G768" s="2" t="s">
        <v>995</v>
      </c>
      <c r="H768" s="2">
        <v>40</v>
      </c>
      <c r="I768" s="2">
        <v>50.052</v>
      </c>
      <c r="J768" s="2" t="s">
        <v>52</v>
      </c>
      <c r="K768" s="20">
        <v>45257</v>
      </c>
      <c r="L768" s="20">
        <v>45260</v>
      </c>
      <c r="M768" s="20"/>
      <c r="O768" s="2" t="s">
        <v>25</v>
      </c>
      <c r="P768" s="2" t="s">
        <v>26</v>
      </c>
      <c r="Q768" s="2">
        <f t="shared" si="11"/>
        <v>1</v>
      </c>
    </row>
    <row r="769" spans="1:17" x14ac:dyDescent="0.25">
      <c r="A769" s="2" t="s">
        <v>2238</v>
      </c>
      <c r="B769" s="2" t="s">
        <v>2239</v>
      </c>
      <c r="C769" s="2" t="s">
        <v>30</v>
      </c>
      <c r="D769" s="2" t="s">
        <v>58</v>
      </c>
      <c r="E769" s="2" t="s">
        <v>1006</v>
      </c>
      <c r="F769" s="2">
        <v>115.96</v>
      </c>
      <c r="G769" s="2" t="s">
        <v>995</v>
      </c>
      <c r="H769" s="2">
        <v>0</v>
      </c>
      <c r="I769" s="2">
        <v>0</v>
      </c>
      <c r="J769" s="2" t="s">
        <v>52</v>
      </c>
      <c r="K769" s="20">
        <v>45258</v>
      </c>
      <c r="L769" s="20">
        <v>45260</v>
      </c>
      <c r="M769" s="20"/>
      <c r="O769" s="2" t="s">
        <v>25</v>
      </c>
      <c r="P769" s="2" t="s">
        <v>26</v>
      </c>
      <c r="Q769" s="2">
        <f t="shared" si="11"/>
        <v>1</v>
      </c>
    </row>
    <row r="770" spans="1:17" x14ac:dyDescent="0.25">
      <c r="A770" s="2" t="s">
        <v>2241</v>
      </c>
      <c r="B770" s="2" t="s">
        <v>2242</v>
      </c>
      <c r="C770" s="2" t="s">
        <v>19</v>
      </c>
      <c r="D770" s="2" t="s">
        <v>119</v>
      </c>
      <c r="E770" s="2" t="s">
        <v>994</v>
      </c>
      <c r="F770" s="2">
        <v>301.95999999999998</v>
      </c>
      <c r="G770" s="2" t="s">
        <v>995</v>
      </c>
      <c r="H770" s="2">
        <v>15</v>
      </c>
      <c r="I770" s="2">
        <v>45.293999999999997</v>
      </c>
      <c r="J770" s="2" t="s">
        <v>52</v>
      </c>
      <c r="K770" s="20">
        <v>45259</v>
      </c>
      <c r="L770" s="20">
        <v>45264</v>
      </c>
      <c r="M770" s="20"/>
      <c r="O770" s="2" t="s">
        <v>82</v>
      </c>
      <c r="P770" s="2" t="s">
        <v>47</v>
      </c>
      <c r="Q770" s="2">
        <f t="shared" ref="Q770:Q833" si="12">COUNTIF($A$2:$A$1778,A770)</f>
        <v>1</v>
      </c>
    </row>
    <row r="771" spans="1:17" x14ac:dyDescent="0.25">
      <c r="A771" s="2" t="s">
        <v>2243</v>
      </c>
      <c r="B771" s="2" t="s">
        <v>2244</v>
      </c>
      <c r="C771" s="2" t="s">
        <v>30</v>
      </c>
      <c r="D771" s="2" t="s">
        <v>31</v>
      </c>
      <c r="E771" s="2" t="s">
        <v>994</v>
      </c>
      <c r="F771" s="2">
        <v>65.989999999999995</v>
      </c>
      <c r="G771" s="2" t="s">
        <v>995</v>
      </c>
      <c r="H771" s="2">
        <v>40</v>
      </c>
      <c r="I771" s="2">
        <v>26.396000000000001</v>
      </c>
      <c r="J771" s="2" t="s">
        <v>52</v>
      </c>
      <c r="K771" s="20">
        <v>45260</v>
      </c>
      <c r="L771" s="20">
        <v>45262</v>
      </c>
      <c r="M771" s="20"/>
      <c r="O771" s="2" t="s">
        <v>82</v>
      </c>
      <c r="P771" s="2" t="s">
        <v>47</v>
      </c>
      <c r="Q771" s="2">
        <f t="shared" si="12"/>
        <v>1</v>
      </c>
    </row>
    <row r="772" spans="1:17" x14ac:dyDescent="0.25">
      <c r="A772" s="2" t="s">
        <v>2246</v>
      </c>
      <c r="B772" s="2" t="s">
        <v>2247</v>
      </c>
      <c r="C772" s="2" t="s">
        <v>19</v>
      </c>
      <c r="D772" s="2" t="s">
        <v>324</v>
      </c>
      <c r="E772" s="2" t="s">
        <v>1006</v>
      </c>
      <c r="F772" s="2">
        <v>50.32</v>
      </c>
      <c r="G772" s="2" t="s">
        <v>995</v>
      </c>
      <c r="H772" s="2">
        <v>0</v>
      </c>
      <c r="I772" s="2">
        <v>0</v>
      </c>
      <c r="J772" s="2" t="s">
        <v>52</v>
      </c>
      <c r="K772" s="20">
        <v>45262</v>
      </c>
      <c r="L772" s="20">
        <v>45267</v>
      </c>
      <c r="M772" s="20"/>
      <c r="O772" s="2" t="s">
        <v>72</v>
      </c>
      <c r="P772" s="2" t="s">
        <v>73</v>
      </c>
      <c r="Q772" s="2">
        <f t="shared" si="12"/>
        <v>1</v>
      </c>
    </row>
    <row r="773" spans="1:17" x14ac:dyDescent="0.25">
      <c r="A773" s="2" t="s">
        <v>2249</v>
      </c>
      <c r="B773" s="2" t="s">
        <v>2250</v>
      </c>
      <c r="C773" s="2" t="s">
        <v>30</v>
      </c>
      <c r="D773" s="2" t="s">
        <v>370</v>
      </c>
      <c r="E773" s="2" t="s">
        <v>1002</v>
      </c>
      <c r="F773" s="2">
        <v>19.04</v>
      </c>
      <c r="G773" s="2" t="s">
        <v>995</v>
      </c>
      <c r="H773" s="2">
        <v>40</v>
      </c>
      <c r="I773" s="2">
        <v>7.6159999999999997</v>
      </c>
      <c r="J773" s="2" t="s">
        <v>52</v>
      </c>
      <c r="K773" s="20">
        <v>45262</v>
      </c>
      <c r="L773" s="20">
        <v>45262</v>
      </c>
      <c r="M773" s="20"/>
      <c r="O773" s="2" t="s">
        <v>25</v>
      </c>
      <c r="P773" s="2" t="s">
        <v>26</v>
      </c>
      <c r="Q773" s="2">
        <f t="shared" si="12"/>
        <v>1</v>
      </c>
    </row>
    <row r="774" spans="1:17" x14ac:dyDescent="0.25">
      <c r="A774" s="2" t="s">
        <v>2252</v>
      </c>
      <c r="B774" s="2" t="s">
        <v>2253</v>
      </c>
      <c r="C774" s="2" t="s">
        <v>19</v>
      </c>
      <c r="D774" s="2" t="s">
        <v>345</v>
      </c>
      <c r="E774" s="2" t="s">
        <v>21</v>
      </c>
      <c r="F774" s="2">
        <v>1165.3279999999997</v>
      </c>
      <c r="G774" s="2" t="s">
        <v>22</v>
      </c>
      <c r="H774" s="2">
        <v>0</v>
      </c>
      <c r="I774" s="2">
        <v>0</v>
      </c>
      <c r="J774" s="2" t="s">
        <v>52</v>
      </c>
      <c r="K774" s="20">
        <v>45264</v>
      </c>
      <c r="L774" s="20">
        <v>45267</v>
      </c>
      <c r="M774" s="20">
        <v>45267</v>
      </c>
      <c r="N774" s="2" t="s">
        <v>63</v>
      </c>
      <c r="O774" s="2" t="s">
        <v>33</v>
      </c>
      <c r="P774" s="2" t="s">
        <v>34</v>
      </c>
      <c r="Q774" s="2">
        <f t="shared" si="12"/>
        <v>1</v>
      </c>
    </row>
    <row r="775" spans="1:17" x14ac:dyDescent="0.25">
      <c r="A775" s="2" t="s">
        <v>2255</v>
      </c>
      <c r="B775" s="2" t="s">
        <v>2256</v>
      </c>
      <c r="C775" s="2" t="s">
        <v>19</v>
      </c>
      <c r="D775" s="2" t="s">
        <v>126</v>
      </c>
      <c r="E775" s="2" t="s">
        <v>21</v>
      </c>
      <c r="F775" s="2">
        <v>1761.8500000000001</v>
      </c>
      <c r="G775" s="2" t="s">
        <v>22</v>
      </c>
      <c r="H775" s="2">
        <v>0</v>
      </c>
      <c r="I775" s="2">
        <v>0</v>
      </c>
      <c r="J775" s="2" t="s">
        <v>52</v>
      </c>
      <c r="K775" s="20">
        <v>45264</v>
      </c>
      <c r="L775" s="20">
        <v>45267</v>
      </c>
      <c r="M775" s="20">
        <v>45267</v>
      </c>
      <c r="N775" s="2" t="s">
        <v>32</v>
      </c>
      <c r="O775" s="2" t="s">
        <v>146</v>
      </c>
      <c r="P775" s="2" t="s">
        <v>73</v>
      </c>
      <c r="Q775" s="2">
        <f t="shared" si="12"/>
        <v>1</v>
      </c>
    </row>
    <row r="776" spans="1:17" x14ac:dyDescent="0.25">
      <c r="A776" s="2" t="s">
        <v>2258</v>
      </c>
      <c r="B776" s="2" t="s">
        <v>2259</v>
      </c>
      <c r="C776" s="2" t="s">
        <v>30</v>
      </c>
      <c r="D776" s="2" t="s">
        <v>115</v>
      </c>
      <c r="E776" s="2" t="s">
        <v>21</v>
      </c>
      <c r="F776" s="2">
        <v>611.02800000000002</v>
      </c>
      <c r="G776" s="2" t="s">
        <v>22</v>
      </c>
      <c r="H776" s="2">
        <v>0</v>
      </c>
      <c r="I776" s="2">
        <v>0</v>
      </c>
      <c r="J776" s="2" t="s">
        <v>52</v>
      </c>
      <c r="K776" s="20">
        <v>45265</v>
      </c>
      <c r="L776" s="20">
        <v>45266</v>
      </c>
      <c r="M776" s="20">
        <v>45266</v>
      </c>
      <c r="N776" s="2" t="s">
        <v>39</v>
      </c>
      <c r="O776" s="2" t="s">
        <v>25</v>
      </c>
      <c r="P776" s="2" t="s">
        <v>26</v>
      </c>
      <c r="Q776" s="2">
        <f t="shared" si="12"/>
        <v>1</v>
      </c>
    </row>
    <row r="777" spans="1:17" x14ac:dyDescent="0.25">
      <c r="A777" s="2" t="s">
        <v>2260</v>
      </c>
      <c r="B777" s="2" t="s">
        <v>2261</v>
      </c>
      <c r="C777" s="2" t="s">
        <v>19</v>
      </c>
      <c r="D777" s="2" t="s">
        <v>58</v>
      </c>
      <c r="E777" s="2" t="s">
        <v>1002</v>
      </c>
      <c r="F777" s="2">
        <v>115.29600000000001</v>
      </c>
      <c r="G777" s="2" t="s">
        <v>995</v>
      </c>
      <c r="H777" s="2">
        <v>40</v>
      </c>
      <c r="I777" s="2">
        <v>46.118400000000008</v>
      </c>
      <c r="J777" s="2" t="s">
        <v>52</v>
      </c>
      <c r="K777" s="20">
        <v>45266</v>
      </c>
      <c r="L777" s="20">
        <v>45269</v>
      </c>
      <c r="M777" s="20"/>
      <c r="O777" s="2" t="s">
        <v>146</v>
      </c>
      <c r="P777" s="2" t="s">
        <v>73</v>
      </c>
      <c r="Q777" s="2">
        <f t="shared" si="12"/>
        <v>1</v>
      </c>
    </row>
    <row r="778" spans="1:17" x14ac:dyDescent="0.25">
      <c r="A778" s="2" t="s">
        <v>2262</v>
      </c>
      <c r="B778" s="2" t="s">
        <v>2263</v>
      </c>
      <c r="C778" s="2" t="s">
        <v>30</v>
      </c>
      <c r="D778" s="2" t="s">
        <v>115</v>
      </c>
      <c r="E778" s="2" t="s">
        <v>994</v>
      </c>
      <c r="F778" s="2">
        <v>59.98</v>
      </c>
      <c r="G778" s="2" t="s">
        <v>995</v>
      </c>
      <c r="H778" s="2">
        <v>40</v>
      </c>
      <c r="I778" s="2">
        <v>23.992000000000001</v>
      </c>
      <c r="J778" s="2" t="s">
        <v>52</v>
      </c>
      <c r="K778" s="20">
        <v>45266</v>
      </c>
      <c r="L778" s="20">
        <v>45271</v>
      </c>
      <c r="M778" s="20"/>
      <c r="O778" s="2" t="s">
        <v>72</v>
      </c>
      <c r="P778" s="2" t="s">
        <v>73</v>
      </c>
      <c r="Q778" s="2">
        <f t="shared" si="12"/>
        <v>1</v>
      </c>
    </row>
    <row r="779" spans="1:17" x14ac:dyDescent="0.25">
      <c r="A779" s="2" t="s">
        <v>2264</v>
      </c>
      <c r="B779" s="2" t="s">
        <v>2265</v>
      </c>
      <c r="C779" s="2" t="s">
        <v>19</v>
      </c>
      <c r="D779" s="2" t="s">
        <v>119</v>
      </c>
      <c r="E779" s="2" t="s">
        <v>1006</v>
      </c>
      <c r="F779" s="2">
        <v>106.32</v>
      </c>
      <c r="G779" s="2" t="s">
        <v>995</v>
      </c>
      <c r="H779" s="2">
        <v>0</v>
      </c>
      <c r="I779" s="2">
        <v>0</v>
      </c>
      <c r="J779" s="2" t="s">
        <v>52</v>
      </c>
      <c r="K779" s="20">
        <v>45270</v>
      </c>
      <c r="L779" s="20">
        <v>45272</v>
      </c>
      <c r="M779" s="20"/>
      <c r="O779" s="2" t="s">
        <v>40</v>
      </c>
      <c r="P779" s="2" t="s">
        <v>34</v>
      </c>
      <c r="Q779" s="2">
        <f t="shared" si="12"/>
        <v>1</v>
      </c>
    </row>
    <row r="780" spans="1:17" x14ac:dyDescent="0.25">
      <c r="A780" s="2" t="s">
        <v>2266</v>
      </c>
      <c r="B780" s="2" t="s">
        <v>2267</v>
      </c>
      <c r="C780" s="2" t="s">
        <v>30</v>
      </c>
      <c r="D780" s="2" t="s">
        <v>154</v>
      </c>
      <c r="E780" s="2" t="s">
        <v>1002</v>
      </c>
      <c r="F780" s="2">
        <v>244.55</v>
      </c>
      <c r="G780" s="2" t="s">
        <v>995</v>
      </c>
      <c r="H780" s="2">
        <v>40</v>
      </c>
      <c r="I780" s="2">
        <v>97.820000000000007</v>
      </c>
      <c r="J780" s="2" t="s">
        <v>52</v>
      </c>
      <c r="K780" s="20">
        <v>45270</v>
      </c>
      <c r="L780" s="20">
        <v>45274</v>
      </c>
      <c r="M780" s="20"/>
      <c r="O780" s="2" t="s">
        <v>46</v>
      </c>
      <c r="P780" s="2" t="s">
        <v>47</v>
      </c>
      <c r="Q780" s="2">
        <f t="shared" si="12"/>
        <v>1</v>
      </c>
    </row>
    <row r="781" spans="1:17" x14ac:dyDescent="0.25">
      <c r="A781" s="2" t="s">
        <v>2269</v>
      </c>
      <c r="B781" s="2" t="s">
        <v>2270</v>
      </c>
      <c r="C781" s="2" t="s">
        <v>19</v>
      </c>
      <c r="D781" s="2" t="s">
        <v>150</v>
      </c>
      <c r="E781" s="2" t="s">
        <v>1002</v>
      </c>
      <c r="F781" s="2">
        <v>318.43</v>
      </c>
      <c r="G781" s="2" t="s">
        <v>995</v>
      </c>
      <c r="H781" s="2">
        <v>40</v>
      </c>
      <c r="I781" s="2">
        <v>127.37200000000001</v>
      </c>
      <c r="J781" s="2" t="s">
        <v>52</v>
      </c>
      <c r="K781" s="20">
        <v>45271</v>
      </c>
      <c r="L781" s="20">
        <v>45277</v>
      </c>
      <c r="M781" s="20"/>
      <c r="O781" s="2" t="s">
        <v>25</v>
      </c>
      <c r="P781" s="2" t="s">
        <v>26</v>
      </c>
      <c r="Q781" s="2">
        <f t="shared" si="12"/>
        <v>1</v>
      </c>
    </row>
    <row r="782" spans="1:17" x14ac:dyDescent="0.25">
      <c r="A782" s="2" t="s">
        <v>2272</v>
      </c>
      <c r="B782" s="2" t="s">
        <v>2273</v>
      </c>
      <c r="C782" s="2" t="s">
        <v>19</v>
      </c>
      <c r="D782" s="2" t="s">
        <v>154</v>
      </c>
      <c r="E782" s="2" t="s">
        <v>1006</v>
      </c>
      <c r="F782" s="2">
        <v>35.4</v>
      </c>
      <c r="G782" s="2" t="s">
        <v>995</v>
      </c>
      <c r="H782" s="2">
        <v>0</v>
      </c>
      <c r="I782" s="2">
        <v>0</v>
      </c>
      <c r="J782" s="2" t="s">
        <v>52</v>
      </c>
      <c r="K782" s="20">
        <v>45271</v>
      </c>
      <c r="L782" s="20">
        <v>45271</v>
      </c>
      <c r="M782" s="20"/>
      <c r="O782" s="2" t="s">
        <v>25</v>
      </c>
      <c r="P782" s="2" t="s">
        <v>26</v>
      </c>
      <c r="Q782" s="2">
        <f t="shared" si="12"/>
        <v>1</v>
      </c>
    </row>
    <row r="783" spans="1:17" x14ac:dyDescent="0.25">
      <c r="A783" s="2" t="s">
        <v>2274</v>
      </c>
      <c r="B783" s="2" t="s">
        <v>2275</v>
      </c>
      <c r="C783" s="2" t="s">
        <v>30</v>
      </c>
      <c r="D783" s="2" t="s">
        <v>38</v>
      </c>
      <c r="E783" s="2" t="s">
        <v>994</v>
      </c>
      <c r="F783" s="2">
        <v>23.08</v>
      </c>
      <c r="G783" s="2" t="s">
        <v>995</v>
      </c>
      <c r="H783" s="2">
        <v>15</v>
      </c>
      <c r="I783" s="2">
        <v>3.4619999999999997</v>
      </c>
      <c r="J783" s="2" t="s">
        <v>52</v>
      </c>
      <c r="K783" s="20">
        <v>45272</v>
      </c>
      <c r="L783" s="20">
        <v>45275</v>
      </c>
      <c r="M783" s="20"/>
      <c r="O783" s="2" t="s">
        <v>46</v>
      </c>
      <c r="P783" s="2" t="s">
        <v>47</v>
      </c>
      <c r="Q783" s="2">
        <f t="shared" si="12"/>
        <v>1</v>
      </c>
    </row>
    <row r="784" spans="1:17" x14ac:dyDescent="0.25">
      <c r="A784" s="2" t="s">
        <v>2277</v>
      </c>
      <c r="B784" s="2" t="s">
        <v>2278</v>
      </c>
      <c r="C784" s="2" t="s">
        <v>30</v>
      </c>
      <c r="D784" s="2" t="s">
        <v>105</v>
      </c>
      <c r="E784" s="2" t="s">
        <v>1006</v>
      </c>
      <c r="F784" s="2">
        <v>20.16</v>
      </c>
      <c r="G784" s="2" t="s">
        <v>995</v>
      </c>
      <c r="H784" s="2">
        <v>0</v>
      </c>
      <c r="I784" s="2">
        <v>0</v>
      </c>
      <c r="J784" s="2" t="s">
        <v>52</v>
      </c>
      <c r="K784" s="20">
        <v>45276</v>
      </c>
      <c r="L784" s="20">
        <v>45278</v>
      </c>
      <c r="M784" s="20"/>
      <c r="O784" s="2" t="s">
        <v>40</v>
      </c>
      <c r="P784" s="2" t="s">
        <v>34</v>
      </c>
      <c r="Q784" s="2">
        <f t="shared" si="12"/>
        <v>1</v>
      </c>
    </row>
    <row r="785" spans="1:17" x14ac:dyDescent="0.25">
      <c r="A785" s="2" t="s">
        <v>2280</v>
      </c>
      <c r="B785" s="2" t="s">
        <v>2281</v>
      </c>
      <c r="C785" s="2" t="s">
        <v>30</v>
      </c>
      <c r="D785" s="2" t="s">
        <v>345</v>
      </c>
      <c r="E785" s="2" t="s">
        <v>994</v>
      </c>
      <c r="F785" s="2">
        <v>60.287999999999997</v>
      </c>
      <c r="G785" s="2" t="s">
        <v>995</v>
      </c>
      <c r="H785" s="2">
        <v>15</v>
      </c>
      <c r="I785" s="2">
        <v>9.0431999999999988</v>
      </c>
      <c r="J785" s="2" t="s">
        <v>52</v>
      </c>
      <c r="K785" s="20">
        <v>45277</v>
      </c>
      <c r="L785" s="20">
        <v>45284</v>
      </c>
      <c r="M785" s="20"/>
      <c r="O785" s="2" t="s">
        <v>146</v>
      </c>
      <c r="P785" s="2" t="s">
        <v>73</v>
      </c>
      <c r="Q785" s="2">
        <f t="shared" si="12"/>
        <v>1</v>
      </c>
    </row>
    <row r="786" spans="1:17" x14ac:dyDescent="0.25">
      <c r="A786" s="2" t="s">
        <v>2283</v>
      </c>
      <c r="B786" s="2" t="s">
        <v>2284</v>
      </c>
      <c r="C786" s="2" t="s">
        <v>30</v>
      </c>
      <c r="D786" s="2" t="s">
        <v>58</v>
      </c>
      <c r="E786" s="2" t="s">
        <v>994</v>
      </c>
      <c r="F786" s="2">
        <v>12.76</v>
      </c>
      <c r="G786" s="2" t="s">
        <v>995</v>
      </c>
      <c r="H786" s="2">
        <v>15</v>
      </c>
      <c r="I786" s="2">
        <v>1.9139999999999999</v>
      </c>
      <c r="J786" s="2" t="s">
        <v>52</v>
      </c>
      <c r="K786" s="20">
        <v>45277</v>
      </c>
      <c r="L786" s="20">
        <v>45280</v>
      </c>
      <c r="M786" s="20"/>
      <c r="O786" s="2" t="s">
        <v>82</v>
      </c>
      <c r="P786" s="2" t="s">
        <v>47</v>
      </c>
      <c r="Q786" s="2">
        <f t="shared" si="12"/>
        <v>1</v>
      </c>
    </row>
    <row r="787" spans="1:17" x14ac:dyDescent="0.25">
      <c r="A787" s="2" t="s">
        <v>2286</v>
      </c>
      <c r="B787" s="2" t="s">
        <v>2287</v>
      </c>
      <c r="C787" s="2" t="s">
        <v>19</v>
      </c>
      <c r="D787" s="2" t="s">
        <v>77</v>
      </c>
      <c r="E787" s="2" t="s">
        <v>1002</v>
      </c>
      <c r="F787" s="2">
        <v>108.608</v>
      </c>
      <c r="G787" s="2" t="s">
        <v>995</v>
      </c>
      <c r="H787" s="2">
        <v>40</v>
      </c>
      <c r="I787" s="2">
        <v>43.443200000000004</v>
      </c>
      <c r="J787" s="2" t="s">
        <v>52</v>
      </c>
      <c r="K787" s="20">
        <v>45279</v>
      </c>
      <c r="L787" s="20">
        <v>45285</v>
      </c>
      <c r="M787" s="20"/>
      <c r="O787" s="2" t="s">
        <v>72</v>
      </c>
      <c r="P787" s="2" t="s">
        <v>73</v>
      </c>
      <c r="Q787" s="2">
        <f t="shared" si="12"/>
        <v>1</v>
      </c>
    </row>
    <row r="788" spans="1:17" x14ac:dyDescent="0.25">
      <c r="A788" s="2" t="s">
        <v>2289</v>
      </c>
      <c r="B788" s="2" t="s">
        <v>2290</v>
      </c>
      <c r="C788" s="2" t="s">
        <v>30</v>
      </c>
      <c r="D788" s="2" t="s">
        <v>96</v>
      </c>
      <c r="E788" s="2" t="s">
        <v>21</v>
      </c>
      <c r="F788" s="2">
        <v>610.41799999999989</v>
      </c>
      <c r="G788" s="2" t="s">
        <v>22</v>
      </c>
      <c r="H788" s="2">
        <v>0</v>
      </c>
      <c r="I788" s="2">
        <v>0</v>
      </c>
      <c r="J788" s="2" t="s">
        <v>52</v>
      </c>
      <c r="K788" s="20">
        <v>45279</v>
      </c>
      <c r="L788" s="20">
        <v>45282</v>
      </c>
      <c r="M788" s="20">
        <v>45282</v>
      </c>
      <c r="N788" s="2" t="s">
        <v>45</v>
      </c>
      <c r="O788" s="2" t="s">
        <v>40</v>
      </c>
      <c r="P788" s="2" t="s">
        <v>34</v>
      </c>
      <c r="Q788" s="2">
        <f t="shared" si="12"/>
        <v>1</v>
      </c>
    </row>
    <row r="789" spans="1:17" x14ac:dyDescent="0.25">
      <c r="A789" s="2" t="s">
        <v>2291</v>
      </c>
      <c r="B789" s="2" t="s">
        <v>2292</v>
      </c>
      <c r="C789" s="2" t="s">
        <v>30</v>
      </c>
      <c r="D789" s="2" t="s">
        <v>115</v>
      </c>
      <c r="E789" s="2" t="s">
        <v>994</v>
      </c>
      <c r="F789" s="2">
        <v>5.3460000000000001</v>
      </c>
      <c r="G789" s="2" t="s">
        <v>995</v>
      </c>
      <c r="H789" s="2">
        <v>40</v>
      </c>
      <c r="I789" s="2">
        <v>2.1384000000000003</v>
      </c>
      <c r="J789" s="2" t="s">
        <v>52</v>
      </c>
      <c r="K789" s="20">
        <v>45279</v>
      </c>
      <c r="L789" s="20">
        <v>45283</v>
      </c>
      <c r="M789" s="20"/>
      <c r="O789" s="2" t="s">
        <v>46</v>
      </c>
      <c r="P789" s="2" t="s">
        <v>47</v>
      </c>
      <c r="Q789" s="2">
        <f t="shared" si="12"/>
        <v>1</v>
      </c>
    </row>
    <row r="790" spans="1:17" x14ac:dyDescent="0.25">
      <c r="A790" s="2" t="s">
        <v>2293</v>
      </c>
      <c r="B790" s="2" t="s">
        <v>2294</v>
      </c>
      <c r="C790" s="2" t="s">
        <v>19</v>
      </c>
      <c r="D790" s="2" t="s">
        <v>211</v>
      </c>
      <c r="E790" s="2" t="s">
        <v>1002</v>
      </c>
      <c r="F790" s="2">
        <v>11.808</v>
      </c>
      <c r="G790" s="2" t="s">
        <v>995</v>
      </c>
      <c r="H790" s="2">
        <v>40</v>
      </c>
      <c r="I790" s="2">
        <v>4.7232000000000003</v>
      </c>
      <c r="J790" s="2" t="s">
        <v>52</v>
      </c>
      <c r="K790" s="20">
        <v>45281</v>
      </c>
      <c r="L790" s="20">
        <v>45285</v>
      </c>
      <c r="M790" s="20"/>
      <c r="O790" s="2" t="s">
        <v>33</v>
      </c>
      <c r="P790" s="2" t="s">
        <v>34</v>
      </c>
      <c r="Q790" s="2">
        <f t="shared" si="12"/>
        <v>1</v>
      </c>
    </row>
    <row r="791" spans="1:17" x14ac:dyDescent="0.25">
      <c r="A791" s="2" t="s">
        <v>2295</v>
      </c>
      <c r="B791" s="2" t="s">
        <v>2296</v>
      </c>
      <c r="C791" s="2" t="s">
        <v>19</v>
      </c>
      <c r="D791" s="2" t="s">
        <v>31</v>
      </c>
      <c r="E791" s="2" t="s">
        <v>994</v>
      </c>
      <c r="F791" s="2">
        <v>91.36</v>
      </c>
      <c r="G791" s="2" t="s">
        <v>995</v>
      </c>
      <c r="H791" s="2">
        <v>40</v>
      </c>
      <c r="I791" s="2">
        <v>36.544000000000004</v>
      </c>
      <c r="J791" s="2" t="s">
        <v>52</v>
      </c>
      <c r="K791" s="20">
        <v>45284</v>
      </c>
      <c r="L791" s="20">
        <v>45285</v>
      </c>
      <c r="M791" s="20"/>
      <c r="O791" s="2" t="s">
        <v>54</v>
      </c>
      <c r="P791" s="2" t="s">
        <v>26</v>
      </c>
      <c r="Q791" s="2">
        <f t="shared" si="12"/>
        <v>1</v>
      </c>
    </row>
    <row r="792" spans="1:17" x14ac:dyDescent="0.25">
      <c r="A792" s="2" t="s">
        <v>2297</v>
      </c>
      <c r="B792" s="2" t="s">
        <v>2298</v>
      </c>
      <c r="C792" s="2" t="s">
        <v>19</v>
      </c>
      <c r="D792" s="2" t="s">
        <v>164</v>
      </c>
      <c r="E792" s="2" t="s">
        <v>1006</v>
      </c>
      <c r="F792" s="2">
        <v>290.33600000000001</v>
      </c>
      <c r="G792" s="2" t="s">
        <v>995</v>
      </c>
      <c r="H792" s="2">
        <v>0</v>
      </c>
      <c r="I792" s="2">
        <v>0</v>
      </c>
      <c r="J792" s="2" t="s">
        <v>52</v>
      </c>
      <c r="K792" s="20">
        <v>45284</v>
      </c>
      <c r="L792" s="20">
        <v>45289</v>
      </c>
      <c r="M792" s="20"/>
      <c r="O792" s="2" t="s">
        <v>97</v>
      </c>
      <c r="P792" s="2" t="s">
        <v>68</v>
      </c>
      <c r="Q792" s="2">
        <f t="shared" si="12"/>
        <v>1</v>
      </c>
    </row>
    <row r="793" spans="1:17" x14ac:dyDescent="0.25">
      <c r="A793" s="2" t="s">
        <v>2300</v>
      </c>
      <c r="B793" s="2" t="s">
        <v>2301</v>
      </c>
      <c r="C793" s="2" t="s">
        <v>19</v>
      </c>
      <c r="D793" s="2" t="s">
        <v>105</v>
      </c>
      <c r="E793" s="2" t="s">
        <v>1002</v>
      </c>
      <c r="F793" s="2">
        <v>104.75</v>
      </c>
      <c r="G793" s="2" t="s">
        <v>995</v>
      </c>
      <c r="H793" s="2">
        <v>40</v>
      </c>
      <c r="I793" s="2">
        <v>41.900000000000006</v>
      </c>
      <c r="J793" s="2" t="s">
        <v>52</v>
      </c>
      <c r="K793" s="20">
        <v>45284</v>
      </c>
      <c r="L793" s="20">
        <v>45289</v>
      </c>
      <c r="M793" s="20"/>
      <c r="O793" s="2" t="s">
        <v>54</v>
      </c>
      <c r="P793" s="2" t="s">
        <v>26</v>
      </c>
      <c r="Q793" s="2">
        <f t="shared" si="12"/>
        <v>1</v>
      </c>
    </row>
    <row r="794" spans="1:17" x14ac:dyDescent="0.25">
      <c r="A794" s="2" t="s">
        <v>2303</v>
      </c>
      <c r="B794" s="2" t="s">
        <v>2304</v>
      </c>
      <c r="C794" s="2" t="s">
        <v>30</v>
      </c>
      <c r="D794" s="2" t="s">
        <v>154</v>
      </c>
      <c r="E794" s="2" t="s">
        <v>994</v>
      </c>
      <c r="F794" s="2">
        <v>128.05799999999999</v>
      </c>
      <c r="G794" s="2" t="s">
        <v>995</v>
      </c>
      <c r="H794" s="2">
        <v>15</v>
      </c>
      <c r="I794" s="2">
        <v>19.208699999999997</v>
      </c>
      <c r="J794" s="2" t="s">
        <v>52</v>
      </c>
      <c r="K794" s="20">
        <v>45284</v>
      </c>
      <c r="L794" s="20">
        <v>45290</v>
      </c>
      <c r="M794" s="20"/>
      <c r="O794" s="2" t="s">
        <v>33</v>
      </c>
      <c r="P794" s="2" t="s">
        <v>34</v>
      </c>
      <c r="Q794" s="2">
        <f t="shared" si="12"/>
        <v>1</v>
      </c>
    </row>
    <row r="795" spans="1:17" x14ac:dyDescent="0.25">
      <c r="A795" s="2" t="s">
        <v>2305</v>
      </c>
      <c r="B795" s="2" t="s">
        <v>2306</v>
      </c>
      <c r="C795" s="2" t="s">
        <v>30</v>
      </c>
      <c r="D795" s="2" t="s">
        <v>345</v>
      </c>
      <c r="E795" s="2" t="s">
        <v>1006</v>
      </c>
      <c r="F795" s="2">
        <v>451.15199999999902</v>
      </c>
      <c r="G795" s="2" t="s">
        <v>995</v>
      </c>
      <c r="H795" s="2">
        <v>0</v>
      </c>
      <c r="I795" s="2">
        <v>0</v>
      </c>
      <c r="J795" s="2" t="s">
        <v>52</v>
      </c>
      <c r="K795" s="20">
        <v>45285</v>
      </c>
      <c r="L795" s="20">
        <v>45289</v>
      </c>
      <c r="M795" s="20"/>
      <c r="O795" s="2" t="s">
        <v>72</v>
      </c>
      <c r="P795" s="2" t="s">
        <v>73</v>
      </c>
      <c r="Q795" s="2">
        <f t="shared" si="12"/>
        <v>1</v>
      </c>
    </row>
    <row r="796" spans="1:17" x14ac:dyDescent="0.25">
      <c r="A796" s="2" t="s">
        <v>2307</v>
      </c>
      <c r="B796" s="2" t="s">
        <v>2308</v>
      </c>
      <c r="C796" s="2" t="s">
        <v>19</v>
      </c>
      <c r="D796" s="2" t="s">
        <v>38</v>
      </c>
      <c r="E796" s="2" t="s">
        <v>994</v>
      </c>
      <c r="F796" s="2">
        <v>83.92</v>
      </c>
      <c r="G796" s="2" t="s">
        <v>995</v>
      </c>
      <c r="H796" s="2">
        <v>15</v>
      </c>
      <c r="I796" s="2">
        <v>12.587999999999999</v>
      </c>
      <c r="J796" s="2" t="s">
        <v>52</v>
      </c>
      <c r="K796" s="20">
        <v>45285</v>
      </c>
      <c r="L796" s="20">
        <v>45288</v>
      </c>
      <c r="M796" s="20"/>
      <c r="O796" s="2" t="s">
        <v>33</v>
      </c>
      <c r="P796" s="2" t="s">
        <v>34</v>
      </c>
      <c r="Q796" s="2">
        <f t="shared" si="12"/>
        <v>1</v>
      </c>
    </row>
    <row r="797" spans="1:17" x14ac:dyDescent="0.25">
      <c r="A797" s="2" t="s">
        <v>2309</v>
      </c>
      <c r="B797" s="2" t="s">
        <v>2310</v>
      </c>
      <c r="C797" s="2" t="s">
        <v>19</v>
      </c>
      <c r="D797" s="2" t="s">
        <v>345</v>
      </c>
      <c r="E797" s="2" t="s">
        <v>994</v>
      </c>
      <c r="F797" s="2">
        <v>15.58</v>
      </c>
      <c r="G797" s="2" t="s">
        <v>995</v>
      </c>
      <c r="H797" s="2">
        <v>40</v>
      </c>
      <c r="I797" s="2">
        <v>6.2320000000000002</v>
      </c>
      <c r="J797" s="2" t="s">
        <v>52</v>
      </c>
      <c r="K797" s="20">
        <v>45288</v>
      </c>
      <c r="L797" s="20">
        <v>45291</v>
      </c>
      <c r="M797" s="20"/>
      <c r="O797" s="2" t="s">
        <v>33</v>
      </c>
      <c r="P797" s="2" t="s">
        <v>34</v>
      </c>
      <c r="Q797" s="2">
        <f t="shared" si="12"/>
        <v>1</v>
      </c>
    </row>
    <row r="798" spans="1:17" x14ac:dyDescent="0.25">
      <c r="A798" s="2" t="s">
        <v>2312</v>
      </c>
      <c r="B798" s="2" t="s">
        <v>2313</v>
      </c>
      <c r="C798" s="2" t="s">
        <v>19</v>
      </c>
      <c r="D798" s="2" t="s">
        <v>150</v>
      </c>
      <c r="E798" s="2" t="s">
        <v>994</v>
      </c>
      <c r="F798" s="2">
        <v>1665.62</v>
      </c>
      <c r="G798" s="2" t="s">
        <v>995</v>
      </c>
      <c r="H798" s="2">
        <v>40</v>
      </c>
      <c r="I798" s="2">
        <v>666.24800000000005</v>
      </c>
      <c r="J798" s="2" t="s">
        <v>52</v>
      </c>
      <c r="K798" s="20">
        <v>45288</v>
      </c>
      <c r="L798" s="20">
        <v>45292</v>
      </c>
      <c r="M798" s="20"/>
      <c r="O798" s="2" t="s">
        <v>146</v>
      </c>
      <c r="P798" s="2" t="s">
        <v>73</v>
      </c>
      <c r="Q798" s="2">
        <f t="shared" si="12"/>
        <v>1</v>
      </c>
    </row>
    <row r="799" spans="1:17" x14ac:dyDescent="0.25">
      <c r="A799" s="2" t="s">
        <v>2315</v>
      </c>
      <c r="B799" s="2" t="s">
        <v>2316</v>
      </c>
      <c r="C799" s="2" t="s">
        <v>19</v>
      </c>
      <c r="D799" s="2" t="s">
        <v>58</v>
      </c>
      <c r="E799" s="2" t="s">
        <v>1002</v>
      </c>
      <c r="F799" s="2">
        <v>5.88</v>
      </c>
      <c r="G799" s="2" t="s">
        <v>995</v>
      </c>
      <c r="H799" s="2">
        <v>40</v>
      </c>
      <c r="I799" s="2">
        <v>2.3519999999999999</v>
      </c>
      <c r="J799" s="2" t="s">
        <v>52</v>
      </c>
      <c r="K799" s="20">
        <v>45290</v>
      </c>
      <c r="L799" s="20">
        <v>45291</v>
      </c>
      <c r="M799" s="20"/>
      <c r="O799" s="2" t="s">
        <v>54</v>
      </c>
      <c r="P799" s="2" t="s">
        <v>26</v>
      </c>
      <c r="Q799" s="2">
        <f t="shared" si="12"/>
        <v>1</v>
      </c>
    </row>
    <row r="800" spans="1:17" x14ac:dyDescent="0.25">
      <c r="A800" s="2" t="s">
        <v>2318</v>
      </c>
      <c r="B800" s="2" t="s">
        <v>2319</v>
      </c>
      <c r="C800" s="2" t="s">
        <v>19</v>
      </c>
      <c r="D800" s="2" t="s">
        <v>51</v>
      </c>
      <c r="E800" s="2" t="s">
        <v>994</v>
      </c>
      <c r="F800" s="2">
        <v>6.6719999999999997</v>
      </c>
      <c r="G800" s="2" t="s">
        <v>995</v>
      </c>
      <c r="H800" s="2">
        <v>40</v>
      </c>
      <c r="I800" s="2">
        <v>2.6688000000000001</v>
      </c>
      <c r="J800" s="2" t="s">
        <v>52</v>
      </c>
      <c r="K800" s="20">
        <v>45290</v>
      </c>
      <c r="L800" s="20">
        <v>45294</v>
      </c>
      <c r="M800" s="20"/>
      <c r="O800" s="2" t="s">
        <v>82</v>
      </c>
      <c r="P800" s="2" t="s">
        <v>47</v>
      </c>
      <c r="Q800" s="2">
        <f t="shared" si="12"/>
        <v>1</v>
      </c>
    </row>
    <row r="801" spans="1:17" x14ac:dyDescent="0.25">
      <c r="A801" s="2" t="s">
        <v>2321</v>
      </c>
      <c r="B801" s="2" t="s">
        <v>2322</v>
      </c>
      <c r="C801" s="2" t="s">
        <v>30</v>
      </c>
      <c r="D801" s="2" t="s">
        <v>105</v>
      </c>
      <c r="E801" s="2" t="s">
        <v>1006</v>
      </c>
      <c r="F801" s="2">
        <v>11.648</v>
      </c>
      <c r="G801" s="2" t="s">
        <v>995</v>
      </c>
      <c r="H801" s="2">
        <v>0</v>
      </c>
      <c r="I801" s="2">
        <v>0</v>
      </c>
      <c r="J801" s="2" t="s">
        <v>52</v>
      </c>
      <c r="K801" s="20">
        <v>45291</v>
      </c>
      <c r="L801" s="20">
        <v>45293</v>
      </c>
      <c r="M801" s="20"/>
      <c r="O801" s="2" t="s">
        <v>82</v>
      </c>
      <c r="P801" s="2" t="s">
        <v>47</v>
      </c>
      <c r="Q801" s="2">
        <f t="shared" si="12"/>
        <v>1</v>
      </c>
    </row>
    <row r="802" spans="1:17" x14ac:dyDescent="0.25">
      <c r="A802" s="2" t="s">
        <v>2324</v>
      </c>
      <c r="B802" s="2" t="s">
        <v>2325</v>
      </c>
      <c r="C802" s="2" t="s">
        <v>19</v>
      </c>
      <c r="D802" s="2" t="s">
        <v>62</v>
      </c>
      <c r="E802" s="2" t="s">
        <v>1006</v>
      </c>
      <c r="F802" s="2">
        <v>37.659999999999997</v>
      </c>
      <c r="G802" s="2" t="s">
        <v>995</v>
      </c>
      <c r="H802" s="2">
        <v>0</v>
      </c>
      <c r="I802" s="2">
        <v>0</v>
      </c>
      <c r="J802" s="2" t="s">
        <v>52</v>
      </c>
      <c r="K802" s="20">
        <v>45292</v>
      </c>
      <c r="L802" s="20">
        <v>45294</v>
      </c>
      <c r="M802" s="20"/>
      <c r="O802" s="2" t="s">
        <v>72</v>
      </c>
      <c r="P802" s="2" t="s">
        <v>73</v>
      </c>
      <c r="Q802" s="2">
        <f t="shared" si="12"/>
        <v>1</v>
      </c>
    </row>
    <row r="803" spans="1:17" x14ac:dyDescent="0.25">
      <c r="A803" s="2" t="s">
        <v>2327</v>
      </c>
      <c r="B803" s="2" t="s">
        <v>2328</v>
      </c>
      <c r="C803" s="2" t="s">
        <v>30</v>
      </c>
      <c r="D803" s="2" t="s">
        <v>81</v>
      </c>
      <c r="E803" s="2" t="s">
        <v>1002</v>
      </c>
      <c r="F803" s="2">
        <v>31.984000000000002</v>
      </c>
      <c r="G803" s="2" t="s">
        <v>995</v>
      </c>
      <c r="H803" s="2">
        <v>40</v>
      </c>
      <c r="I803" s="2">
        <v>12.793600000000001</v>
      </c>
      <c r="J803" s="2" t="s">
        <v>52</v>
      </c>
      <c r="K803" s="20">
        <v>45293</v>
      </c>
      <c r="L803" s="20">
        <v>45294</v>
      </c>
      <c r="M803" s="20"/>
      <c r="O803" s="2" t="s">
        <v>25</v>
      </c>
      <c r="P803" s="2" t="s">
        <v>26</v>
      </c>
      <c r="Q803" s="2">
        <f t="shared" si="12"/>
        <v>1</v>
      </c>
    </row>
    <row r="804" spans="1:17" x14ac:dyDescent="0.25">
      <c r="A804" s="2" t="s">
        <v>2330</v>
      </c>
      <c r="B804" s="2" t="s">
        <v>2331</v>
      </c>
      <c r="C804" s="2" t="s">
        <v>19</v>
      </c>
      <c r="D804" s="2" t="s">
        <v>154</v>
      </c>
      <c r="E804" s="2" t="s">
        <v>994</v>
      </c>
      <c r="F804" s="2">
        <v>16.68</v>
      </c>
      <c r="G804" s="2" t="s">
        <v>995</v>
      </c>
      <c r="H804" s="2">
        <v>15</v>
      </c>
      <c r="I804" s="2">
        <v>2.5019999999999998</v>
      </c>
      <c r="J804" s="2" t="s">
        <v>52</v>
      </c>
      <c r="K804" s="20">
        <v>45293</v>
      </c>
      <c r="L804" s="20">
        <v>45298</v>
      </c>
      <c r="M804" s="20"/>
      <c r="O804" s="2" t="s">
        <v>97</v>
      </c>
      <c r="P804" s="2" t="s">
        <v>68</v>
      </c>
      <c r="Q804" s="2">
        <f t="shared" si="12"/>
        <v>1</v>
      </c>
    </row>
    <row r="805" spans="1:17" x14ac:dyDescent="0.25">
      <c r="A805" s="2" t="s">
        <v>2333</v>
      </c>
      <c r="B805" s="2" t="s">
        <v>2334</v>
      </c>
      <c r="C805" s="2" t="s">
        <v>19</v>
      </c>
      <c r="D805" s="2" t="s">
        <v>186</v>
      </c>
      <c r="E805" s="2" t="s">
        <v>994</v>
      </c>
      <c r="F805" s="2">
        <v>25.92</v>
      </c>
      <c r="G805" s="2" t="s">
        <v>995</v>
      </c>
      <c r="H805" s="2">
        <v>15</v>
      </c>
      <c r="I805" s="2">
        <v>3.8879999999999999</v>
      </c>
      <c r="J805" s="2" t="s">
        <v>52</v>
      </c>
      <c r="K805" s="20">
        <v>45299</v>
      </c>
      <c r="L805" s="20">
        <v>45302</v>
      </c>
      <c r="M805" s="20"/>
      <c r="O805" s="2" t="s">
        <v>54</v>
      </c>
      <c r="P805" s="2" t="s">
        <v>26</v>
      </c>
      <c r="Q805" s="2">
        <f t="shared" si="12"/>
        <v>1</v>
      </c>
    </row>
    <row r="806" spans="1:17" x14ac:dyDescent="0.25">
      <c r="A806" s="2" t="s">
        <v>2335</v>
      </c>
      <c r="B806" s="2" t="s">
        <v>2336</v>
      </c>
      <c r="C806" s="2" t="s">
        <v>19</v>
      </c>
      <c r="D806" s="2" t="s">
        <v>96</v>
      </c>
      <c r="E806" s="2" t="s">
        <v>1006</v>
      </c>
      <c r="F806" s="2">
        <v>29.472000000000001</v>
      </c>
      <c r="G806" s="2" t="s">
        <v>995</v>
      </c>
      <c r="H806" s="2">
        <v>0</v>
      </c>
      <c r="I806" s="2">
        <v>0</v>
      </c>
      <c r="J806" s="2" t="s">
        <v>52</v>
      </c>
      <c r="K806" s="20">
        <v>45300</v>
      </c>
      <c r="L806" s="20">
        <v>45303</v>
      </c>
      <c r="M806" s="20"/>
      <c r="O806" s="2" t="s">
        <v>97</v>
      </c>
      <c r="P806" s="2" t="s">
        <v>68</v>
      </c>
      <c r="Q806" s="2">
        <f t="shared" si="12"/>
        <v>1</v>
      </c>
    </row>
    <row r="807" spans="1:17" x14ac:dyDescent="0.25">
      <c r="A807" s="12" t="s">
        <v>4774</v>
      </c>
      <c r="C807" s="2" t="s">
        <v>19</v>
      </c>
      <c r="D807" s="2" t="s">
        <v>96</v>
      </c>
      <c r="E807" s="2" t="s">
        <v>1006</v>
      </c>
      <c r="G807" s="2" t="s">
        <v>995</v>
      </c>
      <c r="H807" s="2">
        <v>0</v>
      </c>
      <c r="I807" s="2">
        <v>0</v>
      </c>
      <c r="J807" s="2" t="s">
        <v>52</v>
      </c>
      <c r="K807" s="20">
        <v>45300</v>
      </c>
      <c r="L807" s="20">
        <v>45303</v>
      </c>
      <c r="M807" s="20"/>
      <c r="O807" s="2" t="s">
        <v>97</v>
      </c>
      <c r="P807" s="2" t="s">
        <v>68</v>
      </c>
      <c r="Q807" s="2">
        <f t="shared" si="12"/>
        <v>8</v>
      </c>
    </row>
    <row r="808" spans="1:17" x14ac:dyDescent="0.25">
      <c r="A808" s="2" t="s">
        <v>2337</v>
      </c>
      <c r="B808" s="2" t="s">
        <v>2338</v>
      </c>
      <c r="C808" s="2" t="s">
        <v>19</v>
      </c>
      <c r="D808" s="2" t="s">
        <v>86</v>
      </c>
      <c r="E808" s="2" t="s">
        <v>21</v>
      </c>
      <c r="F808" s="2">
        <v>147.63599999999988</v>
      </c>
      <c r="G808" s="2" t="s">
        <v>22</v>
      </c>
      <c r="H808" s="2">
        <v>0</v>
      </c>
      <c r="I808" s="2">
        <v>0</v>
      </c>
      <c r="J808" s="2" t="s">
        <v>52</v>
      </c>
      <c r="K808" s="20">
        <v>45307</v>
      </c>
      <c r="L808" s="20">
        <v>45310</v>
      </c>
      <c r="M808" s="20">
        <v>45310</v>
      </c>
      <c r="N808" s="2" t="s">
        <v>39</v>
      </c>
      <c r="O808" s="2" t="s">
        <v>82</v>
      </c>
      <c r="P808" s="2" t="s">
        <v>47</v>
      </c>
      <c r="Q808" s="2">
        <f t="shared" si="12"/>
        <v>1</v>
      </c>
    </row>
    <row r="809" spans="1:17" x14ac:dyDescent="0.25">
      <c r="A809" s="2" t="s">
        <v>2339</v>
      </c>
      <c r="B809" s="2" t="s">
        <v>2340</v>
      </c>
      <c r="C809" s="2" t="s">
        <v>30</v>
      </c>
      <c r="D809" s="2" t="s">
        <v>150</v>
      </c>
      <c r="E809" s="2" t="s">
        <v>21</v>
      </c>
      <c r="F809" s="2">
        <v>427.59200000000004</v>
      </c>
      <c r="G809" s="2" t="s">
        <v>22</v>
      </c>
      <c r="H809" s="2">
        <v>0</v>
      </c>
      <c r="I809" s="2">
        <v>0</v>
      </c>
      <c r="J809" s="2" t="s">
        <v>52</v>
      </c>
      <c r="K809" s="20">
        <v>45308</v>
      </c>
      <c r="L809" s="20">
        <v>45308</v>
      </c>
      <c r="M809" s="20">
        <v>45308</v>
      </c>
      <c r="N809" s="2" t="s">
        <v>32</v>
      </c>
      <c r="O809" s="2" t="s">
        <v>25</v>
      </c>
      <c r="P809" s="2" t="s">
        <v>26</v>
      </c>
      <c r="Q809" s="2">
        <f t="shared" si="12"/>
        <v>1</v>
      </c>
    </row>
    <row r="810" spans="1:17" x14ac:dyDescent="0.25">
      <c r="A810" s="2" t="s">
        <v>2342</v>
      </c>
      <c r="B810" s="2" t="s">
        <v>2343</v>
      </c>
      <c r="C810" s="2" t="s">
        <v>19</v>
      </c>
      <c r="D810" s="2" t="s">
        <v>44</v>
      </c>
      <c r="E810" s="2" t="s">
        <v>1002</v>
      </c>
      <c r="F810" s="2">
        <v>69.08</v>
      </c>
      <c r="G810" s="2" t="s">
        <v>995</v>
      </c>
      <c r="H810" s="2">
        <v>40</v>
      </c>
      <c r="I810" s="2">
        <v>27.632000000000001</v>
      </c>
      <c r="J810" s="2" t="s">
        <v>52</v>
      </c>
      <c r="K810" s="20">
        <v>45312</v>
      </c>
      <c r="L810" s="20">
        <v>45315</v>
      </c>
      <c r="M810" s="20"/>
      <c r="O810" s="2" t="s">
        <v>40</v>
      </c>
      <c r="P810" s="2" t="s">
        <v>34</v>
      </c>
      <c r="Q810" s="2">
        <f t="shared" si="12"/>
        <v>1</v>
      </c>
    </row>
    <row r="811" spans="1:17" x14ac:dyDescent="0.25">
      <c r="A811" s="2" t="s">
        <v>2345</v>
      </c>
      <c r="B811" s="2" t="s">
        <v>2346</v>
      </c>
      <c r="C811" s="2" t="s">
        <v>19</v>
      </c>
      <c r="D811" s="2" t="s">
        <v>51</v>
      </c>
      <c r="E811" s="2" t="s">
        <v>994</v>
      </c>
      <c r="F811" s="2">
        <v>116.28</v>
      </c>
      <c r="G811" s="2" t="s">
        <v>995</v>
      </c>
      <c r="H811" s="2">
        <v>40</v>
      </c>
      <c r="I811" s="2">
        <v>46.512</v>
      </c>
      <c r="J811" s="2" t="s">
        <v>52</v>
      </c>
      <c r="K811" s="20">
        <v>45312</v>
      </c>
      <c r="L811" s="20">
        <v>45318</v>
      </c>
      <c r="M811" s="20"/>
      <c r="O811" s="2" t="s">
        <v>40</v>
      </c>
      <c r="P811" s="2" t="s">
        <v>34</v>
      </c>
      <c r="Q811" s="2">
        <f t="shared" si="12"/>
        <v>1</v>
      </c>
    </row>
    <row r="812" spans="1:17" x14ac:dyDescent="0.25">
      <c r="A812" s="2" t="s">
        <v>2348</v>
      </c>
      <c r="B812" s="2" t="s">
        <v>2349</v>
      </c>
      <c r="C812" s="2" t="s">
        <v>19</v>
      </c>
      <c r="D812" s="2" t="s">
        <v>154</v>
      </c>
      <c r="E812" s="2" t="s">
        <v>994</v>
      </c>
      <c r="F812" s="2">
        <v>43.12</v>
      </c>
      <c r="G812" s="2" t="s">
        <v>995</v>
      </c>
      <c r="H812" s="2">
        <v>15</v>
      </c>
      <c r="I812" s="2">
        <v>6.4679999999999991</v>
      </c>
      <c r="J812" s="2" t="s">
        <v>52</v>
      </c>
      <c r="K812" s="20">
        <v>45318</v>
      </c>
      <c r="L812" s="20">
        <v>45319</v>
      </c>
      <c r="M812" s="20"/>
      <c r="O812" s="2" t="s">
        <v>72</v>
      </c>
      <c r="P812" s="2" t="s">
        <v>73</v>
      </c>
      <c r="Q812" s="2">
        <f t="shared" si="12"/>
        <v>1</v>
      </c>
    </row>
    <row r="813" spans="1:17" x14ac:dyDescent="0.25">
      <c r="A813" s="2" t="s">
        <v>2351</v>
      </c>
      <c r="B813" s="2" t="s">
        <v>2352</v>
      </c>
      <c r="C813" s="2" t="s">
        <v>30</v>
      </c>
      <c r="D813" s="2" t="s">
        <v>105</v>
      </c>
      <c r="E813" s="2" t="s">
        <v>1002</v>
      </c>
      <c r="F813" s="2">
        <v>9.9120000000000008</v>
      </c>
      <c r="G813" s="2" t="s">
        <v>995</v>
      </c>
      <c r="H813" s="2">
        <v>40</v>
      </c>
      <c r="I813" s="2">
        <v>3.9648000000000003</v>
      </c>
      <c r="J813" s="2" t="s">
        <v>52</v>
      </c>
      <c r="K813" s="20">
        <v>45321</v>
      </c>
      <c r="L813" s="20">
        <v>45324</v>
      </c>
      <c r="M813" s="20"/>
      <c r="O813" s="2" t="s">
        <v>33</v>
      </c>
      <c r="P813" s="2" t="s">
        <v>34</v>
      </c>
      <c r="Q813" s="2">
        <f t="shared" si="12"/>
        <v>1</v>
      </c>
    </row>
    <row r="814" spans="1:17" x14ac:dyDescent="0.25">
      <c r="A814" s="2" t="s">
        <v>2354</v>
      </c>
      <c r="B814" s="2" t="s">
        <v>2355</v>
      </c>
      <c r="C814" s="2" t="s">
        <v>30</v>
      </c>
      <c r="D814" s="2" t="s">
        <v>211</v>
      </c>
      <c r="E814" s="2" t="s">
        <v>1002</v>
      </c>
      <c r="F814" s="2">
        <v>18.239999999999998</v>
      </c>
      <c r="G814" s="2" t="s">
        <v>995</v>
      </c>
      <c r="H814" s="2">
        <v>40</v>
      </c>
      <c r="I814" s="2">
        <v>7.2959999999999994</v>
      </c>
      <c r="J814" s="2" t="s">
        <v>52</v>
      </c>
      <c r="K814" s="20">
        <v>45322</v>
      </c>
      <c r="L814" s="20">
        <v>45327</v>
      </c>
      <c r="M814" s="20"/>
      <c r="O814" s="2" t="s">
        <v>33</v>
      </c>
      <c r="P814" s="2" t="s">
        <v>34</v>
      </c>
      <c r="Q814" s="2">
        <f t="shared" si="12"/>
        <v>1</v>
      </c>
    </row>
    <row r="815" spans="1:17" x14ac:dyDescent="0.25">
      <c r="A815" s="2" t="s">
        <v>2356</v>
      </c>
      <c r="B815" s="2" t="s">
        <v>2357</v>
      </c>
      <c r="C815" s="2" t="s">
        <v>30</v>
      </c>
      <c r="D815" s="2" t="s">
        <v>44</v>
      </c>
      <c r="E815" s="2" t="s">
        <v>994</v>
      </c>
      <c r="F815" s="2">
        <v>720.06399999999996</v>
      </c>
      <c r="G815" s="2" t="s">
        <v>995</v>
      </c>
      <c r="H815" s="2">
        <v>40</v>
      </c>
      <c r="I815" s="2">
        <v>288.0256</v>
      </c>
      <c r="J815" s="2" t="s">
        <v>52</v>
      </c>
      <c r="K815" s="20">
        <v>45329</v>
      </c>
      <c r="L815" s="20">
        <v>45336</v>
      </c>
      <c r="M815" s="20"/>
      <c r="O815" s="2" t="s">
        <v>146</v>
      </c>
      <c r="P815" s="2" t="s">
        <v>73</v>
      </c>
      <c r="Q815" s="2">
        <f t="shared" si="12"/>
        <v>1</v>
      </c>
    </row>
    <row r="816" spans="1:17" x14ac:dyDescent="0.25">
      <c r="A816" s="2" t="s">
        <v>2358</v>
      </c>
      <c r="B816" s="2" t="s">
        <v>2359</v>
      </c>
      <c r="C816" s="2" t="s">
        <v>19</v>
      </c>
      <c r="D816" s="2" t="s">
        <v>345</v>
      </c>
      <c r="E816" s="2" t="s">
        <v>994</v>
      </c>
      <c r="F816" s="2">
        <v>141.96</v>
      </c>
      <c r="G816" s="2" t="s">
        <v>995</v>
      </c>
      <c r="H816" s="2">
        <v>15</v>
      </c>
      <c r="I816" s="2">
        <v>21.294</v>
      </c>
      <c r="J816" s="2" t="s">
        <v>52</v>
      </c>
      <c r="K816" s="20">
        <v>45336</v>
      </c>
      <c r="L816" s="20">
        <v>45340</v>
      </c>
      <c r="M816" s="20"/>
      <c r="O816" s="2" t="s">
        <v>72</v>
      </c>
      <c r="P816" s="2" t="s">
        <v>73</v>
      </c>
      <c r="Q816" s="2">
        <f t="shared" si="12"/>
        <v>1</v>
      </c>
    </row>
    <row r="817" spans="1:17" x14ac:dyDescent="0.25">
      <c r="A817" s="2" t="s">
        <v>2360</v>
      </c>
      <c r="B817" s="2" t="s">
        <v>2361</v>
      </c>
      <c r="C817" s="2" t="s">
        <v>19</v>
      </c>
      <c r="D817" s="2" t="s">
        <v>119</v>
      </c>
      <c r="E817" s="2" t="s">
        <v>1006</v>
      </c>
      <c r="F817" s="2">
        <v>99.98</v>
      </c>
      <c r="G817" s="2" t="s">
        <v>995</v>
      </c>
      <c r="H817" s="2">
        <v>0</v>
      </c>
      <c r="I817" s="2">
        <v>0</v>
      </c>
      <c r="J817" s="2" t="s">
        <v>52</v>
      </c>
      <c r="K817" s="20">
        <v>45339</v>
      </c>
      <c r="L817" s="20">
        <v>45343</v>
      </c>
      <c r="M817" s="20"/>
      <c r="O817" s="2" t="s">
        <v>82</v>
      </c>
      <c r="P817" s="2" t="s">
        <v>47</v>
      </c>
      <c r="Q817" s="2">
        <f t="shared" si="12"/>
        <v>1</v>
      </c>
    </row>
    <row r="818" spans="1:17" x14ac:dyDescent="0.25">
      <c r="A818" s="2" t="s">
        <v>2363</v>
      </c>
      <c r="B818" s="2" t="s">
        <v>2364</v>
      </c>
      <c r="C818" s="2" t="s">
        <v>30</v>
      </c>
      <c r="D818" s="2" t="s">
        <v>62</v>
      </c>
      <c r="E818" s="2" t="s">
        <v>994</v>
      </c>
      <c r="F818" s="2">
        <v>146.04</v>
      </c>
      <c r="G818" s="2" t="s">
        <v>995</v>
      </c>
      <c r="H818" s="2">
        <v>15</v>
      </c>
      <c r="I818" s="2">
        <v>21.905999999999999</v>
      </c>
      <c r="J818" s="2" t="s">
        <v>52</v>
      </c>
      <c r="K818" s="20">
        <v>45347</v>
      </c>
      <c r="L818" s="20">
        <v>45351</v>
      </c>
      <c r="M818" s="20"/>
      <c r="O818" s="2" t="s">
        <v>54</v>
      </c>
      <c r="P818" s="2" t="s">
        <v>26</v>
      </c>
      <c r="Q818" s="2">
        <f t="shared" si="12"/>
        <v>1</v>
      </c>
    </row>
    <row r="819" spans="1:17" x14ac:dyDescent="0.25">
      <c r="A819" s="2" t="s">
        <v>2366</v>
      </c>
      <c r="B819" s="2" t="s">
        <v>2367</v>
      </c>
      <c r="C819" s="2" t="s">
        <v>30</v>
      </c>
      <c r="D819" s="2" t="s">
        <v>115</v>
      </c>
      <c r="E819" s="2" t="s">
        <v>994</v>
      </c>
      <c r="F819" s="2">
        <v>47.3</v>
      </c>
      <c r="G819" s="2" t="s">
        <v>995</v>
      </c>
      <c r="H819" s="2">
        <v>40</v>
      </c>
      <c r="I819" s="2">
        <v>18.919999999999998</v>
      </c>
      <c r="J819" s="2" t="s">
        <v>52</v>
      </c>
      <c r="K819" s="20">
        <v>45348</v>
      </c>
      <c r="L819" s="20">
        <v>45354</v>
      </c>
      <c r="M819" s="20"/>
      <c r="O819" s="2" t="s">
        <v>33</v>
      </c>
      <c r="P819" s="2" t="s">
        <v>34</v>
      </c>
      <c r="Q819" s="2">
        <f t="shared" si="12"/>
        <v>1</v>
      </c>
    </row>
    <row r="820" spans="1:17" x14ac:dyDescent="0.25">
      <c r="A820" s="2" t="s">
        <v>2368</v>
      </c>
      <c r="B820" s="2" t="s">
        <v>2369</v>
      </c>
      <c r="C820" s="2" t="s">
        <v>19</v>
      </c>
      <c r="D820" s="2" t="s">
        <v>51</v>
      </c>
      <c r="E820" s="2" t="s">
        <v>1006</v>
      </c>
      <c r="F820" s="2">
        <v>26.352</v>
      </c>
      <c r="G820" s="2" t="s">
        <v>995</v>
      </c>
      <c r="H820" s="2">
        <v>0</v>
      </c>
      <c r="I820" s="2">
        <v>0</v>
      </c>
      <c r="J820" s="2" t="s">
        <v>52</v>
      </c>
      <c r="K820" s="20">
        <v>45354</v>
      </c>
      <c r="L820" s="20">
        <v>45354</v>
      </c>
      <c r="M820" s="20"/>
      <c r="O820" s="2" t="s">
        <v>146</v>
      </c>
      <c r="P820" s="2" t="s">
        <v>73</v>
      </c>
      <c r="Q820" s="2">
        <f t="shared" si="12"/>
        <v>1</v>
      </c>
    </row>
    <row r="821" spans="1:17" x14ac:dyDescent="0.25">
      <c r="A821" s="2" t="s">
        <v>2371</v>
      </c>
      <c r="B821" s="2" t="s">
        <v>2372</v>
      </c>
      <c r="C821" s="2" t="s">
        <v>30</v>
      </c>
      <c r="D821" s="2" t="s">
        <v>150</v>
      </c>
      <c r="E821" s="2" t="s">
        <v>1002</v>
      </c>
      <c r="F821" s="2">
        <v>99.99</v>
      </c>
      <c r="G821" s="2" t="s">
        <v>995</v>
      </c>
      <c r="H821" s="2">
        <v>40</v>
      </c>
      <c r="I821" s="2">
        <v>39.996000000000002</v>
      </c>
      <c r="J821" s="2" t="s">
        <v>52</v>
      </c>
      <c r="K821" s="20">
        <v>45357</v>
      </c>
      <c r="L821" s="20">
        <v>45357</v>
      </c>
      <c r="M821" s="20"/>
      <c r="O821" s="2" t="s">
        <v>146</v>
      </c>
      <c r="P821" s="2" t="s">
        <v>73</v>
      </c>
      <c r="Q821" s="2">
        <f t="shared" si="12"/>
        <v>1</v>
      </c>
    </row>
    <row r="822" spans="1:17" x14ac:dyDescent="0.25">
      <c r="A822" s="2" t="s">
        <v>2374</v>
      </c>
      <c r="B822" s="2" t="s">
        <v>2375</v>
      </c>
      <c r="C822" s="2" t="s">
        <v>30</v>
      </c>
      <c r="D822" s="2" t="s">
        <v>154</v>
      </c>
      <c r="E822" s="2" t="s">
        <v>21</v>
      </c>
      <c r="F822" s="2">
        <v>668.54000000000008</v>
      </c>
      <c r="G822" s="2" t="s">
        <v>22</v>
      </c>
      <c r="H822" s="2">
        <v>0</v>
      </c>
      <c r="I822" s="2">
        <v>0</v>
      </c>
      <c r="J822" s="2" t="s">
        <v>52</v>
      </c>
      <c r="K822" s="20">
        <v>45360</v>
      </c>
      <c r="L822" s="20">
        <v>45363</v>
      </c>
      <c r="M822" s="20">
        <v>45363</v>
      </c>
      <c r="N822" s="2" t="s">
        <v>32</v>
      </c>
      <c r="O822" s="2" t="s">
        <v>146</v>
      </c>
      <c r="P822" s="2" t="s">
        <v>73</v>
      </c>
      <c r="Q822" s="2">
        <f t="shared" si="12"/>
        <v>1</v>
      </c>
    </row>
    <row r="823" spans="1:17" x14ac:dyDescent="0.25">
      <c r="A823" s="2" t="s">
        <v>2377</v>
      </c>
      <c r="B823" s="2" t="s">
        <v>2378</v>
      </c>
      <c r="C823" s="2" t="s">
        <v>30</v>
      </c>
      <c r="D823" s="2" t="s">
        <v>96</v>
      </c>
      <c r="E823" s="2" t="s">
        <v>1006</v>
      </c>
      <c r="F823" s="2">
        <v>34.92</v>
      </c>
      <c r="G823" s="2" t="s">
        <v>995</v>
      </c>
      <c r="H823" s="2">
        <v>0</v>
      </c>
      <c r="I823" s="2">
        <v>0</v>
      </c>
      <c r="J823" s="2" t="s">
        <v>52</v>
      </c>
      <c r="K823" s="20">
        <v>45362</v>
      </c>
      <c r="L823" s="20">
        <v>45368</v>
      </c>
      <c r="M823" s="20"/>
      <c r="O823" s="2" t="s">
        <v>67</v>
      </c>
      <c r="P823" s="2" t="s">
        <v>68</v>
      </c>
      <c r="Q823" s="2">
        <f t="shared" si="12"/>
        <v>1</v>
      </c>
    </row>
    <row r="824" spans="1:17" x14ac:dyDescent="0.25">
      <c r="A824" s="2" t="s">
        <v>2380</v>
      </c>
      <c r="B824" s="2" t="s">
        <v>2381</v>
      </c>
      <c r="C824" s="2" t="s">
        <v>30</v>
      </c>
      <c r="D824" s="2" t="s">
        <v>139</v>
      </c>
      <c r="E824" s="2" t="s">
        <v>1002</v>
      </c>
      <c r="F824" s="2">
        <v>563.024</v>
      </c>
      <c r="G824" s="2" t="s">
        <v>995</v>
      </c>
      <c r="H824" s="2">
        <v>40</v>
      </c>
      <c r="I824" s="2">
        <v>225.20960000000002</v>
      </c>
      <c r="J824" s="2" t="s">
        <v>52</v>
      </c>
      <c r="K824" s="20">
        <v>45365</v>
      </c>
      <c r="L824" s="20">
        <v>45371</v>
      </c>
      <c r="M824" s="20"/>
      <c r="O824" s="2" t="s">
        <v>146</v>
      </c>
      <c r="P824" s="2" t="s">
        <v>73</v>
      </c>
      <c r="Q824" s="2">
        <f t="shared" si="12"/>
        <v>1</v>
      </c>
    </row>
    <row r="825" spans="1:17" x14ac:dyDescent="0.25">
      <c r="A825" s="2" t="s">
        <v>2383</v>
      </c>
      <c r="B825" s="2" t="s">
        <v>2384</v>
      </c>
      <c r="C825" s="2" t="s">
        <v>30</v>
      </c>
      <c r="D825" s="2" t="s">
        <v>44</v>
      </c>
      <c r="E825" s="2" t="s">
        <v>1002</v>
      </c>
      <c r="F825" s="2">
        <v>15.28</v>
      </c>
      <c r="G825" s="2" t="s">
        <v>995</v>
      </c>
      <c r="H825" s="2">
        <v>40</v>
      </c>
      <c r="I825" s="2">
        <v>6.1120000000000001</v>
      </c>
      <c r="J825" s="2" t="s">
        <v>52</v>
      </c>
      <c r="K825" s="20">
        <v>45365</v>
      </c>
      <c r="L825" s="20">
        <v>45368</v>
      </c>
      <c r="M825" s="20"/>
      <c r="O825" s="2" t="s">
        <v>46</v>
      </c>
      <c r="P825" s="2" t="s">
        <v>47</v>
      </c>
      <c r="Q825" s="2">
        <f t="shared" si="12"/>
        <v>1</v>
      </c>
    </row>
    <row r="826" spans="1:17" x14ac:dyDescent="0.25">
      <c r="A826" s="2" t="s">
        <v>2385</v>
      </c>
      <c r="B826" s="2" t="s">
        <v>2386</v>
      </c>
      <c r="C826" s="2" t="s">
        <v>19</v>
      </c>
      <c r="D826" s="2" t="s">
        <v>154</v>
      </c>
      <c r="E826" s="2" t="s">
        <v>994</v>
      </c>
      <c r="F826" s="2">
        <v>47.984000000000002</v>
      </c>
      <c r="G826" s="2" t="s">
        <v>995</v>
      </c>
      <c r="H826" s="2">
        <v>40</v>
      </c>
      <c r="I826" s="2">
        <v>19.193600000000004</v>
      </c>
      <c r="J826" s="2" t="s">
        <v>52</v>
      </c>
      <c r="K826" s="20">
        <v>45365</v>
      </c>
      <c r="L826" s="20">
        <v>45372</v>
      </c>
      <c r="M826" s="20"/>
      <c r="O826" s="2" t="s">
        <v>25</v>
      </c>
      <c r="P826" s="2" t="s">
        <v>26</v>
      </c>
      <c r="Q826" s="2">
        <f t="shared" si="12"/>
        <v>1</v>
      </c>
    </row>
    <row r="827" spans="1:17" x14ac:dyDescent="0.25">
      <c r="A827" s="2" t="s">
        <v>2388</v>
      </c>
      <c r="B827" s="2" t="s">
        <v>2389</v>
      </c>
      <c r="C827" s="2" t="s">
        <v>19</v>
      </c>
      <c r="D827" s="2" t="s">
        <v>96</v>
      </c>
      <c r="E827" s="2" t="s">
        <v>994</v>
      </c>
      <c r="F827" s="2">
        <v>155.12</v>
      </c>
      <c r="G827" s="2" t="s">
        <v>995</v>
      </c>
      <c r="H827" s="2">
        <v>15</v>
      </c>
      <c r="I827" s="2">
        <v>23.268000000000001</v>
      </c>
      <c r="J827" s="2" t="s">
        <v>52</v>
      </c>
      <c r="K827" s="20">
        <v>45366</v>
      </c>
      <c r="L827" s="20">
        <v>45369</v>
      </c>
      <c r="M827" s="20"/>
      <c r="O827" s="2" t="s">
        <v>33</v>
      </c>
      <c r="P827" s="2" t="s">
        <v>34</v>
      </c>
      <c r="Q827" s="2">
        <f t="shared" si="12"/>
        <v>1</v>
      </c>
    </row>
    <row r="828" spans="1:17" x14ac:dyDescent="0.25">
      <c r="A828" s="2" t="s">
        <v>2391</v>
      </c>
      <c r="B828" s="2" t="s">
        <v>2392</v>
      </c>
      <c r="C828" s="2" t="s">
        <v>19</v>
      </c>
      <c r="D828" s="2" t="s">
        <v>164</v>
      </c>
      <c r="E828" s="2" t="s">
        <v>1006</v>
      </c>
      <c r="F828" s="2">
        <v>8.64</v>
      </c>
      <c r="G828" s="2" t="s">
        <v>995</v>
      </c>
      <c r="H828" s="2">
        <v>0</v>
      </c>
      <c r="I828" s="2">
        <v>0</v>
      </c>
      <c r="J828" s="2" t="s">
        <v>52</v>
      </c>
      <c r="K828" s="20">
        <v>45369</v>
      </c>
      <c r="L828" s="20">
        <v>45375</v>
      </c>
      <c r="M828" s="20"/>
      <c r="O828" s="2" t="s">
        <v>146</v>
      </c>
      <c r="P828" s="2" t="s">
        <v>73</v>
      </c>
      <c r="Q828" s="2">
        <f t="shared" si="12"/>
        <v>1</v>
      </c>
    </row>
    <row r="829" spans="1:17" x14ac:dyDescent="0.25">
      <c r="A829" s="2" t="s">
        <v>2394</v>
      </c>
      <c r="B829" s="2" t="s">
        <v>2395</v>
      </c>
      <c r="C829" s="2" t="s">
        <v>19</v>
      </c>
      <c r="D829" s="2" t="s">
        <v>51</v>
      </c>
      <c r="E829" s="2" t="s">
        <v>994</v>
      </c>
      <c r="F829" s="2">
        <v>89.82</v>
      </c>
      <c r="G829" s="2" t="s">
        <v>995</v>
      </c>
      <c r="H829" s="2">
        <v>40</v>
      </c>
      <c r="I829" s="2">
        <v>35.927999999999997</v>
      </c>
      <c r="J829" s="2" t="s">
        <v>52</v>
      </c>
      <c r="K829" s="20">
        <v>45370</v>
      </c>
      <c r="L829" s="20">
        <v>45374</v>
      </c>
      <c r="M829" s="20"/>
      <c r="O829" s="2" t="s">
        <v>46</v>
      </c>
      <c r="P829" s="2" t="s">
        <v>47</v>
      </c>
      <c r="Q829" s="2">
        <f t="shared" si="12"/>
        <v>1</v>
      </c>
    </row>
    <row r="830" spans="1:17" x14ac:dyDescent="0.25">
      <c r="A830" s="2" t="s">
        <v>2397</v>
      </c>
      <c r="B830" s="2" t="s">
        <v>2398</v>
      </c>
      <c r="C830" s="2" t="s">
        <v>30</v>
      </c>
      <c r="D830" s="2" t="s">
        <v>115</v>
      </c>
      <c r="E830" s="2" t="s">
        <v>21</v>
      </c>
      <c r="F830" s="2">
        <v>976.82799999999997</v>
      </c>
      <c r="G830" s="2" t="s">
        <v>22</v>
      </c>
      <c r="H830" s="2">
        <v>0</v>
      </c>
      <c r="I830" s="2">
        <v>0</v>
      </c>
      <c r="J830" s="2" t="s">
        <v>52</v>
      </c>
      <c r="K830" s="20">
        <v>45371</v>
      </c>
      <c r="L830" s="20">
        <v>45374</v>
      </c>
      <c r="M830" s="20">
        <v>45374</v>
      </c>
      <c r="N830" s="2" t="s">
        <v>63</v>
      </c>
      <c r="O830" s="2" t="s">
        <v>82</v>
      </c>
      <c r="P830" s="2" t="s">
        <v>47</v>
      </c>
      <c r="Q830" s="2">
        <f t="shared" si="12"/>
        <v>1</v>
      </c>
    </row>
    <row r="831" spans="1:17" x14ac:dyDescent="0.25">
      <c r="A831" s="2" t="s">
        <v>2399</v>
      </c>
      <c r="B831" s="2" t="s">
        <v>2400</v>
      </c>
      <c r="C831" s="2" t="s">
        <v>30</v>
      </c>
      <c r="D831" s="2" t="s">
        <v>164</v>
      </c>
      <c r="E831" s="2" t="s">
        <v>1006</v>
      </c>
      <c r="F831" s="2">
        <v>28.728000000000002</v>
      </c>
      <c r="G831" s="2" t="s">
        <v>995</v>
      </c>
      <c r="H831" s="2">
        <v>0</v>
      </c>
      <c r="I831" s="2">
        <v>0</v>
      </c>
      <c r="J831" s="2" t="s">
        <v>52</v>
      </c>
      <c r="K831" s="20">
        <v>45372</v>
      </c>
      <c r="L831" s="20">
        <v>45377</v>
      </c>
      <c r="M831" s="20"/>
      <c r="O831" s="2" t="s">
        <v>40</v>
      </c>
      <c r="P831" s="2" t="s">
        <v>34</v>
      </c>
      <c r="Q831" s="2">
        <f t="shared" si="12"/>
        <v>1</v>
      </c>
    </row>
    <row r="832" spans="1:17" x14ac:dyDescent="0.25">
      <c r="A832" s="2" t="s">
        <v>2401</v>
      </c>
      <c r="B832" s="2" t="s">
        <v>2402</v>
      </c>
      <c r="C832" s="2" t="s">
        <v>30</v>
      </c>
      <c r="D832" s="2" t="s">
        <v>119</v>
      </c>
      <c r="E832" s="2" t="s">
        <v>1002</v>
      </c>
      <c r="F832" s="2">
        <v>2.96</v>
      </c>
      <c r="G832" s="2" t="s">
        <v>995</v>
      </c>
      <c r="H832" s="2">
        <v>40</v>
      </c>
      <c r="I832" s="2">
        <v>1.1839999999999999</v>
      </c>
      <c r="J832" s="2" t="s">
        <v>52</v>
      </c>
      <c r="K832" s="20">
        <v>45373</v>
      </c>
      <c r="L832" s="20">
        <v>45379</v>
      </c>
      <c r="M832" s="20"/>
      <c r="O832" s="2" t="s">
        <v>146</v>
      </c>
      <c r="P832" s="2" t="s">
        <v>73</v>
      </c>
      <c r="Q832" s="2">
        <f t="shared" si="12"/>
        <v>1</v>
      </c>
    </row>
    <row r="833" spans="1:17" x14ac:dyDescent="0.25">
      <c r="A833" s="2" t="s">
        <v>2404</v>
      </c>
      <c r="B833" s="2" t="s">
        <v>2405</v>
      </c>
      <c r="C833" s="2" t="s">
        <v>30</v>
      </c>
      <c r="D833" s="2" t="s">
        <v>96</v>
      </c>
      <c r="E833" s="2" t="s">
        <v>21</v>
      </c>
      <c r="F833" s="2">
        <v>724.846</v>
      </c>
      <c r="G833" s="2" t="s">
        <v>22</v>
      </c>
      <c r="H833" s="2">
        <v>0</v>
      </c>
      <c r="I833" s="2">
        <v>0</v>
      </c>
      <c r="J833" s="2" t="s">
        <v>52</v>
      </c>
      <c r="K833" s="20">
        <v>45376</v>
      </c>
      <c r="L833" s="20">
        <v>45379</v>
      </c>
      <c r="M833" s="20">
        <v>45379</v>
      </c>
      <c r="N833" s="2" t="s">
        <v>45</v>
      </c>
      <c r="O833" s="2" t="s">
        <v>40</v>
      </c>
      <c r="P833" s="2" t="s">
        <v>34</v>
      </c>
      <c r="Q833" s="2">
        <f t="shared" si="12"/>
        <v>1</v>
      </c>
    </row>
    <row r="834" spans="1:17" x14ac:dyDescent="0.25">
      <c r="A834" s="2" t="s">
        <v>2407</v>
      </c>
      <c r="B834" s="2" t="s">
        <v>2408</v>
      </c>
      <c r="C834" s="2" t="s">
        <v>30</v>
      </c>
      <c r="D834" s="2" t="s">
        <v>230</v>
      </c>
      <c r="E834" s="2" t="s">
        <v>1002</v>
      </c>
      <c r="F834" s="2">
        <v>317.05799999999999</v>
      </c>
      <c r="G834" s="2" t="s">
        <v>995</v>
      </c>
      <c r="H834" s="2">
        <v>40</v>
      </c>
      <c r="I834" s="2">
        <v>126.8232</v>
      </c>
      <c r="J834" s="2" t="s">
        <v>52</v>
      </c>
      <c r="K834" s="20">
        <v>45377</v>
      </c>
      <c r="L834" s="20">
        <v>45382</v>
      </c>
      <c r="M834" s="20"/>
      <c r="O834" s="2" t="s">
        <v>72</v>
      </c>
      <c r="P834" s="2" t="s">
        <v>73</v>
      </c>
      <c r="Q834" s="2">
        <f t="shared" ref="Q834:Q897" si="13">COUNTIF($A$2:$A$1778,A834)</f>
        <v>1</v>
      </c>
    </row>
    <row r="835" spans="1:17" x14ac:dyDescent="0.25">
      <c r="A835" s="2" t="s">
        <v>2409</v>
      </c>
      <c r="B835" s="2" t="s">
        <v>2410</v>
      </c>
      <c r="C835" s="2" t="s">
        <v>19</v>
      </c>
      <c r="D835" s="2" t="s">
        <v>44</v>
      </c>
      <c r="E835" s="2" t="s">
        <v>21</v>
      </c>
      <c r="F835" s="2">
        <v>1069.1320000000001</v>
      </c>
      <c r="G835" s="2" t="s">
        <v>22</v>
      </c>
      <c r="H835" s="2">
        <v>0</v>
      </c>
      <c r="I835" s="2">
        <v>0</v>
      </c>
      <c r="J835" s="2" t="s">
        <v>52</v>
      </c>
      <c r="K835" s="20">
        <v>45377</v>
      </c>
      <c r="L835" s="20">
        <v>45378</v>
      </c>
      <c r="M835" s="20">
        <v>45378</v>
      </c>
      <c r="N835" s="2" t="s">
        <v>45</v>
      </c>
      <c r="O835" s="2" t="s">
        <v>72</v>
      </c>
      <c r="P835" s="2" t="s">
        <v>73</v>
      </c>
      <c r="Q835" s="2">
        <f t="shared" si="13"/>
        <v>1</v>
      </c>
    </row>
    <row r="836" spans="1:17" x14ac:dyDescent="0.25">
      <c r="A836" s="2" t="s">
        <v>2412</v>
      </c>
      <c r="B836" s="2" t="s">
        <v>2413</v>
      </c>
      <c r="C836" s="2" t="s">
        <v>30</v>
      </c>
      <c r="D836" s="2" t="s">
        <v>119</v>
      </c>
      <c r="E836" s="2" t="s">
        <v>21</v>
      </c>
      <c r="F836" s="2">
        <v>1435.96</v>
      </c>
      <c r="G836" s="2" t="s">
        <v>22</v>
      </c>
      <c r="H836" s="2">
        <v>0</v>
      </c>
      <c r="I836" s="2">
        <v>0</v>
      </c>
      <c r="J836" s="2" t="s">
        <v>52</v>
      </c>
      <c r="K836" s="20">
        <v>45380</v>
      </c>
      <c r="L836" s="20">
        <v>45383</v>
      </c>
      <c r="M836" s="20">
        <v>45383</v>
      </c>
      <c r="N836" s="2" t="s">
        <v>45</v>
      </c>
      <c r="O836" s="2" t="s">
        <v>146</v>
      </c>
      <c r="P836" s="2" t="s">
        <v>73</v>
      </c>
      <c r="Q836" s="2">
        <f t="shared" si="13"/>
        <v>1</v>
      </c>
    </row>
    <row r="837" spans="1:17" x14ac:dyDescent="0.25">
      <c r="A837" s="2" t="s">
        <v>2414</v>
      </c>
      <c r="B837" s="2" t="s">
        <v>2415</v>
      </c>
      <c r="C837" s="2" t="s">
        <v>19</v>
      </c>
      <c r="D837" s="2" t="s">
        <v>81</v>
      </c>
      <c r="E837" s="2" t="s">
        <v>1002</v>
      </c>
      <c r="F837" s="2">
        <v>232.88</v>
      </c>
      <c r="G837" s="2" t="s">
        <v>995</v>
      </c>
      <c r="H837" s="2">
        <v>40</v>
      </c>
      <c r="I837" s="2">
        <v>93.152000000000001</v>
      </c>
      <c r="J837" s="2" t="s">
        <v>52</v>
      </c>
      <c r="K837" s="20">
        <v>45382</v>
      </c>
      <c r="L837" s="20">
        <v>45384</v>
      </c>
      <c r="M837" s="20"/>
      <c r="O837" s="2" t="s">
        <v>40</v>
      </c>
      <c r="P837" s="2" t="s">
        <v>34</v>
      </c>
      <c r="Q837" s="2">
        <f t="shared" si="13"/>
        <v>1</v>
      </c>
    </row>
    <row r="838" spans="1:17" x14ac:dyDescent="0.25">
      <c r="A838" s="2" t="s">
        <v>2417</v>
      </c>
      <c r="B838" s="2" t="s">
        <v>2418</v>
      </c>
      <c r="C838" s="2" t="s">
        <v>19</v>
      </c>
      <c r="D838" s="2" t="s">
        <v>150</v>
      </c>
      <c r="E838" s="2" t="s">
        <v>1006</v>
      </c>
      <c r="F838" s="2">
        <v>19.440000000000001</v>
      </c>
      <c r="G838" s="2" t="s">
        <v>995</v>
      </c>
      <c r="H838" s="2">
        <v>0</v>
      </c>
      <c r="I838" s="2">
        <v>0</v>
      </c>
      <c r="J838" s="2" t="s">
        <v>52</v>
      </c>
      <c r="K838" s="20">
        <v>45382</v>
      </c>
      <c r="L838" s="20">
        <v>45386</v>
      </c>
      <c r="M838" s="20"/>
      <c r="O838" s="2" t="s">
        <v>40</v>
      </c>
      <c r="P838" s="2" t="s">
        <v>34</v>
      </c>
      <c r="Q838" s="2">
        <f t="shared" si="13"/>
        <v>1</v>
      </c>
    </row>
    <row r="839" spans="1:17" x14ac:dyDescent="0.25">
      <c r="A839" s="2" t="s">
        <v>2420</v>
      </c>
      <c r="B839" s="2" t="s">
        <v>2421</v>
      </c>
      <c r="C839" s="2" t="s">
        <v>19</v>
      </c>
      <c r="D839" s="2" t="s">
        <v>20</v>
      </c>
      <c r="E839" s="2" t="s">
        <v>21</v>
      </c>
      <c r="F839" s="2">
        <v>7.04</v>
      </c>
      <c r="G839" s="2" t="s">
        <v>22</v>
      </c>
      <c r="H839" s="2">
        <v>0</v>
      </c>
      <c r="I839" s="2">
        <v>0</v>
      </c>
      <c r="J839" s="2" t="s">
        <v>52</v>
      </c>
      <c r="K839" s="20">
        <v>45387</v>
      </c>
      <c r="L839" s="20">
        <v>45388</v>
      </c>
      <c r="M839" s="20">
        <v>45388</v>
      </c>
      <c r="N839" s="2" t="s">
        <v>63</v>
      </c>
      <c r="O839" s="2" t="s">
        <v>40</v>
      </c>
      <c r="P839" s="2" t="s">
        <v>34</v>
      </c>
      <c r="Q839" s="2">
        <f t="shared" si="13"/>
        <v>1</v>
      </c>
    </row>
    <row r="840" spans="1:17" x14ac:dyDescent="0.25">
      <c r="A840" s="2" t="s">
        <v>2422</v>
      </c>
      <c r="B840" s="2" t="s">
        <v>2423</v>
      </c>
      <c r="C840" s="2" t="s">
        <v>30</v>
      </c>
      <c r="D840" s="2" t="s">
        <v>211</v>
      </c>
      <c r="E840" s="2" t="s">
        <v>21</v>
      </c>
      <c r="F840" s="2">
        <v>30.96</v>
      </c>
      <c r="G840" s="2" t="s">
        <v>22</v>
      </c>
      <c r="H840" s="2">
        <v>0</v>
      </c>
      <c r="I840" s="2">
        <v>0</v>
      </c>
      <c r="J840" s="2" t="s">
        <v>1291</v>
      </c>
      <c r="K840" s="20">
        <v>44059</v>
      </c>
      <c r="L840" s="20">
        <v>44062</v>
      </c>
      <c r="M840" s="20">
        <v>44062</v>
      </c>
      <c r="N840" s="2" t="s">
        <v>63</v>
      </c>
      <c r="O840" s="2" t="s">
        <v>25</v>
      </c>
      <c r="P840" s="2" t="s">
        <v>26</v>
      </c>
      <c r="Q840" s="2">
        <f t="shared" si="13"/>
        <v>1</v>
      </c>
    </row>
    <row r="841" spans="1:17" x14ac:dyDescent="0.25">
      <c r="A841" s="2" t="s">
        <v>2425</v>
      </c>
      <c r="B841" s="2" t="s">
        <v>2426</v>
      </c>
      <c r="C841" s="2" t="s">
        <v>19</v>
      </c>
      <c r="D841" s="2" t="s">
        <v>51</v>
      </c>
      <c r="E841" s="2" t="s">
        <v>21</v>
      </c>
      <c r="F841" s="2">
        <v>21.4</v>
      </c>
      <c r="G841" s="2" t="s">
        <v>22</v>
      </c>
      <c r="H841" s="2">
        <v>0</v>
      </c>
      <c r="I841" s="2">
        <v>0</v>
      </c>
      <c r="J841" s="2" t="s">
        <v>1291</v>
      </c>
      <c r="K841" s="20">
        <v>44004</v>
      </c>
      <c r="L841" s="20">
        <v>44007</v>
      </c>
      <c r="M841" s="20">
        <v>44007</v>
      </c>
      <c r="N841" s="2" t="s">
        <v>24</v>
      </c>
      <c r="O841" s="2" t="s">
        <v>40</v>
      </c>
      <c r="P841" s="2" t="s">
        <v>34</v>
      </c>
      <c r="Q841" s="2">
        <f t="shared" si="13"/>
        <v>1</v>
      </c>
    </row>
    <row r="842" spans="1:17" x14ac:dyDescent="0.25">
      <c r="A842" s="2" t="s">
        <v>2427</v>
      </c>
      <c r="B842" s="2" t="s">
        <v>2428</v>
      </c>
      <c r="C842" s="2" t="s">
        <v>19</v>
      </c>
      <c r="D842" s="2" t="s">
        <v>211</v>
      </c>
      <c r="E842" s="2" t="s">
        <v>21</v>
      </c>
      <c r="F842" s="2">
        <v>531.38199999999995</v>
      </c>
      <c r="G842" s="2" t="s">
        <v>22</v>
      </c>
      <c r="H842" s="2">
        <v>0</v>
      </c>
      <c r="I842" s="2">
        <v>0</v>
      </c>
      <c r="J842" s="2" t="s">
        <v>52</v>
      </c>
      <c r="K842" s="20">
        <v>44126</v>
      </c>
      <c r="L842" s="20">
        <v>44127</v>
      </c>
      <c r="M842" s="20">
        <v>44127</v>
      </c>
      <c r="N842" s="2" t="s">
        <v>24</v>
      </c>
      <c r="O842" s="2" t="s">
        <v>67</v>
      </c>
      <c r="P842" s="2" t="s">
        <v>68</v>
      </c>
      <c r="Q842" s="2">
        <f t="shared" si="13"/>
        <v>1</v>
      </c>
    </row>
    <row r="843" spans="1:17" x14ac:dyDescent="0.25">
      <c r="A843" s="2" t="s">
        <v>2429</v>
      </c>
      <c r="B843" s="2" t="s">
        <v>2430</v>
      </c>
      <c r="C843" s="2" t="s">
        <v>30</v>
      </c>
      <c r="D843" s="2" t="s">
        <v>31</v>
      </c>
      <c r="E843" s="2" t="s">
        <v>21</v>
      </c>
      <c r="F843" s="2">
        <v>1885.27</v>
      </c>
      <c r="G843" s="2" t="s">
        <v>22</v>
      </c>
      <c r="H843" s="2">
        <v>0</v>
      </c>
      <c r="I843" s="2">
        <v>0</v>
      </c>
      <c r="J843" s="2" t="s">
        <v>52</v>
      </c>
      <c r="K843" s="20">
        <v>44119</v>
      </c>
      <c r="L843" s="20">
        <v>44122</v>
      </c>
      <c r="M843" s="20">
        <v>44122</v>
      </c>
      <c r="N843" s="2" t="s">
        <v>39</v>
      </c>
      <c r="O843" s="2" t="s">
        <v>82</v>
      </c>
      <c r="P843" s="2" t="s">
        <v>47</v>
      </c>
      <c r="Q843" s="2">
        <f t="shared" si="13"/>
        <v>1</v>
      </c>
    </row>
    <row r="844" spans="1:17" x14ac:dyDescent="0.25">
      <c r="A844" s="2" t="s">
        <v>2432</v>
      </c>
      <c r="B844" s="2" t="s">
        <v>2433</v>
      </c>
      <c r="C844" s="2" t="s">
        <v>19</v>
      </c>
      <c r="D844" s="2" t="s">
        <v>115</v>
      </c>
      <c r="E844" s="2" t="s">
        <v>21</v>
      </c>
      <c r="F844" s="2">
        <v>61.96</v>
      </c>
      <c r="G844" s="2" t="s">
        <v>22</v>
      </c>
      <c r="H844" s="2">
        <v>0</v>
      </c>
      <c r="I844" s="2">
        <v>0</v>
      </c>
      <c r="J844" s="2" t="s">
        <v>1291</v>
      </c>
      <c r="K844" s="20">
        <v>43845</v>
      </c>
      <c r="L844" s="20">
        <v>43846</v>
      </c>
      <c r="M844" s="20">
        <v>43846</v>
      </c>
      <c r="N844" s="2" t="s">
        <v>45</v>
      </c>
      <c r="O844" s="2" t="s">
        <v>72</v>
      </c>
      <c r="P844" s="2" t="s">
        <v>73</v>
      </c>
      <c r="Q844" s="2">
        <f t="shared" si="13"/>
        <v>1</v>
      </c>
    </row>
    <row r="845" spans="1:17" x14ac:dyDescent="0.25">
      <c r="A845" s="2" t="s">
        <v>2435</v>
      </c>
      <c r="B845" s="2" t="s">
        <v>2436</v>
      </c>
      <c r="C845" s="2" t="s">
        <v>19</v>
      </c>
      <c r="D845" s="2" t="s">
        <v>164</v>
      </c>
      <c r="E845" s="2" t="s">
        <v>21</v>
      </c>
      <c r="F845" s="2">
        <v>378.59399999999999</v>
      </c>
      <c r="G845" s="2" t="s">
        <v>22</v>
      </c>
      <c r="H845" s="2">
        <v>0</v>
      </c>
      <c r="I845" s="2">
        <v>0</v>
      </c>
      <c r="J845" s="2" t="s">
        <v>1291</v>
      </c>
      <c r="K845" s="20">
        <v>43850</v>
      </c>
      <c r="L845" s="20">
        <v>43851</v>
      </c>
      <c r="M845" s="20">
        <v>43851</v>
      </c>
      <c r="N845" s="2" t="s">
        <v>32</v>
      </c>
      <c r="O845" s="2" t="s">
        <v>25</v>
      </c>
      <c r="P845" s="2" t="s">
        <v>26</v>
      </c>
      <c r="Q845" s="2">
        <f t="shared" si="13"/>
        <v>1</v>
      </c>
    </row>
    <row r="846" spans="1:17" x14ac:dyDescent="0.25">
      <c r="A846" s="2" t="s">
        <v>2437</v>
      </c>
      <c r="B846" s="2" t="s">
        <v>2438</v>
      </c>
      <c r="C846" s="2" t="s">
        <v>30</v>
      </c>
      <c r="D846" s="2" t="s">
        <v>44</v>
      </c>
      <c r="E846" s="2" t="s">
        <v>21</v>
      </c>
      <c r="F846" s="2">
        <v>321.56</v>
      </c>
      <c r="G846" s="2" t="s">
        <v>22</v>
      </c>
      <c r="H846" s="2">
        <v>0</v>
      </c>
      <c r="I846" s="2">
        <v>0</v>
      </c>
      <c r="J846" s="2" t="s">
        <v>1291</v>
      </c>
      <c r="K846" s="20">
        <v>43868</v>
      </c>
      <c r="L846" s="20">
        <v>43871</v>
      </c>
      <c r="M846" s="20">
        <v>43871</v>
      </c>
      <c r="N846" s="2" t="s">
        <v>63</v>
      </c>
      <c r="O846" s="2" t="s">
        <v>40</v>
      </c>
      <c r="P846" s="2" t="s">
        <v>34</v>
      </c>
      <c r="Q846" s="2">
        <f t="shared" si="13"/>
        <v>1</v>
      </c>
    </row>
    <row r="847" spans="1:17" x14ac:dyDescent="0.25">
      <c r="A847" s="2" t="s">
        <v>2440</v>
      </c>
      <c r="B847" s="2" t="s">
        <v>2441</v>
      </c>
      <c r="C847" s="2" t="s">
        <v>19</v>
      </c>
      <c r="D847" s="2" t="s">
        <v>38</v>
      </c>
      <c r="E847" s="2" t="s">
        <v>21</v>
      </c>
      <c r="F847" s="2">
        <v>590.76200000000006</v>
      </c>
      <c r="G847" s="2" t="s">
        <v>22</v>
      </c>
      <c r="H847" s="2">
        <v>0</v>
      </c>
      <c r="I847" s="2">
        <v>0</v>
      </c>
      <c r="J847" s="2" t="s">
        <v>1291</v>
      </c>
      <c r="K847" s="20">
        <v>43910</v>
      </c>
      <c r="L847" s="20">
        <v>43912</v>
      </c>
      <c r="M847" s="20">
        <v>43912</v>
      </c>
      <c r="N847" s="2" t="s">
        <v>63</v>
      </c>
      <c r="O847" s="2" t="s">
        <v>46</v>
      </c>
      <c r="P847" s="2" t="s">
        <v>47</v>
      </c>
      <c r="Q847" s="2">
        <f t="shared" si="13"/>
        <v>1</v>
      </c>
    </row>
    <row r="848" spans="1:17" x14ac:dyDescent="0.25">
      <c r="A848" s="2" t="s">
        <v>2443</v>
      </c>
      <c r="B848" s="2" t="s">
        <v>2444</v>
      </c>
      <c r="C848" s="2" t="s">
        <v>30</v>
      </c>
      <c r="D848" s="2" t="s">
        <v>105</v>
      </c>
      <c r="E848" s="2" t="s">
        <v>21</v>
      </c>
      <c r="F848" s="2">
        <v>10.5</v>
      </c>
      <c r="G848" s="2" t="s">
        <v>22</v>
      </c>
      <c r="H848" s="2">
        <v>0</v>
      </c>
      <c r="I848" s="2">
        <v>0</v>
      </c>
      <c r="J848" s="2" t="s">
        <v>1291</v>
      </c>
      <c r="K848" s="20">
        <v>43921</v>
      </c>
      <c r="L848" s="20">
        <v>43922</v>
      </c>
      <c r="M848" s="20">
        <v>43922</v>
      </c>
      <c r="N848" s="2" t="s">
        <v>45</v>
      </c>
      <c r="O848" s="2" t="s">
        <v>67</v>
      </c>
      <c r="P848" s="2" t="s">
        <v>68</v>
      </c>
      <c r="Q848" s="2">
        <f t="shared" si="13"/>
        <v>1</v>
      </c>
    </row>
    <row r="849" spans="1:17" x14ac:dyDescent="0.25">
      <c r="A849" s="2" t="s">
        <v>2446</v>
      </c>
      <c r="B849" s="2" t="s">
        <v>2447</v>
      </c>
      <c r="C849" s="2" t="s">
        <v>30</v>
      </c>
      <c r="D849" s="2" t="s">
        <v>119</v>
      </c>
      <c r="E849" s="2" t="s">
        <v>21</v>
      </c>
      <c r="F849" s="2">
        <v>7.1840000000000002</v>
      </c>
      <c r="G849" s="2" t="s">
        <v>22</v>
      </c>
      <c r="H849" s="2">
        <v>0</v>
      </c>
      <c r="I849" s="2">
        <v>0</v>
      </c>
      <c r="J849" s="2" t="s">
        <v>1291</v>
      </c>
      <c r="K849" s="20">
        <v>43926</v>
      </c>
      <c r="L849" s="20">
        <v>43927</v>
      </c>
      <c r="M849" s="20">
        <v>43927</v>
      </c>
      <c r="N849" s="2" t="s">
        <v>24</v>
      </c>
      <c r="O849" s="2" t="s">
        <v>46</v>
      </c>
      <c r="P849" s="2" t="s">
        <v>47</v>
      </c>
      <c r="Q849" s="2">
        <f t="shared" si="13"/>
        <v>1</v>
      </c>
    </row>
    <row r="850" spans="1:17" x14ac:dyDescent="0.25">
      <c r="A850" s="2" t="s">
        <v>2448</v>
      </c>
      <c r="B850" s="2" t="s">
        <v>2449</v>
      </c>
      <c r="C850" s="2" t="s">
        <v>19</v>
      </c>
      <c r="D850" s="2" t="s">
        <v>164</v>
      </c>
      <c r="E850" s="2" t="s">
        <v>21</v>
      </c>
      <c r="F850" s="2">
        <v>21.56</v>
      </c>
      <c r="G850" s="2" t="s">
        <v>22</v>
      </c>
      <c r="H850" s="2">
        <v>0</v>
      </c>
      <c r="I850" s="2">
        <v>0</v>
      </c>
      <c r="J850" s="2" t="s">
        <v>1291</v>
      </c>
      <c r="K850" s="20">
        <v>43955</v>
      </c>
      <c r="L850" s="20">
        <v>43957</v>
      </c>
      <c r="M850" s="20">
        <v>43957</v>
      </c>
      <c r="N850" s="2" t="s">
        <v>39</v>
      </c>
      <c r="O850" s="2" t="s">
        <v>54</v>
      </c>
      <c r="P850" s="2" t="s">
        <v>26</v>
      </c>
      <c r="Q850" s="2">
        <f t="shared" si="13"/>
        <v>1</v>
      </c>
    </row>
    <row r="851" spans="1:17" x14ac:dyDescent="0.25">
      <c r="A851" s="2" t="s">
        <v>2451</v>
      </c>
      <c r="B851" s="2" t="s">
        <v>2452</v>
      </c>
      <c r="C851" s="2" t="s">
        <v>30</v>
      </c>
      <c r="D851" s="2" t="s">
        <v>139</v>
      </c>
      <c r="E851" s="2" t="s">
        <v>21</v>
      </c>
      <c r="F851" s="2">
        <v>34.79</v>
      </c>
      <c r="G851" s="2" t="s">
        <v>22</v>
      </c>
      <c r="H851" s="2">
        <v>0</v>
      </c>
      <c r="I851" s="2">
        <v>0</v>
      </c>
      <c r="J851" s="2" t="s">
        <v>1291</v>
      </c>
      <c r="K851" s="20">
        <v>43964</v>
      </c>
      <c r="L851" s="20">
        <v>43967</v>
      </c>
      <c r="M851" s="20">
        <v>43967</v>
      </c>
      <c r="N851" s="2" t="s">
        <v>45</v>
      </c>
      <c r="O851" s="2" t="s">
        <v>54</v>
      </c>
      <c r="P851" s="2" t="s">
        <v>26</v>
      </c>
      <c r="Q851" s="2">
        <f t="shared" si="13"/>
        <v>1</v>
      </c>
    </row>
    <row r="852" spans="1:17" x14ac:dyDescent="0.25">
      <c r="A852" s="2" t="s">
        <v>2454</v>
      </c>
      <c r="B852" s="2" t="s">
        <v>2455</v>
      </c>
      <c r="C852" s="2" t="s">
        <v>30</v>
      </c>
      <c r="D852" s="2" t="s">
        <v>105</v>
      </c>
      <c r="E852" s="2" t="s">
        <v>21</v>
      </c>
      <c r="F852" s="2">
        <v>765.49400000000003</v>
      </c>
      <c r="G852" s="2" t="s">
        <v>22</v>
      </c>
      <c r="H852" s="2">
        <v>0</v>
      </c>
      <c r="I852" s="2">
        <v>0</v>
      </c>
      <c r="J852" s="2" t="s">
        <v>1291</v>
      </c>
      <c r="K852" s="20">
        <v>43982</v>
      </c>
      <c r="L852" s="20">
        <v>43984</v>
      </c>
      <c r="M852" s="20">
        <v>43984</v>
      </c>
      <c r="N852" s="2" t="s">
        <v>45</v>
      </c>
      <c r="O852" s="2" t="s">
        <v>82</v>
      </c>
      <c r="P852" s="2" t="s">
        <v>47</v>
      </c>
      <c r="Q852" s="2">
        <f t="shared" si="13"/>
        <v>1</v>
      </c>
    </row>
    <row r="853" spans="1:17" x14ac:dyDescent="0.25">
      <c r="A853" s="2" t="s">
        <v>2456</v>
      </c>
      <c r="B853" s="2" t="s">
        <v>2457</v>
      </c>
      <c r="C853" s="2" t="s">
        <v>30</v>
      </c>
      <c r="D853" s="2" t="s">
        <v>211</v>
      </c>
      <c r="E853" s="2" t="s">
        <v>21</v>
      </c>
      <c r="F853" s="2">
        <v>99.98</v>
      </c>
      <c r="G853" s="2" t="s">
        <v>22</v>
      </c>
      <c r="H853" s="2">
        <v>0</v>
      </c>
      <c r="I853" s="2">
        <v>0</v>
      </c>
      <c r="J853" s="2" t="s">
        <v>1291</v>
      </c>
      <c r="K853" s="20">
        <v>44110</v>
      </c>
      <c r="L853" s="20">
        <v>44111</v>
      </c>
      <c r="M853" s="20">
        <v>44111</v>
      </c>
      <c r="N853" s="2" t="s">
        <v>45</v>
      </c>
      <c r="O853" s="2" t="s">
        <v>40</v>
      </c>
      <c r="P853" s="2" t="s">
        <v>34</v>
      </c>
      <c r="Q853" s="2">
        <f t="shared" si="13"/>
        <v>1</v>
      </c>
    </row>
    <row r="854" spans="1:17" x14ac:dyDescent="0.25">
      <c r="A854" s="2" t="s">
        <v>2458</v>
      </c>
      <c r="B854" s="2" t="s">
        <v>2459</v>
      </c>
      <c r="C854" s="2" t="s">
        <v>30</v>
      </c>
      <c r="D854" s="2" t="s">
        <v>154</v>
      </c>
      <c r="E854" s="2" t="s">
        <v>21</v>
      </c>
      <c r="F854" s="2">
        <v>19.751999999999999</v>
      </c>
      <c r="G854" s="2" t="s">
        <v>22</v>
      </c>
      <c r="H854" s="2">
        <v>0</v>
      </c>
      <c r="I854" s="2">
        <v>0</v>
      </c>
      <c r="J854" s="2" t="s">
        <v>1291</v>
      </c>
      <c r="K854" s="20">
        <v>44045</v>
      </c>
      <c r="L854" s="20">
        <v>44047</v>
      </c>
      <c r="M854" s="20">
        <v>44047</v>
      </c>
      <c r="N854" s="2" t="s">
        <v>39</v>
      </c>
      <c r="O854" s="2" t="s">
        <v>82</v>
      </c>
      <c r="P854" s="2" t="s">
        <v>47</v>
      </c>
      <c r="Q854" s="2">
        <f t="shared" si="13"/>
        <v>1</v>
      </c>
    </row>
    <row r="855" spans="1:17" x14ac:dyDescent="0.25">
      <c r="A855" s="2" t="s">
        <v>2461</v>
      </c>
      <c r="B855" s="2" t="s">
        <v>2462</v>
      </c>
      <c r="C855" s="2" t="s">
        <v>30</v>
      </c>
      <c r="D855" s="2" t="s">
        <v>20</v>
      </c>
      <c r="E855" s="2" t="s">
        <v>21</v>
      </c>
      <c r="F855" s="2">
        <v>286.65000000000003</v>
      </c>
      <c r="G855" s="2" t="s">
        <v>22</v>
      </c>
      <c r="H855" s="2">
        <v>0</v>
      </c>
      <c r="I855" s="2">
        <v>0</v>
      </c>
      <c r="J855" s="2" t="s">
        <v>23</v>
      </c>
      <c r="K855" s="20">
        <v>44056</v>
      </c>
      <c r="L855" s="20">
        <v>44057</v>
      </c>
      <c r="M855" s="20">
        <v>44057</v>
      </c>
      <c r="N855" s="2" t="s">
        <v>53</v>
      </c>
      <c r="O855" s="2" t="s">
        <v>82</v>
      </c>
      <c r="P855" s="2" t="s">
        <v>47</v>
      </c>
      <c r="Q855" s="2">
        <f t="shared" si="13"/>
        <v>1</v>
      </c>
    </row>
    <row r="856" spans="1:17" x14ac:dyDescent="0.25">
      <c r="A856" s="2" t="s">
        <v>2464</v>
      </c>
      <c r="B856" s="2" t="s">
        <v>2465</v>
      </c>
      <c r="C856" s="2" t="s">
        <v>19</v>
      </c>
      <c r="D856" s="2" t="s">
        <v>150</v>
      </c>
      <c r="E856" s="2" t="s">
        <v>21</v>
      </c>
      <c r="F856" s="2">
        <v>559.99199999999996</v>
      </c>
      <c r="G856" s="2" t="s">
        <v>22</v>
      </c>
      <c r="H856" s="2">
        <v>0</v>
      </c>
      <c r="I856" s="2">
        <v>0</v>
      </c>
      <c r="J856" s="2" t="s">
        <v>1291</v>
      </c>
      <c r="K856" s="20">
        <v>44019</v>
      </c>
      <c r="L856" s="20">
        <v>44021</v>
      </c>
      <c r="M856" s="20">
        <v>44021</v>
      </c>
      <c r="N856" s="2" t="s">
        <v>24</v>
      </c>
      <c r="O856" s="2" t="s">
        <v>33</v>
      </c>
      <c r="P856" s="2" t="s">
        <v>34</v>
      </c>
      <c r="Q856" s="2">
        <f t="shared" si="13"/>
        <v>1</v>
      </c>
    </row>
    <row r="857" spans="1:17" x14ac:dyDescent="0.25">
      <c r="A857" s="2" t="s">
        <v>2467</v>
      </c>
      <c r="B857" s="2" t="s">
        <v>2468</v>
      </c>
      <c r="C857" s="2" t="s">
        <v>19</v>
      </c>
      <c r="D857" s="2" t="s">
        <v>105</v>
      </c>
      <c r="E857" s="2" t="s">
        <v>21</v>
      </c>
      <c r="F857" s="2">
        <v>602.42999999999995</v>
      </c>
      <c r="G857" s="2" t="s">
        <v>22</v>
      </c>
      <c r="H857" s="2">
        <v>0</v>
      </c>
      <c r="I857" s="2">
        <v>0</v>
      </c>
      <c r="J857" s="2" t="s">
        <v>1291</v>
      </c>
      <c r="K857" s="20">
        <v>44033</v>
      </c>
      <c r="L857" s="20">
        <v>44036</v>
      </c>
      <c r="M857" s="20">
        <v>44036</v>
      </c>
      <c r="N857" s="2" t="s">
        <v>63</v>
      </c>
      <c r="O857" s="2" t="s">
        <v>46</v>
      </c>
      <c r="P857" s="2" t="s">
        <v>47</v>
      </c>
      <c r="Q857" s="2">
        <f t="shared" si="13"/>
        <v>1</v>
      </c>
    </row>
    <row r="858" spans="1:17" x14ac:dyDescent="0.25">
      <c r="A858" s="2" t="s">
        <v>2470</v>
      </c>
      <c r="B858" s="2" t="s">
        <v>2471</v>
      </c>
      <c r="C858" s="2" t="s">
        <v>19</v>
      </c>
      <c r="D858" s="2" t="s">
        <v>154</v>
      </c>
      <c r="E858" s="2" t="s">
        <v>21</v>
      </c>
      <c r="F858" s="2">
        <v>112.542</v>
      </c>
      <c r="G858" s="2" t="s">
        <v>22</v>
      </c>
      <c r="H858" s="2">
        <v>0</v>
      </c>
      <c r="I858" s="2">
        <v>0</v>
      </c>
      <c r="J858" s="2" t="s">
        <v>1291</v>
      </c>
      <c r="K858" s="20">
        <v>44033</v>
      </c>
      <c r="L858" s="20">
        <v>44035</v>
      </c>
      <c r="M858" s="20">
        <v>44035</v>
      </c>
      <c r="N858" s="2" t="s">
        <v>45</v>
      </c>
      <c r="O858" s="2" t="s">
        <v>54</v>
      </c>
      <c r="P858" s="2" t="s">
        <v>26</v>
      </c>
      <c r="Q858" s="2">
        <f t="shared" si="13"/>
        <v>1</v>
      </c>
    </row>
    <row r="859" spans="1:17" x14ac:dyDescent="0.25">
      <c r="A859" s="2" t="s">
        <v>2472</v>
      </c>
      <c r="B859" s="2" t="s">
        <v>2473</v>
      </c>
      <c r="C859" s="2" t="s">
        <v>19</v>
      </c>
      <c r="D859" s="2" t="s">
        <v>58</v>
      </c>
      <c r="E859" s="2" t="s">
        <v>21</v>
      </c>
      <c r="F859" s="2">
        <v>2735.9520000000002</v>
      </c>
      <c r="G859" s="2" t="s">
        <v>22</v>
      </c>
      <c r="H859" s="2">
        <v>0</v>
      </c>
      <c r="I859" s="2">
        <v>0</v>
      </c>
      <c r="J859" s="2" t="s">
        <v>23</v>
      </c>
      <c r="K859" s="20">
        <v>44134</v>
      </c>
      <c r="L859" s="20">
        <v>44136</v>
      </c>
      <c r="M859" s="20">
        <v>44136</v>
      </c>
      <c r="N859" s="2" t="s">
        <v>45</v>
      </c>
      <c r="O859" s="2" t="s">
        <v>46</v>
      </c>
      <c r="P859" s="2" t="s">
        <v>47</v>
      </c>
      <c r="Q859" s="2">
        <f t="shared" si="13"/>
        <v>1</v>
      </c>
    </row>
    <row r="860" spans="1:17" x14ac:dyDescent="0.25">
      <c r="A860" s="2" t="s">
        <v>2475</v>
      </c>
      <c r="B860" s="2" t="s">
        <v>2476</v>
      </c>
      <c r="C860" s="2" t="s">
        <v>19</v>
      </c>
      <c r="D860" s="2" t="s">
        <v>44</v>
      </c>
      <c r="E860" s="2" t="s">
        <v>21</v>
      </c>
      <c r="F860" s="2">
        <v>90.609999999999985</v>
      </c>
      <c r="G860" s="2" t="s">
        <v>22</v>
      </c>
      <c r="H860" s="2">
        <v>0</v>
      </c>
      <c r="I860" s="2">
        <v>0</v>
      </c>
      <c r="J860" s="2" t="s">
        <v>1291</v>
      </c>
      <c r="K860" s="20">
        <v>44077</v>
      </c>
      <c r="L860" s="20">
        <v>44080</v>
      </c>
      <c r="M860" s="20">
        <v>44080</v>
      </c>
      <c r="N860" s="2" t="s">
        <v>53</v>
      </c>
      <c r="O860" s="2" t="s">
        <v>33</v>
      </c>
      <c r="P860" s="2" t="s">
        <v>34</v>
      </c>
      <c r="Q860" s="2">
        <f t="shared" si="13"/>
        <v>1</v>
      </c>
    </row>
    <row r="861" spans="1:17" x14ac:dyDescent="0.25">
      <c r="A861" s="2" t="s">
        <v>2478</v>
      </c>
      <c r="B861" s="2" t="s">
        <v>2479</v>
      </c>
      <c r="C861" s="2" t="s">
        <v>19</v>
      </c>
      <c r="D861" s="2" t="s">
        <v>96</v>
      </c>
      <c r="E861" s="2" t="s">
        <v>21</v>
      </c>
      <c r="F861" s="2">
        <v>7.6799999999999899</v>
      </c>
      <c r="G861" s="2" t="s">
        <v>22</v>
      </c>
      <c r="H861" s="2">
        <v>0</v>
      </c>
      <c r="I861" s="2">
        <v>0</v>
      </c>
      <c r="J861" s="2" t="s">
        <v>1291</v>
      </c>
      <c r="K861" s="20">
        <v>44078</v>
      </c>
      <c r="L861" s="20">
        <v>44079</v>
      </c>
      <c r="M861" s="20">
        <v>44079</v>
      </c>
      <c r="N861" s="2" t="s">
        <v>63</v>
      </c>
      <c r="O861" s="2" t="s">
        <v>146</v>
      </c>
      <c r="P861" s="2" t="s">
        <v>73</v>
      </c>
      <c r="Q861" s="2">
        <f t="shared" si="13"/>
        <v>1</v>
      </c>
    </row>
    <row r="862" spans="1:17" x14ac:dyDescent="0.25">
      <c r="A862" s="2" t="s">
        <v>2481</v>
      </c>
      <c r="B862" s="2" t="s">
        <v>2482</v>
      </c>
      <c r="C862" s="2" t="s">
        <v>19</v>
      </c>
      <c r="D862" s="2" t="s">
        <v>31</v>
      </c>
      <c r="E862" s="2" t="s">
        <v>21</v>
      </c>
      <c r="F862" s="2">
        <v>100.36</v>
      </c>
      <c r="G862" s="2" t="s">
        <v>22</v>
      </c>
      <c r="H862" s="2">
        <v>0</v>
      </c>
      <c r="I862" s="2">
        <v>0</v>
      </c>
      <c r="J862" s="2" t="s">
        <v>1291</v>
      </c>
      <c r="K862" s="20">
        <v>44081</v>
      </c>
      <c r="L862" s="20">
        <v>44084</v>
      </c>
      <c r="M862" s="20">
        <v>44084</v>
      </c>
      <c r="N862" s="2" t="s">
        <v>45</v>
      </c>
      <c r="O862" s="2" t="s">
        <v>146</v>
      </c>
      <c r="P862" s="2" t="s">
        <v>73</v>
      </c>
      <c r="Q862" s="2">
        <f t="shared" si="13"/>
        <v>1</v>
      </c>
    </row>
    <row r="863" spans="1:17" x14ac:dyDescent="0.25">
      <c r="A863" s="2" t="s">
        <v>2483</v>
      </c>
      <c r="B863" s="2" t="s">
        <v>2484</v>
      </c>
      <c r="C863" s="2" t="s">
        <v>30</v>
      </c>
      <c r="D863" s="2" t="s">
        <v>31</v>
      </c>
      <c r="E863" s="2" t="s">
        <v>21</v>
      </c>
      <c r="F863" s="2">
        <v>469.04299999999995</v>
      </c>
      <c r="G863" s="2" t="s">
        <v>22</v>
      </c>
      <c r="H863" s="2">
        <v>0</v>
      </c>
      <c r="I863" s="2">
        <v>0</v>
      </c>
      <c r="J863" s="2" t="s">
        <v>1291</v>
      </c>
      <c r="K863" s="20">
        <v>44082</v>
      </c>
      <c r="L863" s="20">
        <v>44085</v>
      </c>
      <c r="M863" s="20">
        <v>44085</v>
      </c>
      <c r="N863" s="2" t="s">
        <v>32</v>
      </c>
      <c r="O863" s="2" t="s">
        <v>54</v>
      </c>
      <c r="P863" s="2" t="s">
        <v>26</v>
      </c>
      <c r="Q863" s="2">
        <f t="shared" si="13"/>
        <v>1</v>
      </c>
    </row>
    <row r="864" spans="1:17" x14ac:dyDescent="0.25">
      <c r="A864" s="2" t="s">
        <v>2486</v>
      </c>
      <c r="B864" s="2" t="s">
        <v>2487</v>
      </c>
      <c r="C864" s="2" t="s">
        <v>19</v>
      </c>
      <c r="D864" s="2" t="s">
        <v>31</v>
      </c>
      <c r="E864" s="2" t="s">
        <v>21</v>
      </c>
      <c r="F864" s="2">
        <v>336.82</v>
      </c>
      <c r="G864" s="2" t="s">
        <v>22</v>
      </c>
      <c r="H864" s="2">
        <v>0</v>
      </c>
      <c r="I864" s="2">
        <v>0</v>
      </c>
      <c r="J864" s="2" t="s">
        <v>1291</v>
      </c>
      <c r="K864" s="20">
        <v>44085</v>
      </c>
      <c r="L864" s="20">
        <v>44088</v>
      </c>
      <c r="M864" s="20">
        <v>44088</v>
      </c>
      <c r="N864" s="2" t="s">
        <v>53</v>
      </c>
      <c r="O864" s="2" t="s">
        <v>54</v>
      </c>
      <c r="P864" s="2" t="s">
        <v>26</v>
      </c>
      <c r="Q864" s="2">
        <f t="shared" si="13"/>
        <v>1</v>
      </c>
    </row>
    <row r="865" spans="1:17" x14ac:dyDescent="0.25">
      <c r="A865" s="2" t="s">
        <v>2488</v>
      </c>
      <c r="B865" s="2" t="s">
        <v>2489</v>
      </c>
      <c r="C865" s="2" t="s">
        <v>19</v>
      </c>
      <c r="D865" s="2" t="s">
        <v>62</v>
      </c>
      <c r="E865" s="2" t="s">
        <v>21</v>
      </c>
      <c r="F865" s="2">
        <v>267.55200000000002</v>
      </c>
      <c r="G865" s="2" t="s">
        <v>22</v>
      </c>
      <c r="H865" s="2">
        <v>0</v>
      </c>
      <c r="I865" s="2">
        <v>0</v>
      </c>
      <c r="J865" s="2" t="s">
        <v>1291</v>
      </c>
      <c r="K865" s="20">
        <v>44088</v>
      </c>
      <c r="L865" s="20">
        <v>44091</v>
      </c>
      <c r="M865" s="20">
        <v>44091</v>
      </c>
      <c r="N865" s="2" t="s">
        <v>32</v>
      </c>
      <c r="O865" s="2" t="s">
        <v>146</v>
      </c>
      <c r="P865" s="2" t="s">
        <v>73</v>
      </c>
      <c r="Q865" s="2">
        <f t="shared" si="13"/>
        <v>1</v>
      </c>
    </row>
    <row r="866" spans="1:17" x14ac:dyDescent="0.25">
      <c r="A866" s="2" t="s">
        <v>2491</v>
      </c>
      <c r="B866" s="2" t="s">
        <v>2492</v>
      </c>
      <c r="C866" s="2" t="s">
        <v>30</v>
      </c>
      <c r="D866" s="2" t="s">
        <v>345</v>
      </c>
      <c r="E866" s="2" t="s">
        <v>21</v>
      </c>
      <c r="F866" s="2">
        <v>33.552</v>
      </c>
      <c r="G866" s="2" t="s">
        <v>22</v>
      </c>
      <c r="H866" s="2">
        <v>0</v>
      </c>
      <c r="I866" s="2">
        <v>0</v>
      </c>
      <c r="J866" s="2" t="s">
        <v>1291</v>
      </c>
      <c r="K866" s="20">
        <v>44091</v>
      </c>
      <c r="L866" s="20">
        <v>44094</v>
      </c>
      <c r="M866" s="20">
        <v>44094</v>
      </c>
      <c r="N866" s="2" t="s">
        <v>53</v>
      </c>
      <c r="O866" s="2" t="s">
        <v>97</v>
      </c>
      <c r="P866" s="2" t="s">
        <v>68</v>
      </c>
      <c r="Q866" s="2">
        <f t="shared" si="13"/>
        <v>1</v>
      </c>
    </row>
    <row r="867" spans="1:17" x14ac:dyDescent="0.25">
      <c r="A867" s="2" t="s">
        <v>2494</v>
      </c>
      <c r="B867" s="2" t="s">
        <v>2495</v>
      </c>
      <c r="C867" s="2" t="s">
        <v>30</v>
      </c>
      <c r="D867" s="2" t="s">
        <v>126</v>
      </c>
      <c r="E867" s="2" t="s">
        <v>21</v>
      </c>
      <c r="F867" s="2">
        <v>598.14399999999989</v>
      </c>
      <c r="G867" s="2" t="s">
        <v>22</v>
      </c>
      <c r="H867" s="2">
        <v>0</v>
      </c>
      <c r="I867" s="2">
        <v>0</v>
      </c>
      <c r="J867" s="2" t="s">
        <v>1291</v>
      </c>
      <c r="K867" s="20">
        <v>44107</v>
      </c>
      <c r="L867" s="20">
        <v>44110</v>
      </c>
      <c r="M867" s="20">
        <v>44110</v>
      </c>
      <c r="N867" s="2" t="s">
        <v>39</v>
      </c>
      <c r="O867" s="2" t="s">
        <v>146</v>
      </c>
      <c r="P867" s="2" t="s">
        <v>73</v>
      </c>
      <c r="Q867" s="2">
        <f t="shared" si="13"/>
        <v>1</v>
      </c>
    </row>
    <row r="868" spans="1:17" x14ac:dyDescent="0.25">
      <c r="A868" s="2" t="s">
        <v>2496</v>
      </c>
      <c r="B868" s="2" t="s">
        <v>2497</v>
      </c>
      <c r="C868" s="2" t="s">
        <v>19</v>
      </c>
      <c r="D868" s="2" t="s">
        <v>150</v>
      </c>
      <c r="E868" s="2" t="s">
        <v>21</v>
      </c>
      <c r="F868" s="2">
        <v>447.84</v>
      </c>
      <c r="G868" s="2" t="s">
        <v>22</v>
      </c>
      <c r="H868" s="2">
        <v>0</v>
      </c>
      <c r="I868" s="2">
        <v>0</v>
      </c>
      <c r="J868" s="2" t="s">
        <v>23</v>
      </c>
      <c r="K868" s="20">
        <v>44008</v>
      </c>
      <c r="L868" s="20">
        <v>44011</v>
      </c>
      <c r="M868" s="20">
        <v>44011</v>
      </c>
      <c r="N868" s="2" t="s">
        <v>53</v>
      </c>
      <c r="O868" s="2" t="s">
        <v>67</v>
      </c>
      <c r="P868" s="2" t="s">
        <v>68</v>
      </c>
      <c r="Q868" s="2">
        <f t="shared" si="13"/>
        <v>1</v>
      </c>
    </row>
    <row r="869" spans="1:17" x14ac:dyDescent="0.25">
      <c r="A869" s="2" t="s">
        <v>2498</v>
      </c>
      <c r="B869" s="2" t="s">
        <v>2499</v>
      </c>
      <c r="C869" s="2" t="s">
        <v>19</v>
      </c>
      <c r="D869" s="2" t="s">
        <v>230</v>
      </c>
      <c r="E869" s="2" t="s">
        <v>21</v>
      </c>
      <c r="F869" s="2">
        <v>465.488</v>
      </c>
      <c r="G869" s="2" t="s">
        <v>22</v>
      </c>
      <c r="H869" s="2">
        <v>0</v>
      </c>
      <c r="I869" s="2">
        <v>0</v>
      </c>
      <c r="J869" s="2" t="s">
        <v>1291</v>
      </c>
      <c r="K869" s="20">
        <v>44116</v>
      </c>
      <c r="L869" s="20">
        <v>44118</v>
      </c>
      <c r="M869" s="20">
        <v>44118</v>
      </c>
      <c r="N869" s="2" t="s">
        <v>24</v>
      </c>
      <c r="O869" s="2" t="s">
        <v>25</v>
      </c>
      <c r="P869" s="2" t="s">
        <v>26</v>
      </c>
      <c r="Q869" s="2">
        <f t="shared" si="13"/>
        <v>1</v>
      </c>
    </row>
    <row r="870" spans="1:17" x14ac:dyDescent="0.25">
      <c r="A870" s="2" t="s">
        <v>2501</v>
      </c>
      <c r="B870" s="2" t="s">
        <v>2502</v>
      </c>
      <c r="C870" s="2" t="s">
        <v>30</v>
      </c>
      <c r="D870" s="2" t="s">
        <v>211</v>
      </c>
      <c r="E870" s="2" t="s">
        <v>21</v>
      </c>
      <c r="F870" s="2">
        <v>1549.77</v>
      </c>
      <c r="G870" s="2" t="s">
        <v>22</v>
      </c>
      <c r="H870" s="2">
        <v>0</v>
      </c>
      <c r="I870" s="2">
        <v>0</v>
      </c>
      <c r="J870" s="2" t="s">
        <v>1291</v>
      </c>
      <c r="K870" s="20">
        <v>44118</v>
      </c>
      <c r="L870" s="20">
        <v>44120</v>
      </c>
      <c r="M870" s="20">
        <v>44120</v>
      </c>
      <c r="N870" s="2" t="s">
        <v>24</v>
      </c>
      <c r="O870" s="2" t="s">
        <v>82</v>
      </c>
      <c r="P870" s="2" t="s">
        <v>47</v>
      </c>
      <c r="Q870" s="2">
        <f t="shared" si="13"/>
        <v>1</v>
      </c>
    </row>
    <row r="871" spans="1:17" x14ac:dyDescent="0.25">
      <c r="A871" s="2" t="s">
        <v>2503</v>
      </c>
      <c r="B871" s="2" t="s">
        <v>2504</v>
      </c>
      <c r="C871" s="2" t="s">
        <v>30</v>
      </c>
      <c r="D871" s="2" t="s">
        <v>58</v>
      </c>
      <c r="E871" s="2" t="s">
        <v>21</v>
      </c>
      <c r="F871" s="2">
        <v>191.34</v>
      </c>
      <c r="G871" s="2" t="s">
        <v>22</v>
      </c>
      <c r="H871" s="2">
        <v>0</v>
      </c>
      <c r="I871" s="2">
        <v>0</v>
      </c>
      <c r="J871" s="2" t="s">
        <v>1291</v>
      </c>
      <c r="K871" s="20">
        <v>44120</v>
      </c>
      <c r="L871" s="20">
        <v>44122</v>
      </c>
      <c r="M871" s="20">
        <v>44122</v>
      </c>
      <c r="N871" s="2" t="s">
        <v>63</v>
      </c>
      <c r="O871" s="2" t="s">
        <v>33</v>
      </c>
      <c r="P871" s="2" t="s">
        <v>34</v>
      </c>
      <c r="Q871" s="2">
        <f t="shared" si="13"/>
        <v>1</v>
      </c>
    </row>
    <row r="872" spans="1:17" x14ac:dyDescent="0.25">
      <c r="A872" s="2" t="s">
        <v>2506</v>
      </c>
      <c r="B872" s="2" t="s">
        <v>2507</v>
      </c>
      <c r="C872" s="2" t="s">
        <v>19</v>
      </c>
      <c r="D872" s="2" t="s">
        <v>150</v>
      </c>
      <c r="E872" s="2" t="s">
        <v>21</v>
      </c>
      <c r="F872" s="2">
        <v>1109.3719999999998</v>
      </c>
      <c r="G872" s="2" t="s">
        <v>22</v>
      </c>
      <c r="H872" s="2">
        <v>0</v>
      </c>
      <c r="I872" s="2">
        <v>0</v>
      </c>
      <c r="J872" s="2" t="s">
        <v>1291</v>
      </c>
      <c r="K872" s="20">
        <v>44154</v>
      </c>
      <c r="L872" s="20">
        <v>44157</v>
      </c>
      <c r="M872" s="20">
        <v>44157</v>
      </c>
      <c r="N872" s="2" t="s">
        <v>53</v>
      </c>
      <c r="O872" s="2" t="s">
        <v>82</v>
      </c>
      <c r="P872" s="2" t="s">
        <v>47</v>
      </c>
      <c r="Q872" s="2">
        <f t="shared" si="13"/>
        <v>1</v>
      </c>
    </row>
    <row r="873" spans="1:17" x14ac:dyDescent="0.25">
      <c r="A873" s="2" t="s">
        <v>2509</v>
      </c>
      <c r="B873" s="2" t="s">
        <v>2510</v>
      </c>
      <c r="C873" s="2" t="s">
        <v>30</v>
      </c>
      <c r="D873" s="2" t="s">
        <v>31</v>
      </c>
      <c r="E873" s="2" t="s">
        <v>21</v>
      </c>
      <c r="F873" s="2">
        <v>6.9279999999999902</v>
      </c>
      <c r="G873" s="2" t="s">
        <v>22</v>
      </c>
      <c r="H873" s="2">
        <v>0</v>
      </c>
      <c r="I873" s="2">
        <v>0</v>
      </c>
      <c r="J873" s="2" t="s">
        <v>1291</v>
      </c>
      <c r="K873" s="20">
        <v>44158</v>
      </c>
      <c r="L873" s="20">
        <v>44161</v>
      </c>
      <c r="M873" s="20">
        <v>44161</v>
      </c>
      <c r="N873" s="2" t="s">
        <v>63</v>
      </c>
      <c r="O873" s="2" t="s">
        <v>72</v>
      </c>
      <c r="P873" s="2" t="s">
        <v>73</v>
      </c>
      <c r="Q873" s="2">
        <f t="shared" si="13"/>
        <v>1</v>
      </c>
    </row>
    <row r="874" spans="1:17" x14ac:dyDescent="0.25">
      <c r="A874" s="2" t="s">
        <v>2511</v>
      </c>
      <c r="B874" s="2" t="s">
        <v>2512</v>
      </c>
      <c r="C874" s="2" t="s">
        <v>30</v>
      </c>
      <c r="D874" s="2" t="s">
        <v>62</v>
      </c>
      <c r="E874" s="2" t="s">
        <v>21</v>
      </c>
      <c r="F874" s="2">
        <v>2.6240000000000001</v>
      </c>
      <c r="G874" s="2" t="s">
        <v>22</v>
      </c>
      <c r="H874" s="2">
        <v>0</v>
      </c>
      <c r="I874" s="2">
        <v>0</v>
      </c>
      <c r="J874" s="2" t="s">
        <v>1291</v>
      </c>
      <c r="K874" s="20">
        <v>44160</v>
      </c>
      <c r="L874" s="20">
        <v>44162</v>
      </c>
      <c r="M874" s="20">
        <v>44162</v>
      </c>
      <c r="N874" s="2" t="s">
        <v>63</v>
      </c>
      <c r="O874" s="2" t="s">
        <v>72</v>
      </c>
      <c r="P874" s="2" t="s">
        <v>73</v>
      </c>
      <c r="Q874" s="2">
        <f t="shared" si="13"/>
        <v>1</v>
      </c>
    </row>
    <row r="875" spans="1:17" x14ac:dyDescent="0.25">
      <c r="A875" s="2" t="s">
        <v>2513</v>
      </c>
      <c r="B875" s="2" t="s">
        <v>2514</v>
      </c>
      <c r="C875" s="2" t="s">
        <v>30</v>
      </c>
      <c r="D875" s="2" t="s">
        <v>115</v>
      </c>
      <c r="E875" s="2" t="s">
        <v>21</v>
      </c>
      <c r="F875" s="2">
        <v>2854.48</v>
      </c>
      <c r="G875" s="2" t="s">
        <v>22</v>
      </c>
      <c r="H875" s="2">
        <v>0</v>
      </c>
      <c r="I875" s="2">
        <v>0</v>
      </c>
      <c r="J875" s="2" t="s">
        <v>1291</v>
      </c>
      <c r="K875" s="20">
        <v>44167</v>
      </c>
      <c r="L875" s="20">
        <v>44169</v>
      </c>
      <c r="M875" s="20">
        <v>44169</v>
      </c>
      <c r="N875" s="2" t="s">
        <v>63</v>
      </c>
      <c r="O875" s="2" t="s">
        <v>97</v>
      </c>
      <c r="P875" s="2" t="s">
        <v>68</v>
      </c>
      <c r="Q875" s="2">
        <f t="shared" si="13"/>
        <v>1</v>
      </c>
    </row>
    <row r="876" spans="1:17" x14ac:dyDescent="0.25">
      <c r="A876" s="2" t="s">
        <v>2516</v>
      </c>
      <c r="B876" s="2" t="s">
        <v>2517</v>
      </c>
      <c r="C876" s="2" t="s">
        <v>30</v>
      </c>
      <c r="D876" s="2" t="s">
        <v>51</v>
      </c>
      <c r="E876" s="2" t="s">
        <v>21</v>
      </c>
      <c r="F876" s="2">
        <v>1050.599999999999</v>
      </c>
      <c r="G876" s="2" t="s">
        <v>22</v>
      </c>
      <c r="H876" s="2">
        <v>0</v>
      </c>
      <c r="I876" s="2">
        <v>0</v>
      </c>
      <c r="J876" s="2" t="s">
        <v>1291</v>
      </c>
      <c r="K876" s="20">
        <v>44168</v>
      </c>
      <c r="L876" s="20">
        <v>44170</v>
      </c>
      <c r="M876" s="20">
        <v>44170</v>
      </c>
      <c r="N876" s="2" t="s">
        <v>45</v>
      </c>
      <c r="O876" s="2" t="s">
        <v>72</v>
      </c>
      <c r="P876" s="2" t="s">
        <v>73</v>
      </c>
      <c r="Q876" s="2">
        <f t="shared" si="13"/>
        <v>1</v>
      </c>
    </row>
    <row r="877" spans="1:17" x14ac:dyDescent="0.25">
      <c r="A877" s="2" t="s">
        <v>2518</v>
      </c>
      <c r="B877" s="2" t="s">
        <v>2519</v>
      </c>
      <c r="C877" s="2" t="s">
        <v>19</v>
      </c>
      <c r="D877" s="2" t="s">
        <v>86</v>
      </c>
      <c r="E877" s="2" t="s">
        <v>21</v>
      </c>
      <c r="F877" s="2">
        <v>250.26</v>
      </c>
      <c r="G877" s="2" t="s">
        <v>22</v>
      </c>
      <c r="H877" s="2">
        <v>0</v>
      </c>
      <c r="I877" s="2">
        <v>0</v>
      </c>
      <c r="J877" s="2" t="s">
        <v>1291</v>
      </c>
      <c r="K877" s="20">
        <v>44171</v>
      </c>
      <c r="L877" s="20">
        <v>44173</v>
      </c>
      <c r="M877" s="20">
        <v>44173</v>
      </c>
      <c r="N877" s="2" t="s">
        <v>63</v>
      </c>
      <c r="O877" s="2" t="s">
        <v>67</v>
      </c>
      <c r="P877" s="2" t="s">
        <v>68</v>
      </c>
      <c r="Q877" s="2">
        <f t="shared" si="13"/>
        <v>1</v>
      </c>
    </row>
    <row r="878" spans="1:17" x14ac:dyDescent="0.25">
      <c r="A878" s="2" t="s">
        <v>2520</v>
      </c>
      <c r="B878" s="2" t="s">
        <v>2521</v>
      </c>
      <c r="C878" s="2" t="s">
        <v>19</v>
      </c>
      <c r="D878" s="2" t="s">
        <v>96</v>
      </c>
      <c r="E878" s="2" t="s">
        <v>21</v>
      </c>
      <c r="F878" s="2">
        <v>521.22399999999993</v>
      </c>
      <c r="G878" s="2" t="s">
        <v>22</v>
      </c>
      <c r="H878" s="2">
        <v>0</v>
      </c>
      <c r="I878" s="2">
        <v>0</v>
      </c>
      <c r="J878" s="2" t="s">
        <v>1291</v>
      </c>
      <c r="K878" s="20">
        <v>44171</v>
      </c>
      <c r="L878" s="20">
        <v>44173</v>
      </c>
      <c r="M878" s="20">
        <v>44173</v>
      </c>
      <c r="N878" s="2" t="s">
        <v>24</v>
      </c>
      <c r="O878" s="2" t="s">
        <v>40</v>
      </c>
      <c r="P878" s="2" t="s">
        <v>34</v>
      </c>
      <c r="Q878" s="2">
        <f t="shared" si="13"/>
        <v>1</v>
      </c>
    </row>
    <row r="879" spans="1:17" x14ac:dyDescent="0.25">
      <c r="A879" s="2" t="s">
        <v>2522</v>
      </c>
      <c r="B879" s="2" t="s">
        <v>2523</v>
      </c>
      <c r="C879" s="2" t="s">
        <v>30</v>
      </c>
      <c r="D879" s="2" t="s">
        <v>119</v>
      </c>
      <c r="E879" s="2" t="s">
        <v>21</v>
      </c>
      <c r="F879" s="2">
        <v>803.9599999999989</v>
      </c>
      <c r="G879" s="2" t="s">
        <v>22</v>
      </c>
      <c r="H879" s="2">
        <v>0</v>
      </c>
      <c r="I879" s="2">
        <v>0</v>
      </c>
      <c r="J879" s="2" t="s">
        <v>1291</v>
      </c>
      <c r="K879" s="20">
        <v>44181</v>
      </c>
      <c r="L879" s="20">
        <v>44184</v>
      </c>
      <c r="M879" s="20">
        <v>44184</v>
      </c>
      <c r="N879" s="2" t="s">
        <v>45</v>
      </c>
      <c r="O879" s="2" t="s">
        <v>72</v>
      </c>
      <c r="P879" s="2" t="s">
        <v>73</v>
      </c>
      <c r="Q879" s="2">
        <f t="shared" si="13"/>
        <v>1</v>
      </c>
    </row>
    <row r="880" spans="1:17" x14ac:dyDescent="0.25">
      <c r="A880" s="2" t="s">
        <v>2525</v>
      </c>
      <c r="B880" s="2" t="s">
        <v>2526</v>
      </c>
      <c r="C880" s="2" t="s">
        <v>19</v>
      </c>
      <c r="D880" s="2" t="s">
        <v>38</v>
      </c>
      <c r="E880" s="2" t="s">
        <v>21</v>
      </c>
      <c r="F880" s="2">
        <v>9.5679999999999996</v>
      </c>
      <c r="G880" s="2" t="s">
        <v>22</v>
      </c>
      <c r="H880" s="2">
        <v>0</v>
      </c>
      <c r="I880" s="2">
        <v>0</v>
      </c>
      <c r="J880" s="2" t="s">
        <v>1291</v>
      </c>
      <c r="K880" s="20">
        <v>44190</v>
      </c>
      <c r="L880" s="20">
        <v>44192</v>
      </c>
      <c r="M880" s="20">
        <v>44192</v>
      </c>
      <c r="N880" s="2" t="s">
        <v>53</v>
      </c>
      <c r="O880" s="2" t="s">
        <v>40</v>
      </c>
      <c r="P880" s="2" t="s">
        <v>34</v>
      </c>
      <c r="Q880" s="2">
        <f t="shared" si="13"/>
        <v>1</v>
      </c>
    </row>
    <row r="881" spans="1:17" x14ac:dyDescent="0.25">
      <c r="A881" s="2" t="s">
        <v>2527</v>
      </c>
      <c r="B881" s="2" t="s">
        <v>2528</v>
      </c>
      <c r="C881" s="2" t="s">
        <v>30</v>
      </c>
      <c r="D881" s="2" t="s">
        <v>58</v>
      </c>
      <c r="E881" s="2" t="s">
        <v>21</v>
      </c>
      <c r="F881" s="2">
        <v>53.67</v>
      </c>
      <c r="G881" s="2" t="s">
        <v>22</v>
      </c>
      <c r="H881" s="2">
        <v>0</v>
      </c>
      <c r="I881" s="2">
        <v>0</v>
      </c>
      <c r="J881" s="2" t="s">
        <v>1291</v>
      </c>
      <c r="K881" s="20">
        <v>44197</v>
      </c>
      <c r="L881" s="20">
        <v>44198</v>
      </c>
      <c r="M881" s="20">
        <v>44198</v>
      </c>
      <c r="N881" s="2" t="s">
        <v>63</v>
      </c>
      <c r="O881" s="2" t="s">
        <v>146</v>
      </c>
      <c r="P881" s="2" t="s">
        <v>73</v>
      </c>
      <c r="Q881" s="2">
        <f t="shared" si="13"/>
        <v>1</v>
      </c>
    </row>
    <row r="882" spans="1:17" x14ac:dyDescent="0.25">
      <c r="A882" s="2" t="s">
        <v>2530</v>
      </c>
      <c r="B882" s="2" t="s">
        <v>2531</v>
      </c>
      <c r="C882" s="2" t="s">
        <v>19</v>
      </c>
      <c r="D882" s="2" t="s">
        <v>345</v>
      </c>
      <c r="E882" s="2" t="s">
        <v>21</v>
      </c>
      <c r="F882" s="2">
        <v>176.63</v>
      </c>
      <c r="G882" s="2" t="s">
        <v>22</v>
      </c>
      <c r="H882" s="2">
        <v>0</v>
      </c>
      <c r="I882" s="2">
        <v>0</v>
      </c>
      <c r="J882" s="2" t="s">
        <v>1291</v>
      </c>
      <c r="K882" s="20">
        <v>44234</v>
      </c>
      <c r="L882" s="20">
        <v>44236</v>
      </c>
      <c r="M882" s="20">
        <v>44236</v>
      </c>
      <c r="N882" s="2" t="s">
        <v>63</v>
      </c>
      <c r="O882" s="2" t="s">
        <v>67</v>
      </c>
      <c r="P882" s="2" t="s">
        <v>68</v>
      </c>
      <c r="Q882" s="2">
        <f t="shared" si="13"/>
        <v>1</v>
      </c>
    </row>
    <row r="883" spans="1:17" x14ac:dyDescent="0.25">
      <c r="A883" s="2" t="s">
        <v>2533</v>
      </c>
      <c r="B883" s="2" t="s">
        <v>2534</v>
      </c>
      <c r="C883" s="2" t="s">
        <v>19</v>
      </c>
      <c r="D883" s="2" t="s">
        <v>186</v>
      </c>
      <c r="E883" s="2" t="s">
        <v>21</v>
      </c>
      <c r="F883" s="2">
        <v>4607.2699999999995</v>
      </c>
      <c r="G883" s="2" t="s">
        <v>22</v>
      </c>
      <c r="H883" s="2">
        <v>0</v>
      </c>
      <c r="I883" s="2">
        <v>0</v>
      </c>
      <c r="J883" s="2" t="s">
        <v>1291</v>
      </c>
      <c r="K883" s="20">
        <v>44275</v>
      </c>
      <c r="L883" s="20">
        <v>44276</v>
      </c>
      <c r="M883" s="20">
        <v>44276</v>
      </c>
      <c r="N883" s="2" t="s">
        <v>39</v>
      </c>
      <c r="O883" s="2" t="s">
        <v>33</v>
      </c>
      <c r="P883" s="2" t="s">
        <v>34</v>
      </c>
      <c r="Q883" s="2">
        <f t="shared" si="13"/>
        <v>1</v>
      </c>
    </row>
    <row r="884" spans="1:17" x14ac:dyDescent="0.25">
      <c r="A884" s="2" t="s">
        <v>2536</v>
      </c>
      <c r="B884" s="2" t="s">
        <v>2537</v>
      </c>
      <c r="C884" s="2" t="s">
        <v>30</v>
      </c>
      <c r="D884" s="2" t="s">
        <v>105</v>
      </c>
      <c r="E884" s="2" t="s">
        <v>21</v>
      </c>
      <c r="F884" s="2">
        <v>2298.8999999999996</v>
      </c>
      <c r="G884" s="2" t="s">
        <v>22</v>
      </c>
      <c r="H884" s="2">
        <v>0</v>
      </c>
      <c r="I884" s="2">
        <v>0</v>
      </c>
      <c r="J884" s="2" t="s">
        <v>1291</v>
      </c>
      <c r="K884" s="20">
        <v>44303</v>
      </c>
      <c r="L884" s="20">
        <v>44305</v>
      </c>
      <c r="M884" s="20">
        <v>44305</v>
      </c>
      <c r="N884" s="2" t="s">
        <v>45</v>
      </c>
      <c r="O884" s="2" t="s">
        <v>40</v>
      </c>
      <c r="P884" s="2" t="s">
        <v>34</v>
      </c>
      <c r="Q884" s="2">
        <f t="shared" si="13"/>
        <v>1</v>
      </c>
    </row>
    <row r="885" spans="1:17" x14ac:dyDescent="0.25">
      <c r="A885" s="2" t="s">
        <v>2539</v>
      </c>
      <c r="B885" s="2" t="s">
        <v>2540</v>
      </c>
      <c r="C885" s="2" t="s">
        <v>19</v>
      </c>
      <c r="D885" s="2" t="s">
        <v>164</v>
      </c>
      <c r="E885" s="2" t="s">
        <v>21</v>
      </c>
      <c r="F885" s="2">
        <v>3999.7019999999998</v>
      </c>
      <c r="G885" s="2" t="s">
        <v>22</v>
      </c>
      <c r="H885" s="2">
        <v>0</v>
      </c>
      <c r="I885" s="2">
        <v>0</v>
      </c>
      <c r="J885" s="2" t="s">
        <v>1291</v>
      </c>
      <c r="K885" s="20">
        <v>44315</v>
      </c>
      <c r="L885" s="20">
        <v>44318</v>
      </c>
      <c r="M885" s="20">
        <v>44318</v>
      </c>
      <c r="N885" s="2" t="s">
        <v>45</v>
      </c>
      <c r="O885" s="2" t="s">
        <v>46</v>
      </c>
      <c r="P885" s="2" t="s">
        <v>47</v>
      </c>
      <c r="Q885" s="2">
        <f t="shared" si="13"/>
        <v>1</v>
      </c>
    </row>
    <row r="886" spans="1:17" x14ac:dyDescent="0.25">
      <c r="A886" s="2" t="s">
        <v>2542</v>
      </c>
      <c r="B886" s="2" t="s">
        <v>2543</v>
      </c>
      <c r="C886" s="2" t="s">
        <v>30</v>
      </c>
      <c r="D886" s="2" t="s">
        <v>150</v>
      </c>
      <c r="E886" s="2" t="s">
        <v>21</v>
      </c>
      <c r="F886" s="2">
        <v>529.14</v>
      </c>
      <c r="G886" s="2" t="s">
        <v>22</v>
      </c>
      <c r="H886" s="2">
        <v>0</v>
      </c>
      <c r="I886" s="2">
        <v>0</v>
      </c>
      <c r="J886" s="2" t="s">
        <v>1291</v>
      </c>
      <c r="K886" s="20">
        <v>44347</v>
      </c>
      <c r="L886" s="20">
        <v>44349</v>
      </c>
      <c r="M886" s="20">
        <v>44349</v>
      </c>
      <c r="N886" s="2" t="s">
        <v>39</v>
      </c>
      <c r="O886" s="2" t="s">
        <v>25</v>
      </c>
      <c r="P886" s="2" t="s">
        <v>26</v>
      </c>
      <c r="Q886" s="2">
        <f t="shared" si="13"/>
        <v>1</v>
      </c>
    </row>
    <row r="887" spans="1:17" x14ac:dyDescent="0.25">
      <c r="A887" s="2" t="s">
        <v>2545</v>
      </c>
      <c r="B887" s="2" t="s">
        <v>2546</v>
      </c>
      <c r="C887" s="2" t="s">
        <v>19</v>
      </c>
      <c r="D887" s="2" t="s">
        <v>230</v>
      </c>
      <c r="E887" s="2" t="s">
        <v>21</v>
      </c>
      <c r="F887" s="2">
        <v>244.77999999999992</v>
      </c>
      <c r="G887" s="2" t="s">
        <v>22</v>
      </c>
      <c r="H887" s="2">
        <v>0</v>
      </c>
      <c r="I887" s="2">
        <v>0</v>
      </c>
      <c r="J887" s="2" t="s">
        <v>1291</v>
      </c>
      <c r="K887" s="20">
        <v>44348</v>
      </c>
      <c r="L887" s="20">
        <v>44350</v>
      </c>
      <c r="M887" s="20">
        <v>44350</v>
      </c>
      <c r="N887" s="2" t="s">
        <v>63</v>
      </c>
      <c r="O887" s="2" t="s">
        <v>25</v>
      </c>
      <c r="P887" s="2" t="s">
        <v>26</v>
      </c>
      <c r="Q887" s="2">
        <f t="shared" si="13"/>
        <v>1</v>
      </c>
    </row>
    <row r="888" spans="1:17" x14ac:dyDescent="0.25">
      <c r="A888" s="2" t="s">
        <v>2548</v>
      </c>
      <c r="B888" s="2" t="s">
        <v>2549</v>
      </c>
      <c r="C888" s="2" t="s">
        <v>19</v>
      </c>
      <c r="D888" s="2" t="s">
        <v>20</v>
      </c>
      <c r="E888" s="2" t="s">
        <v>21</v>
      </c>
      <c r="F888" s="2">
        <v>3165.7440000000001</v>
      </c>
      <c r="G888" s="2" t="s">
        <v>22</v>
      </c>
      <c r="H888" s="2">
        <v>0</v>
      </c>
      <c r="I888" s="2">
        <v>0</v>
      </c>
      <c r="J888" s="2" t="s">
        <v>1291</v>
      </c>
      <c r="K888" s="20">
        <v>44359</v>
      </c>
      <c r="L888" s="20">
        <v>44360</v>
      </c>
      <c r="M888" s="20">
        <v>44360</v>
      </c>
      <c r="N888" s="2" t="s">
        <v>45</v>
      </c>
      <c r="O888" s="2" t="s">
        <v>46</v>
      </c>
      <c r="P888" s="2" t="s">
        <v>47</v>
      </c>
      <c r="Q888" s="2">
        <f t="shared" si="13"/>
        <v>1</v>
      </c>
    </row>
    <row r="889" spans="1:17" x14ac:dyDescent="0.25">
      <c r="A889" s="2" t="s">
        <v>2551</v>
      </c>
      <c r="B889" s="2" t="s">
        <v>2552</v>
      </c>
      <c r="C889" s="2" t="s">
        <v>19</v>
      </c>
      <c r="D889" s="2" t="s">
        <v>230</v>
      </c>
      <c r="E889" s="2" t="s">
        <v>21</v>
      </c>
      <c r="F889" s="2">
        <v>3184.3560000000002</v>
      </c>
      <c r="G889" s="2" t="s">
        <v>22</v>
      </c>
      <c r="H889" s="2">
        <v>0</v>
      </c>
      <c r="I889" s="2">
        <v>0</v>
      </c>
      <c r="J889" s="2" t="s">
        <v>1291</v>
      </c>
      <c r="K889" s="20">
        <v>44364</v>
      </c>
      <c r="L889" s="20">
        <v>44367</v>
      </c>
      <c r="M889" s="20">
        <v>44367</v>
      </c>
      <c r="N889" s="2" t="s">
        <v>24</v>
      </c>
      <c r="O889" s="2" t="s">
        <v>33</v>
      </c>
      <c r="P889" s="2" t="s">
        <v>34</v>
      </c>
      <c r="Q889" s="2">
        <f t="shared" si="13"/>
        <v>1</v>
      </c>
    </row>
    <row r="890" spans="1:17" x14ac:dyDescent="0.25">
      <c r="A890" s="2" t="s">
        <v>2554</v>
      </c>
      <c r="B890" s="2" t="s">
        <v>2555</v>
      </c>
      <c r="C890" s="2" t="s">
        <v>30</v>
      </c>
      <c r="D890" s="2" t="s">
        <v>20</v>
      </c>
      <c r="E890" s="2" t="s">
        <v>21</v>
      </c>
      <c r="F890" s="2">
        <v>670.00099999999998</v>
      </c>
      <c r="G890" s="2" t="s">
        <v>22</v>
      </c>
      <c r="H890" s="2">
        <v>0</v>
      </c>
      <c r="I890" s="2">
        <v>0</v>
      </c>
      <c r="J890" s="2" t="s">
        <v>1291</v>
      </c>
      <c r="K890" s="20">
        <v>44366</v>
      </c>
      <c r="L890" s="20">
        <v>44368</v>
      </c>
      <c r="M890" s="20">
        <v>44368</v>
      </c>
      <c r="N890" s="2" t="s">
        <v>39</v>
      </c>
      <c r="O890" s="2" t="s">
        <v>146</v>
      </c>
      <c r="P890" s="2" t="s">
        <v>73</v>
      </c>
      <c r="Q890" s="2">
        <f t="shared" si="13"/>
        <v>1</v>
      </c>
    </row>
    <row r="891" spans="1:17" x14ac:dyDescent="0.25">
      <c r="A891" s="2" t="s">
        <v>2556</v>
      </c>
      <c r="B891" s="2" t="s">
        <v>2557</v>
      </c>
      <c r="C891" s="2" t="s">
        <v>19</v>
      </c>
      <c r="D891" s="2" t="s">
        <v>150</v>
      </c>
      <c r="E891" s="2" t="s">
        <v>21</v>
      </c>
      <c r="F891" s="2">
        <v>226.13</v>
      </c>
      <c r="G891" s="2" t="s">
        <v>22</v>
      </c>
      <c r="H891" s="2">
        <v>0</v>
      </c>
      <c r="I891" s="2">
        <v>0</v>
      </c>
      <c r="J891" s="2" t="s">
        <v>1291</v>
      </c>
      <c r="K891" s="20">
        <v>44408</v>
      </c>
      <c r="L891" s="20">
        <v>44409</v>
      </c>
      <c r="M891" s="20">
        <v>44409</v>
      </c>
      <c r="N891" s="2" t="s">
        <v>32</v>
      </c>
      <c r="O891" s="2" t="s">
        <v>146</v>
      </c>
      <c r="P891" s="2" t="s">
        <v>73</v>
      </c>
      <c r="Q891" s="2">
        <f t="shared" si="13"/>
        <v>1</v>
      </c>
    </row>
    <row r="892" spans="1:17" x14ac:dyDescent="0.25">
      <c r="A892" s="2" t="s">
        <v>2558</v>
      </c>
      <c r="B892" s="2" t="s">
        <v>2559</v>
      </c>
      <c r="C892" s="2" t="s">
        <v>30</v>
      </c>
      <c r="D892" s="2" t="s">
        <v>38</v>
      </c>
      <c r="E892" s="2" t="s">
        <v>21</v>
      </c>
      <c r="F892" s="2">
        <v>1336.3520000000001</v>
      </c>
      <c r="G892" s="2" t="s">
        <v>22</v>
      </c>
      <c r="H892" s="2">
        <v>0</v>
      </c>
      <c r="I892" s="2">
        <v>0</v>
      </c>
      <c r="J892" s="2" t="s">
        <v>1291</v>
      </c>
      <c r="K892" s="20">
        <v>44453</v>
      </c>
      <c r="L892" s="20">
        <v>44455</v>
      </c>
      <c r="M892" s="20">
        <v>44455</v>
      </c>
      <c r="N892" s="2" t="s">
        <v>24</v>
      </c>
      <c r="O892" s="2" t="s">
        <v>146</v>
      </c>
      <c r="P892" s="2" t="s">
        <v>73</v>
      </c>
      <c r="Q892" s="2">
        <f t="shared" si="13"/>
        <v>1</v>
      </c>
    </row>
    <row r="893" spans="1:17" x14ac:dyDescent="0.25">
      <c r="A893" s="2" t="s">
        <v>2560</v>
      </c>
      <c r="B893" s="2" t="s">
        <v>2561</v>
      </c>
      <c r="C893" s="2" t="s">
        <v>19</v>
      </c>
      <c r="D893" s="2" t="s">
        <v>86</v>
      </c>
      <c r="E893" s="2" t="s">
        <v>21</v>
      </c>
      <c r="F893" s="2">
        <v>609.43599999999992</v>
      </c>
      <c r="G893" s="2" t="s">
        <v>22</v>
      </c>
      <c r="H893" s="2">
        <v>0</v>
      </c>
      <c r="I893" s="2">
        <v>0</v>
      </c>
      <c r="J893" s="2" t="s">
        <v>1291</v>
      </c>
      <c r="K893" s="20">
        <v>44461</v>
      </c>
      <c r="L893" s="20">
        <v>44463</v>
      </c>
      <c r="M893" s="20">
        <v>44463</v>
      </c>
      <c r="N893" s="2" t="s">
        <v>39</v>
      </c>
      <c r="O893" s="2" t="s">
        <v>146</v>
      </c>
      <c r="P893" s="2" t="s">
        <v>73</v>
      </c>
      <c r="Q893" s="2">
        <f t="shared" si="13"/>
        <v>1</v>
      </c>
    </row>
    <row r="894" spans="1:17" x14ac:dyDescent="0.25">
      <c r="A894" s="2" t="s">
        <v>2562</v>
      </c>
      <c r="B894" s="2" t="s">
        <v>2563</v>
      </c>
      <c r="C894" s="2" t="s">
        <v>19</v>
      </c>
      <c r="D894" s="2" t="s">
        <v>38</v>
      </c>
      <c r="E894" s="2" t="s">
        <v>21</v>
      </c>
      <c r="F894" s="2">
        <v>1102.4720000000002</v>
      </c>
      <c r="G894" s="2" t="s">
        <v>22</v>
      </c>
      <c r="H894" s="2">
        <v>0</v>
      </c>
      <c r="I894" s="2">
        <v>0</v>
      </c>
      <c r="J894" s="2" t="s">
        <v>1291</v>
      </c>
      <c r="K894" s="20">
        <v>44461</v>
      </c>
      <c r="L894" s="20">
        <v>44464</v>
      </c>
      <c r="M894" s="20">
        <v>44464</v>
      </c>
      <c r="N894" s="2" t="s">
        <v>32</v>
      </c>
      <c r="O894" s="2" t="s">
        <v>40</v>
      </c>
      <c r="P894" s="2" t="s">
        <v>34</v>
      </c>
      <c r="Q894" s="2">
        <f t="shared" si="13"/>
        <v>1</v>
      </c>
    </row>
    <row r="895" spans="1:17" x14ac:dyDescent="0.25">
      <c r="A895" s="2" t="s">
        <v>2565</v>
      </c>
      <c r="B895" s="2" t="s">
        <v>2566</v>
      </c>
      <c r="C895" s="2" t="s">
        <v>19</v>
      </c>
      <c r="D895" s="2" t="s">
        <v>115</v>
      </c>
      <c r="E895" s="2" t="s">
        <v>21</v>
      </c>
      <c r="F895" s="2">
        <v>64.072000000000003</v>
      </c>
      <c r="G895" s="2" t="s">
        <v>22</v>
      </c>
      <c r="H895" s="2">
        <v>0</v>
      </c>
      <c r="I895" s="2">
        <v>0</v>
      </c>
      <c r="J895" s="2" t="s">
        <v>1291</v>
      </c>
      <c r="K895" s="20">
        <v>44472</v>
      </c>
      <c r="L895" s="20">
        <v>44474</v>
      </c>
      <c r="M895" s="20">
        <v>44474</v>
      </c>
      <c r="N895" s="2" t="s">
        <v>24</v>
      </c>
      <c r="O895" s="2" t="s">
        <v>82</v>
      </c>
      <c r="P895" s="2" t="s">
        <v>47</v>
      </c>
      <c r="Q895" s="2">
        <f t="shared" si="13"/>
        <v>1</v>
      </c>
    </row>
    <row r="896" spans="1:17" x14ac:dyDescent="0.25">
      <c r="A896" s="2" t="s">
        <v>2568</v>
      </c>
      <c r="B896" s="2" t="s">
        <v>2569</v>
      </c>
      <c r="C896" s="2" t="s">
        <v>30</v>
      </c>
      <c r="D896" s="2" t="s">
        <v>154</v>
      </c>
      <c r="E896" s="2" t="s">
        <v>21</v>
      </c>
      <c r="F896" s="2">
        <v>393.18600000000004</v>
      </c>
      <c r="G896" s="2" t="s">
        <v>22</v>
      </c>
      <c r="H896" s="2">
        <v>0</v>
      </c>
      <c r="I896" s="2">
        <v>0</v>
      </c>
      <c r="J896" s="2" t="s">
        <v>1291</v>
      </c>
      <c r="K896" s="20">
        <v>44480</v>
      </c>
      <c r="L896" s="20">
        <v>44482</v>
      </c>
      <c r="M896" s="20">
        <v>44482</v>
      </c>
      <c r="N896" s="2" t="s">
        <v>39</v>
      </c>
      <c r="O896" s="2" t="s">
        <v>72</v>
      </c>
      <c r="P896" s="2" t="s">
        <v>73</v>
      </c>
      <c r="Q896" s="2">
        <f t="shared" si="13"/>
        <v>1</v>
      </c>
    </row>
    <row r="897" spans="1:17" x14ac:dyDescent="0.25">
      <c r="A897" s="2" t="s">
        <v>2571</v>
      </c>
      <c r="B897" s="2" t="s">
        <v>2572</v>
      </c>
      <c r="C897" s="2" t="s">
        <v>19</v>
      </c>
      <c r="D897" s="2" t="s">
        <v>186</v>
      </c>
      <c r="E897" s="2" t="s">
        <v>21</v>
      </c>
      <c r="F897" s="2">
        <v>186.67199999999997</v>
      </c>
      <c r="G897" s="2" t="s">
        <v>22</v>
      </c>
      <c r="H897" s="2">
        <v>0</v>
      </c>
      <c r="I897" s="2">
        <v>0</v>
      </c>
      <c r="J897" s="2" t="s">
        <v>1291</v>
      </c>
      <c r="K897" s="20">
        <v>44493</v>
      </c>
      <c r="L897" s="20">
        <v>44496</v>
      </c>
      <c r="M897" s="20">
        <v>44496</v>
      </c>
      <c r="N897" s="2" t="s">
        <v>45</v>
      </c>
      <c r="O897" s="2" t="s">
        <v>46</v>
      </c>
      <c r="P897" s="2" t="s">
        <v>47</v>
      </c>
      <c r="Q897" s="2">
        <f t="shared" si="13"/>
        <v>1</v>
      </c>
    </row>
    <row r="898" spans="1:17" x14ac:dyDescent="0.25">
      <c r="A898" s="2" t="s">
        <v>2573</v>
      </c>
      <c r="B898" s="2" t="s">
        <v>2574</v>
      </c>
      <c r="C898" s="2" t="s">
        <v>19</v>
      </c>
      <c r="D898" s="2" t="s">
        <v>211</v>
      </c>
      <c r="E898" s="2" t="s">
        <v>21</v>
      </c>
      <c r="F898" s="2">
        <v>259.86399999999998</v>
      </c>
      <c r="G898" s="2" t="s">
        <v>22</v>
      </c>
      <c r="H898" s="2">
        <v>0</v>
      </c>
      <c r="I898" s="2">
        <v>0</v>
      </c>
      <c r="J898" s="2" t="s">
        <v>1291</v>
      </c>
      <c r="K898" s="20">
        <v>44515</v>
      </c>
      <c r="L898" s="20">
        <v>44518</v>
      </c>
      <c r="M898" s="20">
        <v>44518</v>
      </c>
      <c r="N898" s="2" t="s">
        <v>39</v>
      </c>
      <c r="O898" s="2" t="s">
        <v>72</v>
      </c>
      <c r="P898" s="2" t="s">
        <v>73</v>
      </c>
      <c r="Q898" s="2">
        <f t="shared" ref="Q898:Q961" si="14">COUNTIF($A$2:$A$1778,A898)</f>
        <v>1</v>
      </c>
    </row>
    <row r="899" spans="1:17" x14ac:dyDescent="0.25">
      <c r="A899" s="2" t="s">
        <v>2575</v>
      </c>
      <c r="B899" s="2" t="s">
        <v>2576</v>
      </c>
      <c r="C899" s="2" t="s">
        <v>30</v>
      </c>
      <c r="D899" s="2" t="s">
        <v>77</v>
      </c>
      <c r="E899" s="2" t="s">
        <v>21</v>
      </c>
      <c r="F899" s="2">
        <v>139.816</v>
      </c>
      <c r="G899" s="2" t="s">
        <v>22</v>
      </c>
      <c r="H899" s="2">
        <v>0</v>
      </c>
      <c r="I899" s="2">
        <v>0</v>
      </c>
      <c r="J899" s="2" t="s">
        <v>1291</v>
      </c>
      <c r="K899" s="20">
        <v>44521</v>
      </c>
      <c r="L899" s="20">
        <v>44522</v>
      </c>
      <c r="M899" s="20">
        <v>44522</v>
      </c>
      <c r="N899" s="2" t="s">
        <v>53</v>
      </c>
      <c r="O899" s="2" t="s">
        <v>46</v>
      </c>
      <c r="P899" s="2" t="s">
        <v>47</v>
      </c>
      <c r="Q899" s="2">
        <f t="shared" si="14"/>
        <v>1</v>
      </c>
    </row>
    <row r="900" spans="1:17" x14ac:dyDescent="0.25">
      <c r="A900" s="2" t="s">
        <v>2578</v>
      </c>
      <c r="B900" s="2" t="s">
        <v>2579</v>
      </c>
      <c r="C900" s="2" t="s">
        <v>19</v>
      </c>
      <c r="D900" s="2" t="s">
        <v>105</v>
      </c>
      <c r="E900" s="2" t="s">
        <v>21</v>
      </c>
      <c r="F900" s="2">
        <v>6.57</v>
      </c>
      <c r="G900" s="2" t="s">
        <v>22</v>
      </c>
      <c r="H900" s="2">
        <v>0</v>
      </c>
      <c r="I900" s="2">
        <v>0</v>
      </c>
      <c r="J900" s="2" t="s">
        <v>1291</v>
      </c>
      <c r="K900" s="20">
        <v>44538</v>
      </c>
      <c r="L900" s="20">
        <v>44540</v>
      </c>
      <c r="M900" s="20">
        <v>44540</v>
      </c>
      <c r="N900" s="2" t="s">
        <v>32</v>
      </c>
      <c r="O900" s="2" t="s">
        <v>67</v>
      </c>
      <c r="P900" s="2" t="s">
        <v>68</v>
      </c>
      <c r="Q900" s="2">
        <f t="shared" si="14"/>
        <v>1</v>
      </c>
    </row>
    <row r="901" spans="1:17" x14ac:dyDescent="0.25">
      <c r="A901" s="2" t="s">
        <v>2581</v>
      </c>
      <c r="B901" s="2" t="s">
        <v>2582</v>
      </c>
      <c r="C901" s="2" t="s">
        <v>30</v>
      </c>
      <c r="D901" s="2" t="s">
        <v>58</v>
      </c>
      <c r="E901" s="2" t="s">
        <v>21</v>
      </c>
      <c r="F901" s="2">
        <v>808.66600000000005</v>
      </c>
      <c r="G901" s="2" t="s">
        <v>22</v>
      </c>
      <c r="H901" s="2">
        <v>0</v>
      </c>
      <c r="I901" s="2">
        <v>0</v>
      </c>
      <c r="J901" s="2" t="s">
        <v>1291</v>
      </c>
      <c r="K901" s="20">
        <v>44544</v>
      </c>
      <c r="L901" s="20">
        <v>44546</v>
      </c>
      <c r="M901" s="20">
        <v>44546</v>
      </c>
      <c r="N901" s="2" t="s">
        <v>63</v>
      </c>
      <c r="O901" s="2" t="s">
        <v>67</v>
      </c>
      <c r="P901" s="2" t="s">
        <v>68</v>
      </c>
      <c r="Q901" s="2">
        <f t="shared" si="14"/>
        <v>1</v>
      </c>
    </row>
    <row r="902" spans="1:17" x14ac:dyDescent="0.25">
      <c r="A902" s="2" t="s">
        <v>2584</v>
      </c>
      <c r="B902" s="2" t="s">
        <v>2585</v>
      </c>
      <c r="C902" s="2" t="s">
        <v>30</v>
      </c>
      <c r="D902" s="2" t="s">
        <v>38</v>
      </c>
      <c r="E902" s="2" t="s">
        <v>21</v>
      </c>
      <c r="F902" s="2">
        <v>4190.2059999999992</v>
      </c>
      <c r="G902" s="2" t="s">
        <v>22</v>
      </c>
      <c r="H902" s="2">
        <v>0</v>
      </c>
      <c r="I902" s="2">
        <v>0</v>
      </c>
      <c r="J902" s="2" t="s">
        <v>1291</v>
      </c>
      <c r="K902" s="20">
        <v>44546</v>
      </c>
      <c r="L902" s="20">
        <v>44549</v>
      </c>
      <c r="M902" s="20">
        <v>44549</v>
      </c>
      <c r="N902" s="2" t="s">
        <v>45</v>
      </c>
      <c r="O902" s="2" t="s">
        <v>40</v>
      </c>
      <c r="P902" s="2" t="s">
        <v>34</v>
      </c>
      <c r="Q902" s="2">
        <f t="shared" si="14"/>
        <v>1</v>
      </c>
    </row>
    <row r="903" spans="1:17" x14ac:dyDescent="0.25">
      <c r="A903" s="2" t="s">
        <v>2587</v>
      </c>
      <c r="B903" s="2" t="s">
        <v>2588</v>
      </c>
      <c r="C903" s="2" t="s">
        <v>30</v>
      </c>
      <c r="D903" s="2" t="s">
        <v>150</v>
      </c>
      <c r="E903" s="2" t="s">
        <v>21</v>
      </c>
      <c r="F903" s="2">
        <v>167.31</v>
      </c>
      <c r="G903" s="2" t="s">
        <v>22</v>
      </c>
      <c r="H903" s="2">
        <v>0</v>
      </c>
      <c r="I903" s="2">
        <v>0</v>
      </c>
      <c r="J903" s="2" t="s">
        <v>1291</v>
      </c>
      <c r="K903" s="20">
        <v>44555</v>
      </c>
      <c r="L903" s="20">
        <v>44557</v>
      </c>
      <c r="M903" s="20">
        <v>44557</v>
      </c>
      <c r="N903" s="2" t="s">
        <v>53</v>
      </c>
      <c r="O903" s="2" t="s">
        <v>33</v>
      </c>
      <c r="P903" s="2" t="s">
        <v>34</v>
      </c>
      <c r="Q903" s="2">
        <f t="shared" si="14"/>
        <v>1</v>
      </c>
    </row>
    <row r="904" spans="1:17" x14ac:dyDescent="0.25">
      <c r="A904" s="2" t="s">
        <v>2590</v>
      </c>
      <c r="B904" s="2" t="s">
        <v>2591</v>
      </c>
      <c r="C904" s="2" t="s">
        <v>19</v>
      </c>
      <c r="D904" s="2" t="s">
        <v>115</v>
      </c>
      <c r="E904" s="2" t="s">
        <v>205</v>
      </c>
      <c r="F904" s="2">
        <v>12.67</v>
      </c>
      <c r="G904" s="2" t="s">
        <v>206</v>
      </c>
      <c r="H904" s="2">
        <v>80</v>
      </c>
      <c r="I904" s="2">
        <v>10.136000000000001</v>
      </c>
      <c r="J904" s="2" t="s">
        <v>1291</v>
      </c>
      <c r="K904" s="20">
        <v>44562</v>
      </c>
      <c r="L904" s="20">
        <v>44197</v>
      </c>
      <c r="M904" s="20">
        <v>44197</v>
      </c>
      <c r="N904" s="2" t="s">
        <v>207</v>
      </c>
      <c r="O904" s="2" t="s">
        <v>72</v>
      </c>
      <c r="P904" s="2" t="s">
        <v>73</v>
      </c>
      <c r="Q904" s="2">
        <f t="shared" si="14"/>
        <v>1</v>
      </c>
    </row>
    <row r="905" spans="1:17" x14ac:dyDescent="0.25">
      <c r="A905" s="2" t="s">
        <v>2593</v>
      </c>
      <c r="B905" s="2" t="s">
        <v>2594</v>
      </c>
      <c r="C905" s="2" t="s">
        <v>30</v>
      </c>
      <c r="D905" s="2" t="s">
        <v>345</v>
      </c>
      <c r="E905" s="2" t="s">
        <v>205</v>
      </c>
      <c r="F905" s="2">
        <v>20.12</v>
      </c>
      <c r="G905" s="2" t="s">
        <v>206</v>
      </c>
      <c r="H905" s="2">
        <v>80</v>
      </c>
      <c r="I905" s="2">
        <v>16.096</v>
      </c>
      <c r="J905" s="2" t="s">
        <v>1291</v>
      </c>
      <c r="K905" s="20">
        <v>44565</v>
      </c>
      <c r="L905" s="20">
        <v>44205</v>
      </c>
      <c r="M905" s="20">
        <v>44205</v>
      </c>
      <c r="N905" s="2" t="s">
        <v>248</v>
      </c>
      <c r="O905" s="2" t="s">
        <v>67</v>
      </c>
      <c r="P905" s="2" t="s">
        <v>68</v>
      </c>
      <c r="Q905" s="2">
        <f t="shared" si="14"/>
        <v>1</v>
      </c>
    </row>
    <row r="906" spans="1:17" x14ac:dyDescent="0.25">
      <c r="A906" s="2" t="s">
        <v>2596</v>
      </c>
      <c r="B906" s="2" t="s">
        <v>2597</v>
      </c>
      <c r="C906" s="2" t="s">
        <v>30</v>
      </c>
      <c r="D906" s="2" t="s">
        <v>51</v>
      </c>
      <c r="E906" s="2" t="s">
        <v>212</v>
      </c>
      <c r="F906" s="2">
        <v>4.2240000000000002</v>
      </c>
      <c r="G906" s="2" t="s">
        <v>206</v>
      </c>
      <c r="H906" s="2">
        <v>100</v>
      </c>
      <c r="I906" s="2">
        <v>4.2240000000000002</v>
      </c>
      <c r="J906" s="2" t="s">
        <v>1291</v>
      </c>
      <c r="K906" s="20">
        <v>44566</v>
      </c>
      <c r="L906" s="20">
        <v>44206</v>
      </c>
      <c r="M906" s="20">
        <v>44206</v>
      </c>
      <c r="N906" s="2" t="s">
        <v>238</v>
      </c>
      <c r="O906" s="2" t="s">
        <v>40</v>
      </c>
      <c r="P906" s="2" t="s">
        <v>34</v>
      </c>
      <c r="Q906" s="2">
        <f t="shared" si="14"/>
        <v>1</v>
      </c>
    </row>
    <row r="907" spans="1:17" x14ac:dyDescent="0.25">
      <c r="A907" s="2" t="s">
        <v>2599</v>
      </c>
      <c r="B907" s="2" t="s">
        <v>2600</v>
      </c>
      <c r="C907" s="2" t="s">
        <v>19</v>
      </c>
      <c r="D907" s="2" t="s">
        <v>31</v>
      </c>
      <c r="E907" s="2" t="s">
        <v>205</v>
      </c>
      <c r="F907" s="2">
        <v>143.63999999999999</v>
      </c>
      <c r="G907" s="2" t="s">
        <v>206</v>
      </c>
      <c r="H907" s="2">
        <v>80</v>
      </c>
      <c r="I907" s="2">
        <v>114.91199999999999</v>
      </c>
      <c r="J907" s="2" t="s">
        <v>1291</v>
      </c>
      <c r="K907" s="20">
        <v>44567</v>
      </c>
      <c r="L907" s="20">
        <v>44207</v>
      </c>
      <c r="M907" s="20">
        <v>44207</v>
      </c>
      <c r="N907" s="2" t="s">
        <v>238</v>
      </c>
      <c r="O907" s="2" t="s">
        <v>146</v>
      </c>
      <c r="P907" s="2" t="s">
        <v>73</v>
      </c>
      <c r="Q907" s="2">
        <f t="shared" si="14"/>
        <v>1</v>
      </c>
    </row>
    <row r="908" spans="1:17" x14ac:dyDescent="0.25">
      <c r="A908" s="2" t="s">
        <v>2601</v>
      </c>
      <c r="B908" s="2" t="s">
        <v>2602</v>
      </c>
      <c r="C908" s="2" t="s">
        <v>19</v>
      </c>
      <c r="D908" s="2" t="s">
        <v>31</v>
      </c>
      <c r="E908" s="2" t="s">
        <v>205</v>
      </c>
      <c r="F908" s="2">
        <v>377.97</v>
      </c>
      <c r="G908" s="2" t="s">
        <v>206</v>
      </c>
      <c r="H908" s="2">
        <v>80</v>
      </c>
      <c r="I908" s="2">
        <v>302.37600000000003</v>
      </c>
      <c r="J908" s="2" t="s">
        <v>1291</v>
      </c>
      <c r="K908" s="20">
        <v>44586</v>
      </c>
      <c r="L908" s="20">
        <v>44225</v>
      </c>
      <c r="M908" s="20">
        <v>44225</v>
      </c>
      <c r="N908" s="2" t="s">
        <v>220</v>
      </c>
      <c r="O908" s="2" t="s">
        <v>54</v>
      </c>
      <c r="P908" s="2" t="s">
        <v>26</v>
      </c>
      <c r="Q908" s="2">
        <f t="shared" si="14"/>
        <v>1</v>
      </c>
    </row>
    <row r="909" spans="1:17" x14ac:dyDescent="0.25">
      <c r="A909" s="2" t="s">
        <v>2604</v>
      </c>
      <c r="B909" s="2" t="s">
        <v>2605</v>
      </c>
      <c r="C909" s="2" t="s">
        <v>30</v>
      </c>
      <c r="D909" s="2" t="s">
        <v>186</v>
      </c>
      <c r="E909" s="2" t="s">
        <v>205</v>
      </c>
      <c r="F909" s="2">
        <v>429.9</v>
      </c>
      <c r="G909" s="2" t="s">
        <v>206</v>
      </c>
      <c r="H909" s="2">
        <v>80</v>
      </c>
      <c r="I909" s="2">
        <v>343.92</v>
      </c>
      <c r="J909" s="2" t="s">
        <v>1291</v>
      </c>
      <c r="K909" s="20">
        <v>44590</v>
      </c>
      <c r="L909" s="20">
        <v>44228</v>
      </c>
      <c r="M909" s="20">
        <v>44228</v>
      </c>
      <c r="N909" s="2" t="s">
        <v>207</v>
      </c>
      <c r="O909" s="2" t="s">
        <v>54</v>
      </c>
      <c r="P909" s="2" t="s">
        <v>26</v>
      </c>
      <c r="Q909" s="2">
        <f t="shared" si="14"/>
        <v>1</v>
      </c>
    </row>
    <row r="910" spans="1:17" x14ac:dyDescent="0.25">
      <c r="A910" s="2" t="s">
        <v>2606</v>
      </c>
      <c r="B910" s="2" t="s">
        <v>2607</v>
      </c>
      <c r="C910" s="2" t="s">
        <v>19</v>
      </c>
      <c r="D910" s="2" t="s">
        <v>31</v>
      </c>
      <c r="E910" s="2" t="s">
        <v>205</v>
      </c>
      <c r="F910" s="2">
        <v>63.923999999999999</v>
      </c>
      <c r="G910" s="2" t="s">
        <v>206</v>
      </c>
      <c r="H910" s="2">
        <v>80</v>
      </c>
      <c r="I910" s="2">
        <v>51.139200000000002</v>
      </c>
      <c r="J910" s="2" t="s">
        <v>1291</v>
      </c>
      <c r="K910" s="20">
        <v>44596</v>
      </c>
      <c r="L910" s="20">
        <v>44232</v>
      </c>
      <c r="M910" s="20">
        <v>44232</v>
      </c>
      <c r="N910" s="2" t="s">
        <v>248</v>
      </c>
      <c r="O910" s="2" t="s">
        <v>33</v>
      </c>
      <c r="P910" s="2" t="s">
        <v>34</v>
      </c>
      <c r="Q910" s="2">
        <f t="shared" si="14"/>
        <v>1</v>
      </c>
    </row>
    <row r="911" spans="1:17" x14ac:dyDescent="0.25">
      <c r="A911" s="2" t="s">
        <v>2609</v>
      </c>
      <c r="B911" s="2" t="s">
        <v>2610</v>
      </c>
      <c r="C911" s="2" t="s">
        <v>30</v>
      </c>
      <c r="D911" s="2" t="s">
        <v>154</v>
      </c>
      <c r="E911" s="2" t="s">
        <v>212</v>
      </c>
      <c r="F911" s="2">
        <v>103.6</v>
      </c>
      <c r="G911" s="2" t="s">
        <v>206</v>
      </c>
      <c r="H911" s="2">
        <v>100</v>
      </c>
      <c r="I911" s="2">
        <v>103.6</v>
      </c>
      <c r="J911" s="2" t="s">
        <v>1291</v>
      </c>
      <c r="K911" s="20">
        <v>44596</v>
      </c>
      <c r="L911" s="20">
        <v>44235</v>
      </c>
      <c r="M911" s="20">
        <v>44235</v>
      </c>
      <c r="N911" s="2" t="s">
        <v>220</v>
      </c>
      <c r="O911" s="2" t="s">
        <v>40</v>
      </c>
      <c r="P911" s="2" t="s">
        <v>34</v>
      </c>
      <c r="Q911" s="2">
        <f t="shared" si="14"/>
        <v>1</v>
      </c>
    </row>
    <row r="912" spans="1:17" x14ac:dyDescent="0.25">
      <c r="A912" s="2" t="s">
        <v>2611</v>
      </c>
      <c r="B912" s="2" t="s">
        <v>2612</v>
      </c>
      <c r="C912" s="2" t="s">
        <v>19</v>
      </c>
      <c r="D912" s="2" t="s">
        <v>105</v>
      </c>
      <c r="E912" s="2" t="s">
        <v>205</v>
      </c>
      <c r="F912" s="2">
        <v>11.07</v>
      </c>
      <c r="G912" s="2" t="s">
        <v>206</v>
      </c>
      <c r="H912" s="2">
        <v>80</v>
      </c>
      <c r="I912" s="2">
        <v>8.8559999999999999</v>
      </c>
      <c r="J912" s="2" t="s">
        <v>1291</v>
      </c>
      <c r="K912" s="20">
        <v>44602</v>
      </c>
      <c r="L912" s="20">
        <v>44244</v>
      </c>
      <c r="M912" s="20">
        <v>44244</v>
      </c>
      <c r="N912" s="2" t="s">
        <v>213</v>
      </c>
      <c r="O912" s="2" t="s">
        <v>97</v>
      </c>
      <c r="P912" s="2" t="s">
        <v>68</v>
      </c>
      <c r="Q912" s="2">
        <f t="shared" si="14"/>
        <v>1</v>
      </c>
    </row>
    <row r="913" spans="1:17" x14ac:dyDescent="0.25">
      <c r="A913" s="2" t="s">
        <v>2614</v>
      </c>
      <c r="B913" s="2" t="s">
        <v>2615</v>
      </c>
      <c r="C913" s="2" t="s">
        <v>19</v>
      </c>
      <c r="D913" s="2" t="s">
        <v>154</v>
      </c>
      <c r="E913" s="2" t="s">
        <v>205</v>
      </c>
      <c r="F913" s="2">
        <v>5.46</v>
      </c>
      <c r="G913" s="2" t="s">
        <v>206</v>
      </c>
      <c r="H913" s="2">
        <v>80</v>
      </c>
      <c r="I913" s="2">
        <v>4.3680000000000003</v>
      </c>
      <c r="J913" s="2" t="s">
        <v>1291</v>
      </c>
      <c r="K913" s="20">
        <v>44602</v>
      </c>
      <c r="L913" s="20">
        <v>44241</v>
      </c>
      <c r="M913" s="20">
        <v>44241</v>
      </c>
      <c r="N913" s="2" t="s">
        <v>238</v>
      </c>
      <c r="O913" s="2" t="s">
        <v>33</v>
      </c>
      <c r="P913" s="2" t="s">
        <v>34</v>
      </c>
      <c r="Q913" s="2">
        <f t="shared" si="14"/>
        <v>1</v>
      </c>
    </row>
    <row r="914" spans="1:17" x14ac:dyDescent="0.25">
      <c r="A914" s="2" t="s">
        <v>2617</v>
      </c>
      <c r="B914" s="2" t="s">
        <v>2618</v>
      </c>
      <c r="C914" s="2" t="s">
        <v>19</v>
      </c>
      <c r="D914" s="2" t="s">
        <v>86</v>
      </c>
      <c r="E914" s="2" t="s">
        <v>205</v>
      </c>
      <c r="F914" s="2">
        <v>357.93</v>
      </c>
      <c r="G914" s="2" t="s">
        <v>206</v>
      </c>
      <c r="H914" s="2">
        <v>80</v>
      </c>
      <c r="I914" s="2">
        <v>286.34399999999999</v>
      </c>
      <c r="J914" s="2" t="s">
        <v>1291</v>
      </c>
      <c r="K914" s="20">
        <v>44603</v>
      </c>
      <c r="L914" s="20">
        <v>44242</v>
      </c>
      <c r="M914" s="20">
        <v>44242</v>
      </c>
      <c r="N914" s="2" t="s">
        <v>238</v>
      </c>
      <c r="O914" s="2" t="s">
        <v>33</v>
      </c>
      <c r="P914" s="2" t="s">
        <v>34</v>
      </c>
      <c r="Q914" s="2">
        <f t="shared" si="14"/>
        <v>1</v>
      </c>
    </row>
    <row r="915" spans="1:17" x14ac:dyDescent="0.25">
      <c r="A915" s="2" t="s">
        <v>2619</v>
      </c>
      <c r="B915" s="2" t="s">
        <v>2620</v>
      </c>
      <c r="C915" s="2" t="s">
        <v>19</v>
      </c>
      <c r="D915" s="2" t="s">
        <v>31</v>
      </c>
      <c r="E915" s="2" t="s">
        <v>212</v>
      </c>
      <c r="F915" s="2">
        <v>57.4</v>
      </c>
      <c r="G915" s="2" t="s">
        <v>206</v>
      </c>
      <c r="H915" s="2">
        <v>100</v>
      </c>
      <c r="I915" s="2">
        <v>57.4</v>
      </c>
      <c r="J915" s="2" t="s">
        <v>1291</v>
      </c>
      <c r="K915" s="20">
        <v>44609</v>
      </c>
      <c r="L915" s="20">
        <v>44248</v>
      </c>
      <c r="M915" s="20">
        <v>44248</v>
      </c>
      <c r="N915" s="2" t="s">
        <v>234</v>
      </c>
      <c r="O915" s="2" t="s">
        <v>82</v>
      </c>
      <c r="P915" s="2" t="s">
        <v>47</v>
      </c>
      <c r="Q915" s="2">
        <f t="shared" si="14"/>
        <v>1</v>
      </c>
    </row>
    <row r="916" spans="1:17" x14ac:dyDescent="0.25">
      <c r="A916" s="2" t="s">
        <v>2622</v>
      </c>
      <c r="B916" s="2" t="s">
        <v>2623</v>
      </c>
      <c r="C916" s="2" t="s">
        <v>19</v>
      </c>
      <c r="D916" s="2" t="s">
        <v>77</v>
      </c>
      <c r="E916" s="2" t="s">
        <v>205</v>
      </c>
      <c r="F916" s="2">
        <v>4.6239999999999997</v>
      </c>
      <c r="G916" s="2" t="s">
        <v>206</v>
      </c>
      <c r="H916" s="2">
        <v>80</v>
      </c>
      <c r="I916" s="2">
        <v>3.6991999999999998</v>
      </c>
      <c r="J916" s="2" t="s">
        <v>1291</v>
      </c>
      <c r="K916" s="20">
        <v>44613</v>
      </c>
      <c r="L916" s="20">
        <v>44251</v>
      </c>
      <c r="M916" s="20">
        <v>44251</v>
      </c>
      <c r="N916" s="2" t="s">
        <v>220</v>
      </c>
      <c r="O916" s="2" t="s">
        <v>82</v>
      </c>
      <c r="P916" s="2" t="s">
        <v>47</v>
      </c>
      <c r="Q916" s="2">
        <f t="shared" si="14"/>
        <v>1</v>
      </c>
    </row>
    <row r="917" spans="1:17" x14ac:dyDescent="0.25">
      <c r="A917" s="2" t="s">
        <v>2625</v>
      </c>
      <c r="B917" s="2" t="s">
        <v>2626</v>
      </c>
      <c r="C917" s="2" t="s">
        <v>30</v>
      </c>
      <c r="D917" s="2" t="s">
        <v>126</v>
      </c>
      <c r="E917" s="2" t="s">
        <v>205</v>
      </c>
      <c r="F917" s="2">
        <v>43.92</v>
      </c>
      <c r="G917" s="2" t="s">
        <v>206</v>
      </c>
      <c r="H917" s="2">
        <v>80</v>
      </c>
      <c r="I917" s="2">
        <v>35.136000000000003</v>
      </c>
      <c r="J917" s="2" t="s">
        <v>1291</v>
      </c>
      <c r="K917" s="20">
        <v>44613</v>
      </c>
      <c r="L917" s="20">
        <v>44253</v>
      </c>
      <c r="M917" s="20">
        <v>44253</v>
      </c>
      <c r="N917" s="2" t="s">
        <v>238</v>
      </c>
      <c r="O917" s="2" t="s">
        <v>97</v>
      </c>
      <c r="P917" s="2" t="s">
        <v>68</v>
      </c>
      <c r="Q917" s="2">
        <f t="shared" si="14"/>
        <v>1</v>
      </c>
    </row>
    <row r="918" spans="1:17" x14ac:dyDescent="0.25">
      <c r="A918" s="2" t="s">
        <v>2627</v>
      </c>
      <c r="B918" s="2" t="s">
        <v>2628</v>
      </c>
      <c r="C918" s="2" t="s">
        <v>30</v>
      </c>
      <c r="D918" s="2" t="s">
        <v>126</v>
      </c>
      <c r="E918" s="2" t="s">
        <v>205</v>
      </c>
      <c r="F918" s="2">
        <v>32.896000000000001</v>
      </c>
      <c r="G918" s="2" t="s">
        <v>206</v>
      </c>
      <c r="H918" s="2">
        <v>80</v>
      </c>
      <c r="I918" s="2">
        <v>26.316800000000001</v>
      </c>
      <c r="J918" s="2" t="s">
        <v>1291</v>
      </c>
      <c r="K918" s="20">
        <v>44622</v>
      </c>
      <c r="L918" s="20">
        <v>44258</v>
      </c>
      <c r="M918" s="20">
        <v>44258</v>
      </c>
      <c r="N918" s="2" t="s">
        <v>213</v>
      </c>
      <c r="O918" s="2" t="s">
        <v>40</v>
      </c>
      <c r="P918" s="2" t="s">
        <v>34</v>
      </c>
      <c r="Q918" s="2">
        <f t="shared" si="14"/>
        <v>1</v>
      </c>
    </row>
    <row r="919" spans="1:17" x14ac:dyDescent="0.25">
      <c r="A919" s="2" t="s">
        <v>2630</v>
      </c>
      <c r="B919" s="2" t="s">
        <v>2631</v>
      </c>
      <c r="C919" s="2" t="s">
        <v>19</v>
      </c>
      <c r="D919" s="2" t="s">
        <v>370</v>
      </c>
      <c r="E919" s="2" t="s">
        <v>212</v>
      </c>
      <c r="F919" s="2">
        <v>204.6</v>
      </c>
      <c r="G919" s="2" t="s">
        <v>206</v>
      </c>
      <c r="H919" s="2">
        <v>100</v>
      </c>
      <c r="I919" s="2">
        <v>204.6</v>
      </c>
      <c r="J919" s="2" t="s">
        <v>1291</v>
      </c>
      <c r="K919" s="20">
        <v>44626</v>
      </c>
      <c r="L919" s="20">
        <v>44265</v>
      </c>
      <c r="M919" s="20">
        <v>44265</v>
      </c>
      <c r="N919" s="2" t="s">
        <v>220</v>
      </c>
      <c r="O919" s="2" t="s">
        <v>97</v>
      </c>
      <c r="P919" s="2" t="s">
        <v>68</v>
      </c>
      <c r="Q919" s="2">
        <f t="shared" si="14"/>
        <v>1</v>
      </c>
    </row>
    <row r="920" spans="1:17" x14ac:dyDescent="0.25">
      <c r="A920" s="2" t="s">
        <v>2633</v>
      </c>
      <c r="B920" s="2" t="s">
        <v>2634</v>
      </c>
      <c r="C920" s="2" t="s">
        <v>30</v>
      </c>
      <c r="D920" s="2" t="s">
        <v>150</v>
      </c>
      <c r="E920" s="2" t="s">
        <v>205</v>
      </c>
      <c r="F920" s="2">
        <v>337.08800000000002</v>
      </c>
      <c r="G920" s="2" t="s">
        <v>206</v>
      </c>
      <c r="H920" s="2">
        <v>80</v>
      </c>
      <c r="I920" s="2">
        <v>269.67040000000003</v>
      </c>
      <c r="J920" s="2" t="s">
        <v>1291</v>
      </c>
      <c r="K920" s="20">
        <v>44629</v>
      </c>
      <c r="L920" s="20">
        <v>44269</v>
      </c>
      <c r="M920" s="20">
        <v>44269</v>
      </c>
      <c r="N920" s="2" t="s">
        <v>234</v>
      </c>
      <c r="O920" s="2" t="s">
        <v>46</v>
      </c>
      <c r="P920" s="2" t="s">
        <v>47</v>
      </c>
      <c r="Q920" s="2">
        <f t="shared" si="14"/>
        <v>1</v>
      </c>
    </row>
    <row r="921" spans="1:17" x14ac:dyDescent="0.25">
      <c r="A921" s="2" t="s">
        <v>2636</v>
      </c>
      <c r="B921" s="2" t="s">
        <v>2637</v>
      </c>
      <c r="C921" s="2" t="s">
        <v>30</v>
      </c>
      <c r="D921" s="2" t="s">
        <v>105</v>
      </c>
      <c r="E921" s="2" t="s">
        <v>212</v>
      </c>
      <c r="F921" s="2">
        <v>144.6</v>
      </c>
      <c r="G921" s="2" t="s">
        <v>206</v>
      </c>
      <c r="H921" s="2">
        <v>100</v>
      </c>
      <c r="I921" s="2">
        <v>144.6</v>
      </c>
      <c r="J921" s="2" t="s">
        <v>1291</v>
      </c>
      <c r="K921" s="20">
        <v>44634</v>
      </c>
      <c r="L921" s="20">
        <v>44271</v>
      </c>
      <c r="M921" s="20">
        <v>44271</v>
      </c>
      <c r="N921" s="2" t="s">
        <v>207</v>
      </c>
      <c r="O921" s="2" t="s">
        <v>146</v>
      </c>
      <c r="P921" s="2" t="s">
        <v>73</v>
      </c>
      <c r="Q921" s="2">
        <f t="shared" si="14"/>
        <v>1</v>
      </c>
    </row>
    <row r="922" spans="1:17" x14ac:dyDescent="0.25">
      <c r="A922" s="2" t="s">
        <v>2639</v>
      </c>
      <c r="B922" s="2" t="s">
        <v>2640</v>
      </c>
      <c r="C922" s="2" t="s">
        <v>19</v>
      </c>
      <c r="D922" s="2" t="s">
        <v>51</v>
      </c>
      <c r="E922" s="2" t="s">
        <v>205</v>
      </c>
      <c r="F922" s="2">
        <v>10.048</v>
      </c>
      <c r="G922" s="2" t="s">
        <v>206</v>
      </c>
      <c r="H922" s="2">
        <v>80</v>
      </c>
      <c r="I922" s="2">
        <v>8.0384000000000011</v>
      </c>
      <c r="J922" s="2" t="s">
        <v>1291</v>
      </c>
      <c r="K922" s="20">
        <v>44636</v>
      </c>
      <c r="L922" s="20">
        <v>44277</v>
      </c>
      <c r="M922" s="20">
        <v>44277</v>
      </c>
      <c r="N922" s="2" t="s">
        <v>207</v>
      </c>
      <c r="O922" s="2" t="s">
        <v>40</v>
      </c>
      <c r="P922" s="2" t="s">
        <v>34</v>
      </c>
      <c r="Q922" s="2">
        <f t="shared" si="14"/>
        <v>1</v>
      </c>
    </row>
    <row r="923" spans="1:17" x14ac:dyDescent="0.25">
      <c r="A923" s="2" t="s">
        <v>2642</v>
      </c>
      <c r="B923" s="2" t="s">
        <v>2643</v>
      </c>
      <c r="C923" s="2" t="s">
        <v>19</v>
      </c>
      <c r="D923" s="2" t="s">
        <v>31</v>
      </c>
      <c r="E923" s="2" t="s">
        <v>205</v>
      </c>
      <c r="F923" s="2">
        <v>11.952</v>
      </c>
      <c r="G923" s="2" t="s">
        <v>206</v>
      </c>
      <c r="H923" s="2">
        <v>80</v>
      </c>
      <c r="I923" s="2">
        <v>9.5616000000000003</v>
      </c>
      <c r="J923" s="2" t="s">
        <v>1291</v>
      </c>
      <c r="K923" s="20">
        <v>44637</v>
      </c>
      <c r="L923" s="20">
        <v>44276</v>
      </c>
      <c r="M923" s="20">
        <v>44276</v>
      </c>
      <c r="N923" s="2" t="s">
        <v>207</v>
      </c>
      <c r="O923" s="2" t="s">
        <v>40</v>
      </c>
      <c r="P923" s="2" t="s">
        <v>34</v>
      </c>
      <c r="Q923" s="2">
        <f t="shared" si="14"/>
        <v>1</v>
      </c>
    </row>
    <row r="924" spans="1:17" x14ac:dyDescent="0.25">
      <c r="A924" s="2" t="s">
        <v>2644</v>
      </c>
      <c r="B924" s="2" t="s">
        <v>2645</v>
      </c>
      <c r="C924" s="2" t="s">
        <v>30</v>
      </c>
      <c r="D924" s="2" t="s">
        <v>211</v>
      </c>
      <c r="E924" s="2" t="s">
        <v>212</v>
      </c>
      <c r="F924" s="2">
        <v>605.34</v>
      </c>
      <c r="G924" s="2" t="s">
        <v>206</v>
      </c>
      <c r="H924" s="2">
        <v>100</v>
      </c>
      <c r="I924" s="2">
        <v>605.34</v>
      </c>
      <c r="J924" s="2" t="s">
        <v>1291</v>
      </c>
      <c r="K924" s="20">
        <v>44637</v>
      </c>
      <c r="L924" s="20">
        <v>44274</v>
      </c>
      <c r="M924" s="20">
        <v>44274</v>
      </c>
      <c r="N924" s="2" t="s">
        <v>220</v>
      </c>
      <c r="O924" s="2" t="s">
        <v>40</v>
      </c>
      <c r="P924" s="2" t="s">
        <v>34</v>
      </c>
      <c r="Q924" s="2">
        <f t="shared" si="14"/>
        <v>1</v>
      </c>
    </row>
    <row r="925" spans="1:17" x14ac:dyDescent="0.25">
      <c r="A925" s="2" t="s">
        <v>2647</v>
      </c>
      <c r="B925" s="2" t="s">
        <v>2648</v>
      </c>
      <c r="C925" s="2" t="s">
        <v>19</v>
      </c>
      <c r="D925" s="2" t="s">
        <v>150</v>
      </c>
      <c r="E925" s="2" t="s">
        <v>205</v>
      </c>
      <c r="F925" s="2">
        <v>75.879999999999896</v>
      </c>
      <c r="G925" s="2" t="s">
        <v>206</v>
      </c>
      <c r="H925" s="2">
        <v>80</v>
      </c>
      <c r="I925" s="2">
        <v>60.703999999999922</v>
      </c>
      <c r="J925" s="2" t="s">
        <v>1291</v>
      </c>
      <c r="K925" s="20">
        <v>44640</v>
      </c>
      <c r="L925" s="20">
        <v>44280</v>
      </c>
      <c r="M925" s="20">
        <v>44280</v>
      </c>
      <c r="N925" s="2" t="s">
        <v>207</v>
      </c>
      <c r="O925" s="2" t="s">
        <v>67</v>
      </c>
      <c r="P925" s="2" t="s">
        <v>68</v>
      </c>
      <c r="Q925" s="2">
        <f t="shared" si="14"/>
        <v>1</v>
      </c>
    </row>
    <row r="926" spans="1:17" x14ac:dyDescent="0.25">
      <c r="A926" s="2" t="s">
        <v>2650</v>
      </c>
      <c r="B926" s="2" t="s">
        <v>2651</v>
      </c>
      <c r="C926" s="2" t="s">
        <v>30</v>
      </c>
      <c r="D926" s="2" t="s">
        <v>154</v>
      </c>
      <c r="E926" s="2" t="s">
        <v>212</v>
      </c>
      <c r="F926" s="2">
        <v>48.896000000000001</v>
      </c>
      <c r="G926" s="2" t="s">
        <v>206</v>
      </c>
      <c r="H926" s="2">
        <v>100</v>
      </c>
      <c r="I926" s="2">
        <v>48.896000000000001</v>
      </c>
      <c r="J926" s="2" t="s">
        <v>1291</v>
      </c>
      <c r="K926" s="20">
        <v>44645</v>
      </c>
      <c r="L926" s="20">
        <v>44283</v>
      </c>
      <c r="M926" s="20">
        <v>44283</v>
      </c>
      <c r="N926" s="2" t="s">
        <v>220</v>
      </c>
      <c r="O926" s="2" t="s">
        <v>146</v>
      </c>
      <c r="P926" s="2" t="s">
        <v>73</v>
      </c>
      <c r="Q926" s="2">
        <f t="shared" si="14"/>
        <v>1</v>
      </c>
    </row>
    <row r="927" spans="1:17" x14ac:dyDescent="0.25">
      <c r="A927" s="2" t="s">
        <v>2653</v>
      </c>
      <c r="B927" s="2" t="s">
        <v>2654</v>
      </c>
      <c r="C927" s="2" t="s">
        <v>30</v>
      </c>
      <c r="D927" s="2" t="s">
        <v>96</v>
      </c>
      <c r="E927" s="2" t="s">
        <v>212</v>
      </c>
      <c r="F927" s="2">
        <v>1.23399999999999</v>
      </c>
      <c r="G927" s="2" t="s">
        <v>206</v>
      </c>
      <c r="H927" s="2">
        <v>100</v>
      </c>
      <c r="I927" s="2">
        <v>1.23399999999999</v>
      </c>
      <c r="J927" s="2" t="s">
        <v>1291</v>
      </c>
      <c r="K927" s="20">
        <v>44650</v>
      </c>
      <c r="L927" s="20">
        <v>44287</v>
      </c>
      <c r="M927" s="20">
        <v>44287</v>
      </c>
      <c r="N927" s="2" t="s">
        <v>234</v>
      </c>
      <c r="O927" s="2" t="s">
        <v>54</v>
      </c>
      <c r="P927" s="2" t="s">
        <v>26</v>
      </c>
      <c r="Q927" s="2">
        <f t="shared" si="14"/>
        <v>1</v>
      </c>
    </row>
    <row r="928" spans="1:17" x14ac:dyDescent="0.25">
      <c r="A928" s="2" t="s">
        <v>2656</v>
      </c>
      <c r="B928" s="2" t="s">
        <v>2657</v>
      </c>
      <c r="C928" s="2" t="s">
        <v>30</v>
      </c>
      <c r="D928" s="2" t="s">
        <v>154</v>
      </c>
      <c r="E928" s="2" t="s">
        <v>212</v>
      </c>
      <c r="F928" s="2">
        <v>629.06399999999996</v>
      </c>
      <c r="G928" s="2" t="s">
        <v>206</v>
      </c>
      <c r="H928" s="2">
        <v>100</v>
      </c>
      <c r="I928" s="2">
        <v>629.06399999999996</v>
      </c>
      <c r="J928" s="2" t="s">
        <v>1291</v>
      </c>
      <c r="K928" s="20">
        <v>44652</v>
      </c>
      <c r="L928" s="20">
        <v>44291</v>
      </c>
      <c r="M928" s="20">
        <v>44291</v>
      </c>
      <c r="N928" s="2" t="s">
        <v>234</v>
      </c>
      <c r="O928" s="2" t="s">
        <v>72</v>
      </c>
      <c r="P928" s="2" t="s">
        <v>73</v>
      </c>
      <c r="Q928" s="2">
        <f t="shared" si="14"/>
        <v>1</v>
      </c>
    </row>
    <row r="929" spans="1:17" x14ac:dyDescent="0.25">
      <c r="A929" s="2" t="s">
        <v>2659</v>
      </c>
      <c r="B929" s="2" t="s">
        <v>2660</v>
      </c>
      <c r="C929" s="2" t="s">
        <v>19</v>
      </c>
      <c r="D929" s="2" t="s">
        <v>115</v>
      </c>
      <c r="E929" s="2" t="s">
        <v>212</v>
      </c>
      <c r="F929" s="2">
        <v>39.880000000000003</v>
      </c>
      <c r="G929" s="2" t="s">
        <v>206</v>
      </c>
      <c r="H929" s="2">
        <v>100</v>
      </c>
      <c r="I929" s="2">
        <v>39.880000000000003</v>
      </c>
      <c r="J929" s="2" t="s">
        <v>1291</v>
      </c>
      <c r="K929" s="20">
        <v>44654</v>
      </c>
      <c r="L929" s="20">
        <v>44296</v>
      </c>
      <c r="M929" s="20">
        <v>44296</v>
      </c>
      <c r="N929" s="2" t="s">
        <v>234</v>
      </c>
      <c r="O929" s="2" t="s">
        <v>54</v>
      </c>
      <c r="P929" s="2" t="s">
        <v>26</v>
      </c>
      <c r="Q929" s="2">
        <f t="shared" si="14"/>
        <v>1</v>
      </c>
    </row>
    <row r="930" spans="1:17" x14ac:dyDescent="0.25">
      <c r="A930" s="2" t="s">
        <v>2662</v>
      </c>
      <c r="B930" s="2" t="s">
        <v>2663</v>
      </c>
      <c r="C930" s="2" t="s">
        <v>30</v>
      </c>
      <c r="D930" s="2" t="s">
        <v>186</v>
      </c>
      <c r="E930" s="2" t="s">
        <v>205</v>
      </c>
      <c r="F930" s="2">
        <v>127.98399999999999</v>
      </c>
      <c r="G930" s="2" t="s">
        <v>206</v>
      </c>
      <c r="H930" s="2">
        <v>80</v>
      </c>
      <c r="I930" s="2">
        <v>102.38720000000001</v>
      </c>
      <c r="J930" s="2" t="s">
        <v>1291</v>
      </c>
      <c r="K930" s="20">
        <v>44659</v>
      </c>
      <c r="L930" s="20">
        <v>44296</v>
      </c>
      <c r="M930" s="20">
        <v>44296</v>
      </c>
      <c r="N930" s="2" t="s">
        <v>248</v>
      </c>
      <c r="O930" s="2" t="s">
        <v>146</v>
      </c>
      <c r="P930" s="2" t="s">
        <v>73</v>
      </c>
      <c r="Q930" s="2">
        <f t="shared" si="14"/>
        <v>1</v>
      </c>
    </row>
    <row r="931" spans="1:17" x14ac:dyDescent="0.25">
      <c r="A931" s="2" t="s">
        <v>2664</v>
      </c>
      <c r="B931" s="2" t="s">
        <v>2665</v>
      </c>
      <c r="C931" s="2" t="s">
        <v>19</v>
      </c>
      <c r="D931" s="2" t="s">
        <v>62</v>
      </c>
      <c r="E931" s="2" t="s">
        <v>212</v>
      </c>
      <c r="F931" s="2">
        <v>479.9</v>
      </c>
      <c r="G931" s="2" t="s">
        <v>206</v>
      </c>
      <c r="H931" s="2">
        <v>100</v>
      </c>
      <c r="I931" s="2">
        <v>479.9</v>
      </c>
      <c r="J931" s="2" t="s">
        <v>1291</v>
      </c>
      <c r="K931" s="20">
        <v>44661</v>
      </c>
      <c r="L931" s="20">
        <v>44301</v>
      </c>
      <c r="M931" s="20">
        <v>44301</v>
      </c>
      <c r="N931" s="2" t="s">
        <v>207</v>
      </c>
      <c r="O931" s="2" t="s">
        <v>25</v>
      </c>
      <c r="P931" s="2" t="s">
        <v>26</v>
      </c>
      <c r="Q931" s="2">
        <f t="shared" si="14"/>
        <v>1</v>
      </c>
    </row>
    <row r="932" spans="1:17" x14ac:dyDescent="0.25">
      <c r="A932" s="2" t="s">
        <v>2666</v>
      </c>
      <c r="B932" s="2" t="s">
        <v>2667</v>
      </c>
      <c r="C932" s="2" t="s">
        <v>30</v>
      </c>
      <c r="D932" s="2" t="s">
        <v>31</v>
      </c>
      <c r="E932" s="2" t="s">
        <v>212</v>
      </c>
      <c r="F932" s="2">
        <v>137.54</v>
      </c>
      <c r="G932" s="2" t="s">
        <v>206</v>
      </c>
      <c r="H932" s="2">
        <v>100</v>
      </c>
      <c r="I932" s="2">
        <v>137.54</v>
      </c>
      <c r="J932" s="2" t="s">
        <v>1291</v>
      </c>
      <c r="K932" s="20">
        <v>44668</v>
      </c>
      <c r="L932" s="20">
        <v>44308</v>
      </c>
      <c r="M932" s="20">
        <v>44308</v>
      </c>
      <c r="N932" s="2" t="s">
        <v>207</v>
      </c>
      <c r="O932" s="2" t="s">
        <v>25</v>
      </c>
      <c r="P932" s="2" t="s">
        <v>26</v>
      </c>
      <c r="Q932" s="2">
        <f t="shared" si="14"/>
        <v>1</v>
      </c>
    </row>
    <row r="933" spans="1:17" x14ac:dyDescent="0.25">
      <c r="A933" s="2" t="s">
        <v>2668</v>
      </c>
      <c r="B933" s="2" t="s">
        <v>2669</v>
      </c>
      <c r="C933" s="2" t="s">
        <v>19</v>
      </c>
      <c r="D933" s="2" t="s">
        <v>31</v>
      </c>
      <c r="E933" s="2" t="s">
        <v>205</v>
      </c>
      <c r="F933" s="2">
        <v>16.23</v>
      </c>
      <c r="G933" s="2" t="s">
        <v>206</v>
      </c>
      <c r="H933" s="2">
        <v>80</v>
      </c>
      <c r="I933" s="2">
        <v>12.984000000000002</v>
      </c>
      <c r="J933" s="2" t="s">
        <v>1291</v>
      </c>
      <c r="K933" s="20">
        <v>44670</v>
      </c>
      <c r="L933" s="20">
        <v>44306</v>
      </c>
      <c r="M933" s="20">
        <v>44306</v>
      </c>
      <c r="N933" s="2" t="s">
        <v>238</v>
      </c>
      <c r="O933" s="2" t="s">
        <v>72</v>
      </c>
      <c r="P933" s="2" t="s">
        <v>73</v>
      </c>
      <c r="Q933" s="2">
        <f t="shared" si="14"/>
        <v>1</v>
      </c>
    </row>
    <row r="934" spans="1:17" x14ac:dyDescent="0.25">
      <c r="A934" s="2" t="s">
        <v>2671</v>
      </c>
      <c r="B934" s="2" t="s">
        <v>2672</v>
      </c>
      <c r="C934" s="2" t="s">
        <v>19</v>
      </c>
      <c r="D934" s="2" t="s">
        <v>38</v>
      </c>
      <c r="E934" s="2" t="s">
        <v>212</v>
      </c>
      <c r="F934" s="2">
        <v>5.04</v>
      </c>
      <c r="G934" s="2" t="s">
        <v>206</v>
      </c>
      <c r="H934" s="2">
        <v>100</v>
      </c>
      <c r="I934" s="2">
        <v>5.04</v>
      </c>
      <c r="J934" s="2" t="s">
        <v>1291</v>
      </c>
      <c r="K934" s="20">
        <v>44682</v>
      </c>
      <c r="L934" s="20">
        <v>44322</v>
      </c>
      <c r="M934" s="20">
        <v>44322</v>
      </c>
      <c r="N934" s="2" t="s">
        <v>207</v>
      </c>
      <c r="O934" s="2" t="s">
        <v>40</v>
      </c>
      <c r="P934" s="2" t="s">
        <v>34</v>
      </c>
      <c r="Q934" s="2">
        <f t="shared" si="14"/>
        <v>1</v>
      </c>
    </row>
    <row r="935" spans="1:17" x14ac:dyDescent="0.25">
      <c r="A935" s="2" t="s">
        <v>2674</v>
      </c>
      <c r="B935" s="2" t="s">
        <v>2675</v>
      </c>
      <c r="C935" s="2" t="s">
        <v>19</v>
      </c>
      <c r="D935" s="2" t="s">
        <v>105</v>
      </c>
      <c r="E935" s="2" t="s">
        <v>205</v>
      </c>
      <c r="F935" s="2">
        <v>438.33600000000001</v>
      </c>
      <c r="G935" s="2" t="s">
        <v>206</v>
      </c>
      <c r="H935" s="2">
        <v>80</v>
      </c>
      <c r="I935" s="2">
        <v>350.66880000000003</v>
      </c>
      <c r="J935" s="2" t="s">
        <v>1291</v>
      </c>
      <c r="K935" s="20">
        <v>44682</v>
      </c>
      <c r="L935" s="20">
        <v>44319</v>
      </c>
      <c r="M935" s="20">
        <v>44319</v>
      </c>
      <c r="N935" s="2" t="s">
        <v>238</v>
      </c>
      <c r="O935" s="2" t="s">
        <v>97</v>
      </c>
      <c r="P935" s="2" t="s">
        <v>68</v>
      </c>
      <c r="Q935" s="2">
        <f t="shared" si="14"/>
        <v>1</v>
      </c>
    </row>
    <row r="936" spans="1:17" x14ac:dyDescent="0.25">
      <c r="A936" s="2" t="s">
        <v>2677</v>
      </c>
      <c r="B936" s="2" t="s">
        <v>2678</v>
      </c>
      <c r="C936" s="2" t="s">
        <v>19</v>
      </c>
      <c r="D936" s="2" t="s">
        <v>119</v>
      </c>
      <c r="E936" s="2" t="s">
        <v>205</v>
      </c>
      <c r="F936" s="2">
        <v>575.91999999999996</v>
      </c>
      <c r="G936" s="2" t="s">
        <v>206</v>
      </c>
      <c r="H936" s="2">
        <v>80</v>
      </c>
      <c r="I936" s="2">
        <v>460.73599999999999</v>
      </c>
      <c r="J936" s="2" t="s">
        <v>1291</v>
      </c>
      <c r="K936" s="20">
        <v>44683</v>
      </c>
      <c r="L936" s="20">
        <v>44324</v>
      </c>
      <c r="M936" s="20">
        <v>44324</v>
      </c>
      <c r="N936" s="2" t="s">
        <v>213</v>
      </c>
      <c r="O936" s="2" t="s">
        <v>25</v>
      </c>
      <c r="P936" s="2" t="s">
        <v>26</v>
      </c>
      <c r="Q936" s="2">
        <f t="shared" si="14"/>
        <v>1</v>
      </c>
    </row>
    <row r="937" spans="1:17" x14ac:dyDescent="0.25">
      <c r="A937" s="2" t="s">
        <v>2680</v>
      </c>
      <c r="B937" s="2" t="s">
        <v>2681</v>
      </c>
      <c r="C937" s="2" t="s">
        <v>30</v>
      </c>
      <c r="D937" s="2" t="s">
        <v>154</v>
      </c>
      <c r="E937" s="2" t="s">
        <v>205</v>
      </c>
      <c r="F937" s="2">
        <v>15</v>
      </c>
      <c r="G937" s="2" t="s">
        <v>206</v>
      </c>
      <c r="H937" s="2">
        <v>80</v>
      </c>
      <c r="I937" s="2">
        <v>12</v>
      </c>
      <c r="J937" s="2" t="s">
        <v>1291</v>
      </c>
      <c r="K937" s="20">
        <v>44686</v>
      </c>
      <c r="L937" s="20">
        <v>44326</v>
      </c>
      <c r="M937" s="20">
        <v>44326</v>
      </c>
      <c r="N937" s="2" t="s">
        <v>238</v>
      </c>
      <c r="O937" s="2" t="s">
        <v>72</v>
      </c>
      <c r="P937" s="2" t="s">
        <v>73</v>
      </c>
      <c r="Q937" s="2">
        <f t="shared" si="14"/>
        <v>1</v>
      </c>
    </row>
    <row r="938" spans="1:17" x14ac:dyDescent="0.25">
      <c r="A938" s="2" t="s">
        <v>2682</v>
      </c>
      <c r="B938" s="2" t="s">
        <v>2683</v>
      </c>
      <c r="C938" s="2" t="s">
        <v>30</v>
      </c>
      <c r="D938" s="2" t="s">
        <v>119</v>
      </c>
      <c r="E938" s="2" t="s">
        <v>212</v>
      </c>
      <c r="F938" s="2">
        <v>105.52</v>
      </c>
      <c r="G938" s="2" t="s">
        <v>206</v>
      </c>
      <c r="H938" s="2">
        <v>100</v>
      </c>
      <c r="I938" s="2">
        <v>105.52</v>
      </c>
      <c r="J938" s="2" t="s">
        <v>1291</v>
      </c>
      <c r="K938" s="20">
        <v>44692</v>
      </c>
      <c r="L938" s="20">
        <v>44332</v>
      </c>
      <c r="M938" s="20">
        <v>44332</v>
      </c>
      <c r="N938" s="2" t="s">
        <v>220</v>
      </c>
      <c r="O938" s="2" t="s">
        <v>46</v>
      </c>
      <c r="P938" s="2" t="s">
        <v>47</v>
      </c>
      <c r="Q938" s="2">
        <f t="shared" si="14"/>
        <v>1</v>
      </c>
    </row>
    <row r="939" spans="1:17" x14ac:dyDescent="0.25">
      <c r="A939" s="2" t="s">
        <v>2684</v>
      </c>
      <c r="B939" s="2" t="s">
        <v>2685</v>
      </c>
      <c r="C939" s="2" t="s">
        <v>19</v>
      </c>
      <c r="D939" s="2" t="s">
        <v>139</v>
      </c>
      <c r="E939" s="2" t="s">
        <v>212</v>
      </c>
      <c r="F939" s="2">
        <v>114.2</v>
      </c>
      <c r="G939" s="2" t="s">
        <v>206</v>
      </c>
      <c r="H939" s="2">
        <v>100</v>
      </c>
      <c r="I939" s="2">
        <v>114.2</v>
      </c>
      <c r="J939" s="2" t="s">
        <v>1291</v>
      </c>
      <c r="K939" s="20">
        <v>44694</v>
      </c>
      <c r="L939" s="20">
        <v>44333</v>
      </c>
      <c r="M939" s="20">
        <v>44333</v>
      </c>
      <c r="N939" s="2" t="s">
        <v>238</v>
      </c>
      <c r="O939" s="2" t="s">
        <v>67</v>
      </c>
      <c r="P939" s="2" t="s">
        <v>68</v>
      </c>
      <c r="Q939" s="2">
        <f t="shared" si="14"/>
        <v>1</v>
      </c>
    </row>
    <row r="940" spans="1:17" x14ac:dyDescent="0.25">
      <c r="A940" s="2" t="s">
        <v>2687</v>
      </c>
      <c r="B940" s="2" t="s">
        <v>2688</v>
      </c>
      <c r="C940" s="2" t="s">
        <v>19</v>
      </c>
      <c r="D940" s="2" t="s">
        <v>44</v>
      </c>
      <c r="E940" s="2" t="s">
        <v>205</v>
      </c>
      <c r="F940" s="2">
        <v>27.968</v>
      </c>
      <c r="G940" s="2" t="s">
        <v>206</v>
      </c>
      <c r="H940" s="2">
        <v>80</v>
      </c>
      <c r="I940" s="2">
        <v>22.374400000000001</v>
      </c>
      <c r="J940" s="2" t="s">
        <v>1291</v>
      </c>
      <c r="K940" s="20">
        <v>44705</v>
      </c>
      <c r="L940" s="20">
        <v>44345</v>
      </c>
      <c r="M940" s="20">
        <v>44345</v>
      </c>
      <c r="N940" s="2" t="s">
        <v>213</v>
      </c>
      <c r="O940" s="2" t="s">
        <v>40</v>
      </c>
      <c r="P940" s="2" t="s">
        <v>34</v>
      </c>
      <c r="Q940" s="2">
        <f t="shared" si="14"/>
        <v>1</v>
      </c>
    </row>
    <row r="941" spans="1:17" x14ac:dyDescent="0.25">
      <c r="A941" s="2" t="s">
        <v>2690</v>
      </c>
      <c r="B941" s="2" t="s">
        <v>2691</v>
      </c>
      <c r="C941" s="2" t="s">
        <v>19</v>
      </c>
      <c r="D941" s="2" t="s">
        <v>77</v>
      </c>
      <c r="E941" s="2" t="s">
        <v>205</v>
      </c>
      <c r="F941" s="2">
        <v>51.15</v>
      </c>
      <c r="G941" s="2" t="s">
        <v>206</v>
      </c>
      <c r="H941" s="2">
        <v>80</v>
      </c>
      <c r="I941" s="2">
        <v>40.92</v>
      </c>
      <c r="J941" s="2" t="s">
        <v>1291</v>
      </c>
      <c r="K941" s="20">
        <v>44707</v>
      </c>
      <c r="L941" s="20">
        <v>44346</v>
      </c>
      <c r="M941" s="20">
        <v>44346</v>
      </c>
      <c r="N941" s="2" t="s">
        <v>234</v>
      </c>
      <c r="O941" s="2" t="s">
        <v>82</v>
      </c>
      <c r="P941" s="2" t="s">
        <v>47</v>
      </c>
      <c r="Q941" s="2">
        <f t="shared" si="14"/>
        <v>1</v>
      </c>
    </row>
    <row r="942" spans="1:17" x14ac:dyDescent="0.25">
      <c r="A942" s="2" t="s">
        <v>2693</v>
      </c>
      <c r="B942" s="2" t="s">
        <v>2694</v>
      </c>
      <c r="C942" s="2" t="s">
        <v>30</v>
      </c>
      <c r="D942" s="2" t="s">
        <v>119</v>
      </c>
      <c r="E942" s="2" t="s">
        <v>212</v>
      </c>
      <c r="F942" s="2">
        <v>551.98500000000001</v>
      </c>
      <c r="G942" s="2" t="s">
        <v>206</v>
      </c>
      <c r="H942" s="2">
        <v>100</v>
      </c>
      <c r="I942" s="2">
        <v>551.98500000000001</v>
      </c>
      <c r="J942" s="2" t="s">
        <v>1291</v>
      </c>
      <c r="K942" s="20">
        <v>44707</v>
      </c>
      <c r="L942" s="20">
        <v>44344</v>
      </c>
      <c r="M942" s="20">
        <v>44344</v>
      </c>
      <c r="N942" s="2" t="s">
        <v>248</v>
      </c>
      <c r="O942" s="2" t="s">
        <v>33</v>
      </c>
      <c r="P942" s="2" t="s">
        <v>34</v>
      </c>
      <c r="Q942" s="2">
        <f t="shared" si="14"/>
        <v>1</v>
      </c>
    </row>
    <row r="943" spans="1:17" x14ac:dyDescent="0.25">
      <c r="A943" s="2" t="s">
        <v>2696</v>
      </c>
      <c r="B943" s="2" t="s">
        <v>2697</v>
      </c>
      <c r="C943" s="2" t="s">
        <v>30</v>
      </c>
      <c r="D943" s="2" t="s">
        <v>150</v>
      </c>
      <c r="E943" s="2" t="s">
        <v>212</v>
      </c>
      <c r="F943" s="2">
        <v>1687.8</v>
      </c>
      <c r="G943" s="2" t="s">
        <v>206</v>
      </c>
      <c r="H943" s="2">
        <v>100</v>
      </c>
      <c r="I943" s="2">
        <v>1687.8</v>
      </c>
      <c r="J943" s="2" t="s">
        <v>1291</v>
      </c>
      <c r="K943" s="20">
        <v>44708</v>
      </c>
      <c r="L943" s="20">
        <v>44348</v>
      </c>
      <c r="M943" s="20">
        <v>44348</v>
      </c>
      <c r="N943" s="2" t="s">
        <v>220</v>
      </c>
      <c r="O943" s="2" t="s">
        <v>46</v>
      </c>
      <c r="P943" s="2" t="s">
        <v>47</v>
      </c>
      <c r="Q943" s="2">
        <f t="shared" si="14"/>
        <v>1</v>
      </c>
    </row>
    <row r="944" spans="1:17" x14ac:dyDescent="0.25">
      <c r="A944" s="2" t="s">
        <v>2698</v>
      </c>
      <c r="B944" s="2" t="s">
        <v>2699</v>
      </c>
      <c r="C944" s="2" t="s">
        <v>19</v>
      </c>
      <c r="D944" s="2" t="s">
        <v>96</v>
      </c>
      <c r="E944" s="2" t="s">
        <v>205</v>
      </c>
      <c r="F944" s="2">
        <v>10.384</v>
      </c>
      <c r="G944" s="2" t="s">
        <v>206</v>
      </c>
      <c r="H944" s="2">
        <v>80</v>
      </c>
      <c r="I944" s="2">
        <v>8.3071999999999999</v>
      </c>
      <c r="J944" s="2" t="s">
        <v>1291</v>
      </c>
      <c r="K944" s="20">
        <v>44711</v>
      </c>
      <c r="L944" s="20">
        <v>44351</v>
      </c>
      <c r="M944" s="20">
        <v>44351</v>
      </c>
      <c r="N944" s="2" t="s">
        <v>248</v>
      </c>
      <c r="O944" s="2" t="s">
        <v>54</v>
      </c>
      <c r="P944" s="2" t="s">
        <v>26</v>
      </c>
      <c r="Q944" s="2">
        <f t="shared" si="14"/>
        <v>1</v>
      </c>
    </row>
    <row r="945" spans="1:17" x14ac:dyDescent="0.25">
      <c r="A945" s="2" t="s">
        <v>2701</v>
      </c>
      <c r="B945" s="2" t="s">
        <v>2702</v>
      </c>
      <c r="C945" s="2" t="s">
        <v>30</v>
      </c>
      <c r="D945" s="2" t="s">
        <v>31</v>
      </c>
      <c r="E945" s="2" t="s">
        <v>205</v>
      </c>
      <c r="F945" s="2">
        <v>182.72</v>
      </c>
      <c r="G945" s="2" t="s">
        <v>206</v>
      </c>
      <c r="H945" s="2">
        <v>80</v>
      </c>
      <c r="I945" s="2">
        <v>146.17600000000002</v>
      </c>
      <c r="J945" s="2" t="s">
        <v>1291</v>
      </c>
      <c r="K945" s="20">
        <v>44713</v>
      </c>
      <c r="L945" s="20">
        <v>44350</v>
      </c>
      <c r="M945" s="20">
        <v>44350</v>
      </c>
      <c r="N945" s="2" t="s">
        <v>220</v>
      </c>
      <c r="O945" s="2" t="s">
        <v>25</v>
      </c>
      <c r="P945" s="2" t="s">
        <v>26</v>
      </c>
      <c r="Q945" s="2">
        <f t="shared" si="14"/>
        <v>1</v>
      </c>
    </row>
    <row r="946" spans="1:17" x14ac:dyDescent="0.25">
      <c r="A946" s="2" t="s">
        <v>2704</v>
      </c>
      <c r="B946" s="2" t="s">
        <v>2705</v>
      </c>
      <c r="C946" s="2" t="s">
        <v>19</v>
      </c>
      <c r="D946" s="2" t="s">
        <v>154</v>
      </c>
      <c r="E946" s="2" t="s">
        <v>205</v>
      </c>
      <c r="F946" s="2">
        <v>199.304</v>
      </c>
      <c r="G946" s="2" t="s">
        <v>206</v>
      </c>
      <c r="H946" s="2">
        <v>80</v>
      </c>
      <c r="I946" s="2">
        <v>159.44320000000002</v>
      </c>
      <c r="J946" s="2" t="s">
        <v>1291</v>
      </c>
      <c r="K946" s="20">
        <v>44713</v>
      </c>
      <c r="L946" s="20">
        <v>44352</v>
      </c>
      <c r="M946" s="20">
        <v>44352</v>
      </c>
      <c r="N946" s="2" t="s">
        <v>207</v>
      </c>
      <c r="O946" s="2" t="s">
        <v>54</v>
      </c>
      <c r="P946" s="2" t="s">
        <v>26</v>
      </c>
      <c r="Q946" s="2">
        <f t="shared" si="14"/>
        <v>1</v>
      </c>
    </row>
    <row r="947" spans="1:17" x14ac:dyDescent="0.25">
      <c r="A947" s="2" t="s">
        <v>2707</v>
      </c>
      <c r="B947" s="2" t="s">
        <v>2708</v>
      </c>
      <c r="C947" s="2" t="s">
        <v>30</v>
      </c>
      <c r="D947" s="2" t="s">
        <v>154</v>
      </c>
      <c r="E947" s="2" t="s">
        <v>212</v>
      </c>
      <c r="F947" s="2">
        <v>1268.82</v>
      </c>
      <c r="G947" s="2" t="s">
        <v>206</v>
      </c>
      <c r="H947" s="2">
        <v>100</v>
      </c>
      <c r="I947" s="2">
        <v>1268.82</v>
      </c>
      <c r="J947" s="2" t="s">
        <v>1291</v>
      </c>
      <c r="K947" s="20">
        <v>44718</v>
      </c>
      <c r="L947" s="20">
        <v>44358</v>
      </c>
      <c r="M947" s="20">
        <v>44358</v>
      </c>
      <c r="N947" s="2" t="s">
        <v>238</v>
      </c>
      <c r="O947" s="2" t="s">
        <v>46</v>
      </c>
      <c r="P947" s="2" t="s">
        <v>47</v>
      </c>
      <c r="Q947" s="2">
        <f t="shared" si="14"/>
        <v>1</v>
      </c>
    </row>
    <row r="948" spans="1:17" x14ac:dyDescent="0.25">
      <c r="A948" s="2" t="s">
        <v>2710</v>
      </c>
      <c r="B948" s="2" t="s">
        <v>2711</v>
      </c>
      <c r="C948" s="2" t="s">
        <v>19</v>
      </c>
      <c r="D948" s="2" t="s">
        <v>154</v>
      </c>
      <c r="E948" s="2" t="s">
        <v>212</v>
      </c>
      <c r="F948" s="2">
        <v>14.952</v>
      </c>
      <c r="G948" s="2" t="s">
        <v>206</v>
      </c>
      <c r="H948" s="2">
        <v>100</v>
      </c>
      <c r="I948" s="2">
        <v>14.952</v>
      </c>
      <c r="J948" s="2" t="s">
        <v>1291</v>
      </c>
      <c r="K948" s="20">
        <v>44722</v>
      </c>
      <c r="L948" s="20">
        <v>44361</v>
      </c>
      <c r="M948" s="20">
        <v>44361</v>
      </c>
      <c r="N948" s="2" t="s">
        <v>248</v>
      </c>
      <c r="O948" s="2" t="s">
        <v>46</v>
      </c>
      <c r="P948" s="2" t="s">
        <v>47</v>
      </c>
      <c r="Q948" s="2">
        <f t="shared" si="14"/>
        <v>1</v>
      </c>
    </row>
    <row r="949" spans="1:17" x14ac:dyDescent="0.25">
      <c r="A949" s="2" t="s">
        <v>2712</v>
      </c>
      <c r="B949" s="2" t="s">
        <v>2713</v>
      </c>
      <c r="C949" s="2" t="s">
        <v>30</v>
      </c>
      <c r="D949" s="2" t="s">
        <v>44</v>
      </c>
      <c r="E949" s="2" t="s">
        <v>212</v>
      </c>
      <c r="F949" s="2">
        <v>105.98</v>
      </c>
      <c r="G949" s="2" t="s">
        <v>206</v>
      </c>
      <c r="H949" s="2">
        <v>100</v>
      </c>
      <c r="I949" s="2">
        <v>105.98</v>
      </c>
      <c r="J949" s="2" t="s">
        <v>1291</v>
      </c>
      <c r="K949" s="20">
        <v>44726</v>
      </c>
      <c r="L949" s="20">
        <v>44363</v>
      </c>
      <c r="M949" s="20">
        <v>44363</v>
      </c>
      <c r="N949" s="2" t="s">
        <v>213</v>
      </c>
      <c r="O949" s="2" t="s">
        <v>33</v>
      </c>
      <c r="P949" s="2" t="s">
        <v>34</v>
      </c>
      <c r="Q949" s="2">
        <f t="shared" si="14"/>
        <v>1</v>
      </c>
    </row>
    <row r="950" spans="1:17" x14ac:dyDescent="0.25">
      <c r="A950" s="2" t="s">
        <v>2715</v>
      </c>
      <c r="B950" s="2" t="s">
        <v>2716</v>
      </c>
      <c r="C950" s="2" t="s">
        <v>30</v>
      </c>
      <c r="D950" s="2" t="s">
        <v>62</v>
      </c>
      <c r="E950" s="2" t="s">
        <v>205</v>
      </c>
      <c r="F950" s="2">
        <v>2.556</v>
      </c>
      <c r="G950" s="2" t="s">
        <v>206</v>
      </c>
      <c r="H950" s="2">
        <v>80</v>
      </c>
      <c r="I950" s="2">
        <v>2.0448</v>
      </c>
      <c r="J950" s="2" t="s">
        <v>1291</v>
      </c>
      <c r="K950" s="20">
        <v>44727</v>
      </c>
      <c r="L950" s="20">
        <v>44366</v>
      </c>
      <c r="M950" s="20">
        <v>44366</v>
      </c>
      <c r="N950" s="2" t="s">
        <v>207</v>
      </c>
      <c r="O950" s="2" t="s">
        <v>54</v>
      </c>
      <c r="P950" s="2" t="s">
        <v>26</v>
      </c>
      <c r="Q950" s="2">
        <f t="shared" si="14"/>
        <v>1</v>
      </c>
    </row>
    <row r="951" spans="1:17" x14ac:dyDescent="0.25">
      <c r="A951" s="2" t="s">
        <v>2718</v>
      </c>
      <c r="B951" s="2" t="s">
        <v>2719</v>
      </c>
      <c r="C951" s="2" t="s">
        <v>19</v>
      </c>
      <c r="D951" s="2" t="s">
        <v>62</v>
      </c>
      <c r="E951" s="2" t="s">
        <v>205</v>
      </c>
      <c r="F951" s="2">
        <v>1119.9839999999999</v>
      </c>
      <c r="G951" s="2" t="s">
        <v>206</v>
      </c>
      <c r="H951" s="2">
        <v>80</v>
      </c>
      <c r="I951" s="2">
        <v>895.98720000000003</v>
      </c>
      <c r="J951" s="2" t="s">
        <v>1291</v>
      </c>
      <c r="K951" s="20">
        <v>44728</v>
      </c>
      <c r="L951" s="20">
        <v>44365</v>
      </c>
      <c r="M951" s="20">
        <v>44365</v>
      </c>
      <c r="N951" s="2" t="s">
        <v>207</v>
      </c>
      <c r="O951" s="2" t="s">
        <v>54</v>
      </c>
      <c r="P951" s="2" t="s">
        <v>26</v>
      </c>
      <c r="Q951" s="2">
        <f t="shared" si="14"/>
        <v>1</v>
      </c>
    </row>
    <row r="952" spans="1:17" x14ac:dyDescent="0.25">
      <c r="A952" s="2" t="s">
        <v>2721</v>
      </c>
      <c r="B952" s="2" t="s">
        <v>2722</v>
      </c>
      <c r="C952" s="2" t="s">
        <v>30</v>
      </c>
      <c r="D952" s="2" t="s">
        <v>164</v>
      </c>
      <c r="E952" s="2" t="s">
        <v>205</v>
      </c>
      <c r="F952" s="2">
        <v>14.62</v>
      </c>
      <c r="G952" s="2" t="s">
        <v>206</v>
      </c>
      <c r="H952" s="2">
        <v>80</v>
      </c>
      <c r="I952" s="2">
        <v>11.696</v>
      </c>
      <c r="J952" s="2" t="s">
        <v>1291</v>
      </c>
      <c r="K952" s="20">
        <v>44732</v>
      </c>
      <c r="L952" s="20">
        <v>44371</v>
      </c>
      <c r="M952" s="20">
        <v>44371</v>
      </c>
      <c r="N952" s="2" t="s">
        <v>213</v>
      </c>
      <c r="O952" s="2" t="s">
        <v>40</v>
      </c>
      <c r="P952" s="2" t="s">
        <v>34</v>
      </c>
      <c r="Q952" s="2">
        <f t="shared" si="14"/>
        <v>1</v>
      </c>
    </row>
    <row r="953" spans="1:17" x14ac:dyDescent="0.25">
      <c r="A953" s="2" t="s">
        <v>2724</v>
      </c>
      <c r="B953" s="2" t="s">
        <v>2725</v>
      </c>
      <c r="C953" s="2" t="s">
        <v>30</v>
      </c>
      <c r="D953" s="2" t="s">
        <v>77</v>
      </c>
      <c r="E953" s="2" t="s">
        <v>205</v>
      </c>
      <c r="F953" s="2">
        <v>91.96</v>
      </c>
      <c r="G953" s="2" t="s">
        <v>206</v>
      </c>
      <c r="H953" s="2">
        <v>80</v>
      </c>
      <c r="I953" s="2">
        <v>73.567999999999998</v>
      </c>
      <c r="J953" s="2" t="s">
        <v>1291</v>
      </c>
      <c r="K953" s="20">
        <v>44735</v>
      </c>
      <c r="L953" s="20">
        <v>44374</v>
      </c>
      <c r="M953" s="20">
        <v>44374</v>
      </c>
      <c r="N953" s="2" t="s">
        <v>238</v>
      </c>
      <c r="O953" s="2" t="s">
        <v>72</v>
      </c>
      <c r="P953" s="2" t="s">
        <v>73</v>
      </c>
      <c r="Q953" s="2">
        <f t="shared" si="14"/>
        <v>1</v>
      </c>
    </row>
    <row r="954" spans="1:17" x14ac:dyDescent="0.25">
      <c r="A954" s="2" t="s">
        <v>2727</v>
      </c>
      <c r="B954" s="2" t="s">
        <v>2728</v>
      </c>
      <c r="C954" s="2" t="s">
        <v>30</v>
      </c>
      <c r="D954" s="2" t="s">
        <v>51</v>
      </c>
      <c r="E954" s="2" t="s">
        <v>212</v>
      </c>
      <c r="F954" s="2">
        <v>6.992</v>
      </c>
      <c r="G954" s="2" t="s">
        <v>206</v>
      </c>
      <c r="H954" s="2">
        <v>100</v>
      </c>
      <c r="I954" s="2">
        <v>6.992</v>
      </c>
      <c r="J954" s="2" t="s">
        <v>1291</v>
      </c>
      <c r="K954" s="20">
        <v>44735</v>
      </c>
      <c r="L954" s="20">
        <v>44375</v>
      </c>
      <c r="M954" s="20">
        <v>44375</v>
      </c>
      <c r="N954" s="2" t="s">
        <v>238</v>
      </c>
      <c r="O954" s="2" t="s">
        <v>146</v>
      </c>
      <c r="P954" s="2" t="s">
        <v>73</v>
      </c>
      <c r="Q954" s="2">
        <f t="shared" si="14"/>
        <v>1</v>
      </c>
    </row>
    <row r="955" spans="1:17" x14ac:dyDescent="0.25">
      <c r="A955" s="2" t="s">
        <v>2730</v>
      </c>
      <c r="B955" s="2" t="s">
        <v>2731</v>
      </c>
      <c r="C955" s="2" t="s">
        <v>30</v>
      </c>
      <c r="D955" s="2" t="s">
        <v>62</v>
      </c>
      <c r="E955" s="2" t="s">
        <v>205</v>
      </c>
      <c r="F955" s="2">
        <v>98.376000000000005</v>
      </c>
      <c r="G955" s="2" t="s">
        <v>206</v>
      </c>
      <c r="H955" s="2">
        <v>80</v>
      </c>
      <c r="I955" s="2">
        <v>78.700800000000015</v>
      </c>
      <c r="J955" s="2" t="s">
        <v>1291</v>
      </c>
      <c r="K955" s="20">
        <v>44739</v>
      </c>
      <c r="L955" s="20">
        <v>44377</v>
      </c>
      <c r="M955" s="20">
        <v>44377</v>
      </c>
      <c r="N955" s="2" t="s">
        <v>207</v>
      </c>
      <c r="O955" s="2" t="s">
        <v>54</v>
      </c>
      <c r="P955" s="2" t="s">
        <v>26</v>
      </c>
      <c r="Q955" s="2">
        <f t="shared" si="14"/>
        <v>1</v>
      </c>
    </row>
    <row r="956" spans="1:17" x14ac:dyDescent="0.25">
      <c r="A956" s="2" t="s">
        <v>2733</v>
      </c>
      <c r="B956" s="2" t="s">
        <v>2734</v>
      </c>
      <c r="C956" s="2" t="s">
        <v>30</v>
      </c>
      <c r="D956" s="2" t="s">
        <v>96</v>
      </c>
      <c r="E956" s="2" t="s">
        <v>212</v>
      </c>
      <c r="F956" s="2">
        <v>157.79400000000001</v>
      </c>
      <c r="G956" s="2" t="s">
        <v>206</v>
      </c>
      <c r="H956" s="2">
        <v>100</v>
      </c>
      <c r="I956" s="2">
        <v>157.79400000000001</v>
      </c>
      <c r="J956" s="2" t="s">
        <v>1291</v>
      </c>
      <c r="K956" s="20">
        <v>44742</v>
      </c>
      <c r="L956" s="20">
        <v>44383</v>
      </c>
      <c r="M956" s="20">
        <v>44383</v>
      </c>
      <c r="N956" s="2" t="s">
        <v>248</v>
      </c>
      <c r="O956" s="2" t="s">
        <v>46</v>
      </c>
      <c r="P956" s="2" t="s">
        <v>47</v>
      </c>
      <c r="Q956" s="2">
        <f t="shared" si="14"/>
        <v>1</v>
      </c>
    </row>
    <row r="957" spans="1:17" x14ac:dyDescent="0.25">
      <c r="A957" s="2" t="s">
        <v>2736</v>
      </c>
      <c r="B957" s="2" t="s">
        <v>2737</v>
      </c>
      <c r="C957" s="2" t="s">
        <v>19</v>
      </c>
      <c r="D957" s="2" t="s">
        <v>51</v>
      </c>
      <c r="E957" s="2" t="s">
        <v>212</v>
      </c>
      <c r="F957" s="2">
        <v>14.6699999999999</v>
      </c>
      <c r="G957" s="2" t="s">
        <v>206</v>
      </c>
      <c r="H957" s="2">
        <v>100</v>
      </c>
      <c r="I957" s="2">
        <v>14.6699999999999</v>
      </c>
      <c r="J957" s="2" t="s">
        <v>1291</v>
      </c>
      <c r="K957" s="20">
        <v>44745</v>
      </c>
      <c r="L957" s="20">
        <v>44381</v>
      </c>
      <c r="M957" s="20">
        <v>44381</v>
      </c>
      <c r="N957" s="2" t="s">
        <v>207</v>
      </c>
      <c r="O957" s="2" t="s">
        <v>46</v>
      </c>
      <c r="P957" s="2" t="s">
        <v>47</v>
      </c>
      <c r="Q957" s="2">
        <f t="shared" si="14"/>
        <v>1</v>
      </c>
    </row>
    <row r="958" spans="1:17" x14ac:dyDescent="0.25">
      <c r="A958" s="2" t="s">
        <v>2738</v>
      </c>
      <c r="B958" s="2" t="s">
        <v>2739</v>
      </c>
      <c r="C958" s="2" t="s">
        <v>30</v>
      </c>
      <c r="D958" s="2" t="s">
        <v>115</v>
      </c>
      <c r="E958" s="2" t="s">
        <v>212</v>
      </c>
      <c r="F958" s="2">
        <v>67.36</v>
      </c>
      <c r="G958" s="2" t="s">
        <v>206</v>
      </c>
      <c r="H958" s="2">
        <v>100</v>
      </c>
      <c r="I958" s="2">
        <v>67.36</v>
      </c>
      <c r="J958" s="2" t="s">
        <v>1291</v>
      </c>
      <c r="K958" s="20">
        <v>44747</v>
      </c>
      <c r="L958" s="20">
        <v>44386</v>
      </c>
      <c r="M958" s="20">
        <v>44386</v>
      </c>
      <c r="N958" s="2" t="s">
        <v>213</v>
      </c>
      <c r="O958" s="2" t="s">
        <v>33</v>
      </c>
      <c r="P958" s="2" t="s">
        <v>34</v>
      </c>
      <c r="Q958" s="2">
        <f t="shared" si="14"/>
        <v>1</v>
      </c>
    </row>
    <row r="959" spans="1:17" x14ac:dyDescent="0.25">
      <c r="A959" s="2" t="s">
        <v>2741</v>
      </c>
      <c r="B959" s="2" t="s">
        <v>2742</v>
      </c>
      <c r="C959" s="2" t="s">
        <v>30</v>
      </c>
      <c r="D959" s="2" t="s">
        <v>105</v>
      </c>
      <c r="E959" s="2" t="s">
        <v>212</v>
      </c>
      <c r="F959" s="2">
        <v>1439.9680000000001</v>
      </c>
      <c r="G959" s="2" t="s">
        <v>206</v>
      </c>
      <c r="H959" s="2">
        <v>100</v>
      </c>
      <c r="I959" s="2">
        <v>1439.9680000000001</v>
      </c>
      <c r="J959" s="2" t="s">
        <v>1291</v>
      </c>
      <c r="K959" s="20">
        <v>44748</v>
      </c>
      <c r="L959" s="20">
        <v>44388</v>
      </c>
      <c r="M959" s="20">
        <v>44388</v>
      </c>
      <c r="N959" s="2" t="s">
        <v>207</v>
      </c>
      <c r="O959" s="2" t="s">
        <v>72</v>
      </c>
      <c r="P959" s="2" t="s">
        <v>73</v>
      </c>
      <c r="Q959" s="2">
        <f t="shared" si="14"/>
        <v>1</v>
      </c>
    </row>
    <row r="960" spans="1:17" x14ac:dyDescent="0.25">
      <c r="A960" s="2" t="s">
        <v>2744</v>
      </c>
      <c r="B960" s="2" t="s">
        <v>2745</v>
      </c>
      <c r="C960" s="2" t="s">
        <v>19</v>
      </c>
      <c r="D960" s="2" t="s">
        <v>20</v>
      </c>
      <c r="E960" s="2" t="s">
        <v>205</v>
      </c>
      <c r="F960" s="2">
        <v>75.179999999999893</v>
      </c>
      <c r="G960" s="2" t="s">
        <v>206</v>
      </c>
      <c r="H960" s="2">
        <v>80</v>
      </c>
      <c r="I960" s="2">
        <v>60.14399999999992</v>
      </c>
      <c r="J960" s="2" t="s">
        <v>1291</v>
      </c>
      <c r="K960" s="20">
        <v>44752</v>
      </c>
      <c r="L960" s="20">
        <v>44392</v>
      </c>
      <c r="M960" s="20">
        <v>44392</v>
      </c>
      <c r="N960" s="2" t="s">
        <v>248</v>
      </c>
      <c r="O960" s="2" t="s">
        <v>146</v>
      </c>
      <c r="P960" s="2" t="s">
        <v>73</v>
      </c>
      <c r="Q960" s="2">
        <f t="shared" si="14"/>
        <v>1</v>
      </c>
    </row>
    <row r="961" spans="1:17" x14ac:dyDescent="0.25">
      <c r="A961" s="2" t="s">
        <v>2747</v>
      </c>
      <c r="B961" s="2" t="s">
        <v>2748</v>
      </c>
      <c r="C961" s="2" t="s">
        <v>19</v>
      </c>
      <c r="D961" s="2" t="s">
        <v>62</v>
      </c>
      <c r="E961" s="2" t="s">
        <v>205</v>
      </c>
      <c r="F961" s="2">
        <v>99.6</v>
      </c>
      <c r="G961" s="2" t="s">
        <v>206</v>
      </c>
      <c r="H961" s="2">
        <v>80</v>
      </c>
      <c r="I961" s="2">
        <v>79.680000000000007</v>
      </c>
      <c r="J961" s="2" t="s">
        <v>1291</v>
      </c>
      <c r="K961" s="20">
        <v>44752</v>
      </c>
      <c r="L961" s="20">
        <v>44392</v>
      </c>
      <c r="M961" s="20">
        <v>44392</v>
      </c>
      <c r="N961" s="2" t="s">
        <v>248</v>
      </c>
      <c r="O961" s="2" t="s">
        <v>97</v>
      </c>
      <c r="P961" s="2" t="s">
        <v>68</v>
      </c>
      <c r="Q961" s="2">
        <f t="shared" si="14"/>
        <v>1</v>
      </c>
    </row>
    <row r="962" spans="1:17" x14ac:dyDescent="0.25">
      <c r="A962" s="2" t="s">
        <v>2750</v>
      </c>
      <c r="B962" s="2" t="s">
        <v>2751</v>
      </c>
      <c r="C962" s="2" t="s">
        <v>30</v>
      </c>
      <c r="D962" s="2" t="s">
        <v>154</v>
      </c>
      <c r="E962" s="2" t="s">
        <v>205</v>
      </c>
      <c r="F962" s="2">
        <v>21.3</v>
      </c>
      <c r="G962" s="2" t="s">
        <v>206</v>
      </c>
      <c r="H962" s="2">
        <v>80</v>
      </c>
      <c r="I962" s="2">
        <v>17.040000000000003</v>
      </c>
      <c r="J962" s="2" t="s">
        <v>1291</v>
      </c>
      <c r="K962" s="20">
        <v>44753</v>
      </c>
      <c r="L962" s="20">
        <v>44388</v>
      </c>
      <c r="M962" s="20">
        <v>44388</v>
      </c>
      <c r="N962" s="2" t="s">
        <v>238</v>
      </c>
      <c r="O962" s="2" t="s">
        <v>54</v>
      </c>
      <c r="P962" s="2" t="s">
        <v>26</v>
      </c>
      <c r="Q962" s="2">
        <f t="shared" ref="Q962:Q1025" si="15">COUNTIF($A$2:$A$1778,A962)</f>
        <v>1</v>
      </c>
    </row>
    <row r="963" spans="1:17" x14ac:dyDescent="0.25">
      <c r="A963" s="2" t="s">
        <v>2752</v>
      </c>
      <c r="B963" s="2" t="s">
        <v>2753</v>
      </c>
      <c r="C963" s="2" t="s">
        <v>30</v>
      </c>
      <c r="D963" s="2" t="s">
        <v>58</v>
      </c>
      <c r="E963" s="2" t="s">
        <v>205</v>
      </c>
      <c r="F963" s="2">
        <v>831.93600000000004</v>
      </c>
      <c r="G963" s="2" t="s">
        <v>206</v>
      </c>
      <c r="H963" s="2">
        <v>80</v>
      </c>
      <c r="I963" s="2">
        <v>665.54880000000003</v>
      </c>
      <c r="J963" s="2" t="s">
        <v>1291</v>
      </c>
      <c r="K963" s="20">
        <v>44756</v>
      </c>
      <c r="L963" s="20">
        <v>44393</v>
      </c>
      <c r="M963" s="20">
        <v>44393</v>
      </c>
      <c r="N963" s="2" t="s">
        <v>220</v>
      </c>
      <c r="O963" s="2" t="s">
        <v>54</v>
      </c>
      <c r="P963" s="2" t="s">
        <v>26</v>
      </c>
      <c r="Q963" s="2">
        <f t="shared" si="15"/>
        <v>1</v>
      </c>
    </row>
    <row r="964" spans="1:17" x14ac:dyDescent="0.25">
      <c r="A964" s="2" t="s">
        <v>2754</v>
      </c>
      <c r="B964" s="2" t="s">
        <v>2755</v>
      </c>
      <c r="C964" s="2" t="s">
        <v>19</v>
      </c>
      <c r="D964" s="2" t="s">
        <v>150</v>
      </c>
      <c r="E964" s="2" t="s">
        <v>205</v>
      </c>
      <c r="F964" s="2">
        <v>209.5</v>
      </c>
      <c r="G964" s="2" t="s">
        <v>206</v>
      </c>
      <c r="H964" s="2">
        <v>80</v>
      </c>
      <c r="I964" s="2">
        <v>167.60000000000002</v>
      </c>
      <c r="J964" s="2" t="s">
        <v>1291</v>
      </c>
      <c r="K964" s="20">
        <v>44761</v>
      </c>
      <c r="L964" s="20">
        <v>44400</v>
      </c>
      <c r="M964" s="20">
        <v>44400</v>
      </c>
      <c r="N964" s="2" t="s">
        <v>220</v>
      </c>
      <c r="O964" s="2" t="s">
        <v>82</v>
      </c>
      <c r="P964" s="2" t="s">
        <v>47</v>
      </c>
      <c r="Q964" s="2">
        <f t="shared" si="15"/>
        <v>1</v>
      </c>
    </row>
    <row r="965" spans="1:17" x14ac:dyDescent="0.25">
      <c r="A965" s="2" t="s">
        <v>2757</v>
      </c>
      <c r="B965" s="2" t="s">
        <v>2758</v>
      </c>
      <c r="C965" s="2" t="s">
        <v>19</v>
      </c>
      <c r="D965" s="2" t="s">
        <v>230</v>
      </c>
      <c r="E965" s="2" t="s">
        <v>212</v>
      </c>
      <c r="F965" s="2">
        <v>37.32</v>
      </c>
      <c r="G965" s="2" t="s">
        <v>206</v>
      </c>
      <c r="H965" s="2">
        <v>100</v>
      </c>
      <c r="I965" s="2">
        <v>37.32</v>
      </c>
      <c r="J965" s="2" t="s">
        <v>1291</v>
      </c>
      <c r="K965" s="20">
        <v>44768</v>
      </c>
      <c r="L965" s="20">
        <v>44407</v>
      </c>
      <c r="M965" s="20">
        <v>44407</v>
      </c>
      <c r="N965" s="2" t="s">
        <v>238</v>
      </c>
      <c r="O965" s="2" t="s">
        <v>54</v>
      </c>
      <c r="P965" s="2" t="s">
        <v>26</v>
      </c>
      <c r="Q965" s="2">
        <f t="shared" si="15"/>
        <v>1</v>
      </c>
    </row>
    <row r="966" spans="1:17" x14ac:dyDescent="0.25">
      <c r="A966" s="2" t="s">
        <v>2759</v>
      </c>
      <c r="B966" s="2" t="s">
        <v>2760</v>
      </c>
      <c r="C966" s="2" t="s">
        <v>30</v>
      </c>
      <c r="D966" s="2" t="s">
        <v>115</v>
      </c>
      <c r="E966" s="2" t="s">
        <v>205</v>
      </c>
      <c r="F966" s="2">
        <v>45.99</v>
      </c>
      <c r="G966" s="2" t="s">
        <v>206</v>
      </c>
      <c r="H966" s="2">
        <v>80</v>
      </c>
      <c r="I966" s="2">
        <v>36.792000000000002</v>
      </c>
      <c r="J966" s="2" t="s">
        <v>1291</v>
      </c>
      <c r="K966" s="20">
        <v>44781</v>
      </c>
      <c r="L966" s="20">
        <v>44418</v>
      </c>
      <c r="M966" s="20">
        <v>44418</v>
      </c>
      <c r="N966" s="2" t="s">
        <v>213</v>
      </c>
      <c r="O966" s="2" t="s">
        <v>46</v>
      </c>
      <c r="P966" s="2" t="s">
        <v>47</v>
      </c>
      <c r="Q966" s="2">
        <f t="shared" si="15"/>
        <v>1</v>
      </c>
    </row>
    <row r="967" spans="1:17" x14ac:dyDescent="0.25">
      <c r="A967" s="2" t="s">
        <v>2762</v>
      </c>
      <c r="B967" s="2" t="s">
        <v>2763</v>
      </c>
      <c r="C967" s="2" t="s">
        <v>19</v>
      </c>
      <c r="D967" s="2" t="s">
        <v>139</v>
      </c>
      <c r="E967" s="2" t="s">
        <v>212</v>
      </c>
      <c r="F967" s="2">
        <v>151.96</v>
      </c>
      <c r="G967" s="2" t="s">
        <v>206</v>
      </c>
      <c r="H967" s="2">
        <v>100</v>
      </c>
      <c r="I967" s="2">
        <v>151.96</v>
      </c>
      <c r="J967" s="2" t="s">
        <v>1291</v>
      </c>
      <c r="K967" s="20">
        <v>44784</v>
      </c>
      <c r="L967" s="20">
        <v>44423</v>
      </c>
      <c r="M967" s="20">
        <v>44423</v>
      </c>
      <c r="N967" s="2" t="s">
        <v>234</v>
      </c>
      <c r="O967" s="2" t="s">
        <v>40</v>
      </c>
      <c r="P967" s="2" t="s">
        <v>34</v>
      </c>
      <c r="Q967" s="2">
        <f t="shared" si="15"/>
        <v>1</v>
      </c>
    </row>
    <row r="968" spans="1:17" x14ac:dyDescent="0.25">
      <c r="A968" s="2" t="s">
        <v>2765</v>
      </c>
      <c r="B968" s="2" t="s">
        <v>2766</v>
      </c>
      <c r="C968" s="2" t="s">
        <v>30</v>
      </c>
      <c r="D968" s="2" t="s">
        <v>230</v>
      </c>
      <c r="E968" s="2" t="s">
        <v>212</v>
      </c>
      <c r="F968" s="2">
        <v>41.9</v>
      </c>
      <c r="G968" s="2" t="s">
        <v>206</v>
      </c>
      <c r="H968" s="2">
        <v>100</v>
      </c>
      <c r="I968" s="2">
        <v>41.9</v>
      </c>
      <c r="J968" s="2" t="s">
        <v>1291</v>
      </c>
      <c r="K968" s="20">
        <v>44785</v>
      </c>
      <c r="L968" s="20">
        <v>44425</v>
      </c>
      <c r="M968" s="20">
        <v>44425</v>
      </c>
      <c r="N968" s="2" t="s">
        <v>213</v>
      </c>
      <c r="O968" s="2" t="s">
        <v>33</v>
      </c>
      <c r="P968" s="2" t="s">
        <v>34</v>
      </c>
      <c r="Q968" s="2">
        <f t="shared" si="15"/>
        <v>1</v>
      </c>
    </row>
    <row r="969" spans="1:17" x14ac:dyDescent="0.25">
      <c r="A969" s="2" t="s">
        <v>2767</v>
      </c>
      <c r="B969" s="2" t="s">
        <v>2768</v>
      </c>
      <c r="C969" s="2" t="s">
        <v>19</v>
      </c>
      <c r="D969" s="2" t="s">
        <v>20</v>
      </c>
      <c r="E969" s="2" t="s">
        <v>212</v>
      </c>
      <c r="F969" s="2">
        <v>8.016</v>
      </c>
      <c r="G969" s="2" t="s">
        <v>206</v>
      </c>
      <c r="H969" s="2">
        <v>100</v>
      </c>
      <c r="I969" s="2">
        <v>8.016</v>
      </c>
      <c r="J969" s="2" t="s">
        <v>1291</v>
      </c>
      <c r="K969" s="20">
        <v>44787</v>
      </c>
      <c r="L969" s="20">
        <v>44424</v>
      </c>
      <c r="M969" s="20">
        <v>44424</v>
      </c>
      <c r="N969" s="2" t="s">
        <v>220</v>
      </c>
      <c r="O969" s="2" t="s">
        <v>33</v>
      </c>
      <c r="P969" s="2" t="s">
        <v>34</v>
      </c>
      <c r="Q969" s="2">
        <f t="shared" si="15"/>
        <v>1</v>
      </c>
    </row>
    <row r="970" spans="1:17" x14ac:dyDescent="0.25">
      <c r="A970" s="2" t="s">
        <v>2769</v>
      </c>
      <c r="B970" s="2" t="s">
        <v>2770</v>
      </c>
      <c r="C970" s="2" t="s">
        <v>19</v>
      </c>
      <c r="D970" s="2" t="s">
        <v>345</v>
      </c>
      <c r="E970" s="2" t="s">
        <v>212</v>
      </c>
      <c r="F970" s="2">
        <v>56.3</v>
      </c>
      <c r="G970" s="2" t="s">
        <v>206</v>
      </c>
      <c r="H970" s="2">
        <v>100</v>
      </c>
      <c r="I970" s="2">
        <v>56.3</v>
      </c>
      <c r="J970" s="2" t="s">
        <v>1291</v>
      </c>
      <c r="K970" s="20">
        <v>44787</v>
      </c>
      <c r="L970" s="20">
        <v>44426</v>
      </c>
      <c r="M970" s="20">
        <v>44426</v>
      </c>
      <c r="N970" s="2" t="s">
        <v>238</v>
      </c>
      <c r="O970" s="2" t="s">
        <v>40</v>
      </c>
      <c r="P970" s="2" t="s">
        <v>34</v>
      </c>
      <c r="Q970" s="2">
        <f t="shared" si="15"/>
        <v>1</v>
      </c>
    </row>
    <row r="971" spans="1:17" x14ac:dyDescent="0.25">
      <c r="A971" s="2" t="s">
        <v>2771</v>
      </c>
      <c r="B971" s="2" t="s">
        <v>2772</v>
      </c>
      <c r="C971" s="2" t="s">
        <v>19</v>
      </c>
      <c r="D971" s="2" t="s">
        <v>139</v>
      </c>
      <c r="E971" s="2" t="s">
        <v>205</v>
      </c>
      <c r="F971" s="2">
        <v>40.256</v>
      </c>
      <c r="G971" s="2" t="s">
        <v>206</v>
      </c>
      <c r="H971" s="2">
        <v>80</v>
      </c>
      <c r="I971" s="2">
        <v>32.204799999999999</v>
      </c>
      <c r="J971" s="2" t="s">
        <v>1291</v>
      </c>
      <c r="K971" s="20">
        <v>44798</v>
      </c>
      <c r="L971" s="20">
        <v>44435</v>
      </c>
      <c r="M971" s="20">
        <v>44435</v>
      </c>
      <c r="N971" s="2" t="s">
        <v>220</v>
      </c>
      <c r="O971" s="2" t="s">
        <v>97</v>
      </c>
      <c r="P971" s="2" t="s">
        <v>68</v>
      </c>
      <c r="Q971" s="2">
        <f t="shared" si="15"/>
        <v>1</v>
      </c>
    </row>
    <row r="972" spans="1:17" x14ac:dyDescent="0.25">
      <c r="A972" s="2" t="s">
        <v>2773</v>
      </c>
      <c r="B972" s="2" t="s">
        <v>2774</v>
      </c>
      <c r="C972" s="2" t="s">
        <v>30</v>
      </c>
      <c r="D972" s="2" t="s">
        <v>154</v>
      </c>
      <c r="E972" s="2" t="s">
        <v>205</v>
      </c>
      <c r="F972" s="2">
        <v>9.1560000000000006</v>
      </c>
      <c r="G972" s="2" t="s">
        <v>206</v>
      </c>
      <c r="H972" s="2">
        <v>80</v>
      </c>
      <c r="I972" s="2">
        <v>7.3248000000000006</v>
      </c>
      <c r="J972" s="2" t="s">
        <v>1291</v>
      </c>
      <c r="K972" s="20">
        <v>44801</v>
      </c>
      <c r="L972" s="20">
        <v>44440</v>
      </c>
      <c r="M972" s="20">
        <v>44440</v>
      </c>
      <c r="N972" s="2" t="s">
        <v>238</v>
      </c>
      <c r="O972" s="2" t="s">
        <v>97</v>
      </c>
      <c r="P972" s="2" t="s">
        <v>68</v>
      </c>
      <c r="Q972" s="2">
        <f t="shared" si="15"/>
        <v>1</v>
      </c>
    </row>
    <row r="973" spans="1:17" x14ac:dyDescent="0.25">
      <c r="A973" s="2" t="s">
        <v>2776</v>
      </c>
      <c r="B973" s="2" t="s">
        <v>2777</v>
      </c>
      <c r="C973" s="2" t="s">
        <v>19</v>
      </c>
      <c r="D973" s="2" t="s">
        <v>62</v>
      </c>
      <c r="E973" s="2" t="s">
        <v>212</v>
      </c>
      <c r="F973" s="2">
        <v>122.94</v>
      </c>
      <c r="G973" s="2" t="s">
        <v>206</v>
      </c>
      <c r="H973" s="2">
        <v>100</v>
      </c>
      <c r="I973" s="2">
        <v>122.94</v>
      </c>
      <c r="J973" s="2" t="s">
        <v>1291</v>
      </c>
      <c r="K973" s="20">
        <v>44809</v>
      </c>
      <c r="L973" s="20">
        <v>44449</v>
      </c>
      <c r="M973" s="20">
        <v>44449</v>
      </c>
      <c r="N973" s="2" t="s">
        <v>248</v>
      </c>
      <c r="O973" s="2" t="s">
        <v>25</v>
      </c>
      <c r="P973" s="2" t="s">
        <v>26</v>
      </c>
      <c r="Q973" s="2">
        <f t="shared" si="15"/>
        <v>1</v>
      </c>
    </row>
    <row r="974" spans="1:17" x14ac:dyDescent="0.25">
      <c r="A974" s="2" t="s">
        <v>2778</v>
      </c>
      <c r="B974" s="2" t="s">
        <v>2779</v>
      </c>
      <c r="C974" s="2" t="s">
        <v>30</v>
      </c>
      <c r="D974" s="2" t="s">
        <v>115</v>
      </c>
      <c r="E974" s="2" t="s">
        <v>205</v>
      </c>
      <c r="F974" s="2">
        <v>153.584</v>
      </c>
      <c r="G974" s="2" t="s">
        <v>206</v>
      </c>
      <c r="H974" s="2">
        <v>80</v>
      </c>
      <c r="I974" s="2">
        <v>122.86720000000001</v>
      </c>
      <c r="J974" s="2" t="s">
        <v>1291</v>
      </c>
      <c r="K974" s="20">
        <v>44812</v>
      </c>
      <c r="L974" s="20">
        <v>44452</v>
      </c>
      <c r="M974" s="20">
        <v>44452</v>
      </c>
      <c r="N974" s="2" t="s">
        <v>207</v>
      </c>
      <c r="O974" s="2" t="s">
        <v>40</v>
      </c>
      <c r="P974" s="2" t="s">
        <v>34</v>
      </c>
      <c r="Q974" s="2">
        <f t="shared" si="15"/>
        <v>1</v>
      </c>
    </row>
    <row r="975" spans="1:17" x14ac:dyDescent="0.25">
      <c r="A975" s="2" t="s">
        <v>2781</v>
      </c>
      <c r="B975" s="2" t="s">
        <v>2782</v>
      </c>
      <c r="C975" s="2" t="s">
        <v>30</v>
      </c>
      <c r="D975" s="2" t="s">
        <v>119</v>
      </c>
      <c r="E975" s="2" t="s">
        <v>205</v>
      </c>
      <c r="F975" s="2">
        <v>1.3619999999999901</v>
      </c>
      <c r="G975" s="2" t="s">
        <v>206</v>
      </c>
      <c r="H975" s="2">
        <v>80</v>
      </c>
      <c r="I975" s="2">
        <v>1.0895999999999921</v>
      </c>
      <c r="J975" s="2" t="s">
        <v>1291</v>
      </c>
      <c r="K975" s="20">
        <v>44815</v>
      </c>
      <c r="L975" s="20">
        <v>44454</v>
      </c>
      <c r="M975" s="20">
        <v>44454</v>
      </c>
      <c r="N975" s="2" t="s">
        <v>213</v>
      </c>
      <c r="O975" s="2" t="s">
        <v>67</v>
      </c>
      <c r="P975" s="2" t="s">
        <v>68</v>
      </c>
      <c r="Q975" s="2">
        <f t="shared" si="15"/>
        <v>1</v>
      </c>
    </row>
    <row r="976" spans="1:17" x14ac:dyDescent="0.25">
      <c r="A976" s="2" t="s">
        <v>2783</v>
      </c>
      <c r="B976" s="2" t="s">
        <v>2784</v>
      </c>
      <c r="C976" s="2" t="s">
        <v>30</v>
      </c>
      <c r="D976" s="2" t="s">
        <v>126</v>
      </c>
      <c r="E976" s="2" t="s">
        <v>205</v>
      </c>
      <c r="F976" s="2">
        <v>11.96</v>
      </c>
      <c r="G976" s="2" t="s">
        <v>206</v>
      </c>
      <c r="H976" s="2">
        <v>80</v>
      </c>
      <c r="I976" s="2">
        <v>9.5680000000000014</v>
      </c>
      <c r="J976" s="2" t="s">
        <v>1291</v>
      </c>
      <c r="K976" s="20">
        <v>44818</v>
      </c>
      <c r="L976" s="20">
        <v>44457</v>
      </c>
      <c r="M976" s="20">
        <v>44457</v>
      </c>
      <c r="N976" s="2" t="s">
        <v>213</v>
      </c>
      <c r="O976" s="2" t="s">
        <v>40</v>
      </c>
      <c r="P976" s="2" t="s">
        <v>34</v>
      </c>
      <c r="Q976" s="2">
        <f t="shared" si="15"/>
        <v>1</v>
      </c>
    </row>
    <row r="977" spans="1:17" x14ac:dyDescent="0.25">
      <c r="A977" s="2" t="s">
        <v>2786</v>
      </c>
      <c r="B977" s="2" t="s">
        <v>2787</v>
      </c>
      <c r="C977" s="2" t="s">
        <v>30</v>
      </c>
      <c r="D977" s="2" t="s">
        <v>211</v>
      </c>
      <c r="E977" s="2" t="s">
        <v>205</v>
      </c>
      <c r="F977" s="2">
        <v>50.8</v>
      </c>
      <c r="G977" s="2" t="s">
        <v>206</v>
      </c>
      <c r="H977" s="2">
        <v>80</v>
      </c>
      <c r="I977" s="2">
        <v>40.64</v>
      </c>
      <c r="J977" s="2" t="s">
        <v>1291</v>
      </c>
      <c r="K977" s="20">
        <v>44819</v>
      </c>
      <c r="L977" s="20">
        <v>44458</v>
      </c>
      <c r="M977" s="20">
        <v>44458</v>
      </c>
      <c r="N977" s="2" t="s">
        <v>220</v>
      </c>
      <c r="O977" s="2" t="s">
        <v>146</v>
      </c>
      <c r="P977" s="2" t="s">
        <v>73</v>
      </c>
      <c r="Q977" s="2">
        <f t="shared" si="15"/>
        <v>1</v>
      </c>
    </row>
    <row r="978" spans="1:17" x14ac:dyDescent="0.25">
      <c r="A978" s="2" t="s">
        <v>2788</v>
      </c>
      <c r="B978" s="2" t="s">
        <v>2789</v>
      </c>
      <c r="C978" s="2" t="s">
        <v>19</v>
      </c>
      <c r="D978" s="2" t="s">
        <v>370</v>
      </c>
      <c r="E978" s="2" t="s">
        <v>205</v>
      </c>
      <c r="F978" s="2">
        <v>3.762</v>
      </c>
      <c r="G978" s="2" t="s">
        <v>206</v>
      </c>
      <c r="H978" s="2">
        <v>80</v>
      </c>
      <c r="I978" s="2">
        <v>3.0096000000000003</v>
      </c>
      <c r="J978" s="2" t="s">
        <v>1291</v>
      </c>
      <c r="K978" s="20">
        <v>44821</v>
      </c>
      <c r="L978" s="20">
        <v>44461</v>
      </c>
      <c r="M978" s="20">
        <v>44461</v>
      </c>
      <c r="N978" s="2" t="s">
        <v>213</v>
      </c>
      <c r="O978" s="2" t="s">
        <v>46</v>
      </c>
      <c r="P978" s="2" t="s">
        <v>47</v>
      </c>
      <c r="Q978" s="2">
        <f t="shared" si="15"/>
        <v>1</v>
      </c>
    </row>
    <row r="979" spans="1:17" x14ac:dyDescent="0.25">
      <c r="A979" s="2" t="s">
        <v>2791</v>
      </c>
      <c r="B979" s="2" t="s">
        <v>2792</v>
      </c>
      <c r="C979" s="2" t="s">
        <v>30</v>
      </c>
      <c r="D979" s="2" t="s">
        <v>115</v>
      </c>
      <c r="E979" s="2" t="s">
        <v>212</v>
      </c>
      <c r="F979" s="2">
        <v>12.827999999999999</v>
      </c>
      <c r="G979" s="2" t="s">
        <v>206</v>
      </c>
      <c r="H979" s="2">
        <v>100</v>
      </c>
      <c r="I979" s="2">
        <v>12.827999999999999</v>
      </c>
      <c r="J979" s="2" t="s">
        <v>1291</v>
      </c>
      <c r="K979" s="20">
        <v>44822</v>
      </c>
      <c r="L979" s="20">
        <v>44463</v>
      </c>
      <c r="M979" s="20">
        <v>44463</v>
      </c>
      <c r="N979" s="2" t="s">
        <v>234</v>
      </c>
      <c r="O979" s="2" t="s">
        <v>46</v>
      </c>
      <c r="P979" s="2" t="s">
        <v>47</v>
      </c>
      <c r="Q979" s="2">
        <f t="shared" si="15"/>
        <v>1</v>
      </c>
    </row>
    <row r="980" spans="1:17" x14ac:dyDescent="0.25">
      <c r="A980" s="2" t="s">
        <v>2794</v>
      </c>
      <c r="B980" s="2" t="s">
        <v>2795</v>
      </c>
      <c r="C980" s="2" t="s">
        <v>30</v>
      </c>
      <c r="D980" s="2" t="s">
        <v>105</v>
      </c>
      <c r="E980" s="2" t="s">
        <v>205</v>
      </c>
      <c r="F980" s="2">
        <v>16.52</v>
      </c>
      <c r="G980" s="2" t="s">
        <v>206</v>
      </c>
      <c r="H980" s="2">
        <v>80</v>
      </c>
      <c r="I980" s="2">
        <v>13.216000000000001</v>
      </c>
      <c r="J980" s="2" t="s">
        <v>1291</v>
      </c>
      <c r="K980" s="20">
        <v>44824</v>
      </c>
      <c r="L980" s="20">
        <v>44464</v>
      </c>
      <c r="M980" s="20">
        <v>44464</v>
      </c>
      <c r="N980" s="2" t="s">
        <v>238</v>
      </c>
      <c r="O980" s="2" t="s">
        <v>82</v>
      </c>
      <c r="P980" s="2" t="s">
        <v>47</v>
      </c>
      <c r="Q980" s="2">
        <f t="shared" si="15"/>
        <v>1</v>
      </c>
    </row>
    <row r="981" spans="1:17" x14ac:dyDescent="0.25">
      <c r="A981" s="2" t="s">
        <v>2797</v>
      </c>
      <c r="B981" s="2" t="s">
        <v>2798</v>
      </c>
      <c r="C981" s="2" t="s">
        <v>30</v>
      </c>
      <c r="D981" s="2" t="s">
        <v>51</v>
      </c>
      <c r="E981" s="2" t="s">
        <v>205</v>
      </c>
      <c r="F981" s="2">
        <v>892.35</v>
      </c>
      <c r="G981" s="2" t="s">
        <v>206</v>
      </c>
      <c r="H981" s="2">
        <v>80</v>
      </c>
      <c r="I981" s="2">
        <v>713.88000000000011</v>
      </c>
      <c r="J981" s="2" t="s">
        <v>1291</v>
      </c>
      <c r="K981" s="20">
        <v>44825</v>
      </c>
      <c r="L981" s="20">
        <v>44462</v>
      </c>
      <c r="M981" s="20">
        <v>44462</v>
      </c>
      <c r="N981" s="2" t="s">
        <v>207</v>
      </c>
      <c r="O981" s="2" t="s">
        <v>46</v>
      </c>
      <c r="P981" s="2" t="s">
        <v>47</v>
      </c>
      <c r="Q981" s="2">
        <f t="shared" si="15"/>
        <v>1</v>
      </c>
    </row>
    <row r="982" spans="1:17" x14ac:dyDescent="0.25">
      <c r="A982" s="2" t="s">
        <v>2799</v>
      </c>
      <c r="B982" s="2" t="s">
        <v>2800</v>
      </c>
      <c r="C982" s="2" t="s">
        <v>30</v>
      </c>
      <c r="D982" s="2" t="s">
        <v>44</v>
      </c>
      <c r="E982" s="2" t="s">
        <v>205</v>
      </c>
      <c r="F982" s="2">
        <v>4.3600000000000003</v>
      </c>
      <c r="G982" s="2" t="s">
        <v>206</v>
      </c>
      <c r="H982" s="2">
        <v>80</v>
      </c>
      <c r="I982" s="2">
        <v>3.4880000000000004</v>
      </c>
      <c r="J982" s="2" t="s">
        <v>1291</v>
      </c>
      <c r="K982" s="20">
        <v>44827</v>
      </c>
      <c r="L982" s="20">
        <v>44466</v>
      </c>
      <c r="M982" s="20">
        <v>44466</v>
      </c>
      <c r="N982" s="2" t="s">
        <v>220</v>
      </c>
      <c r="O982" s="2" t="s">
        <v>67</v>
      </c>
      <c r="P982" s="2" t="s">
        <v>68</v>
      </c>
      <c r="Q982" s="2">
        <f t="shared" si="15"/>
        <v>1</v>
      </c>
    </row>
    <row r="983" spans="1:17" x14ac:dyDescent="0.25">
      <c r="A983" s="2" t="s">
        <v>2802</v>
      </c>
      <c r="B983" s="2" t="s">
        <v>2803</v>
      </c>
      <c r="C983" s="2" t="s">
        <v>19</v>
      </c>
      <c r="D983" s="2" t="s">
        <v>31</v>
      </c>
      <c r="E983" s="2" t="s">
        <v>212</v>
      </c>
      <c r="F983" s="2">
        <v>47.515999999999899</v>
      </c>
      <c r="G983" s="2" t="s">
        <v>206</v>
      </c>
      <c r="H983" s="2">
        <v>100</v>
      </c>
      <c r="I983" s="2">
        <v>47.515999999999899</v>
      </c>
      <c r="J983" s="2" t="s">
        <v>1291</v>
      </c>
      <c r="K983" s="20">
        <v>44829</v>
      </c>
      <c r="L983" s="20">
        <v>44467</v>
      </c>
      <c r="M983" s="20">
        <v>44467</v>
      </c>
      <c r="N983" s="2" t="s">
        <v>234</v>
      </c>
      <c r="O983" s="2" t="s">
        <v>54</v>
      </c>
      <c r="P983" s="2" t="s">
        <v>26</v>
      </c>
      <c r="Q983" s="2">
        <f t="shared" si="15"/>
        <v>1</v>
      </c>
    </row>
    <row r="984" spans="1:17" x14ac:dyDescent="0.25">
      <c r="A984" s="2" t="s">
        <v>2804</v>
      </c>
      <c r="B984" s="2" t="s">
        <v>2805</v>
      </c>
      <c r="C984" s="2" t="s">
        <v>19</v>
      </c>
      <c r="D984" s="2" t="s">
        <v>20</v>
      </c>
      <c r="E984" s="2" t="s">
        <v>205</v>
      </c>
      <c r="F984" s="2">
        <v>481.17599999999999</v>
      </c>
      <c r="G984" s="2" t="s">
        <v>206</v>
      </c>
      <c r="H984" s="2">
        <v>80</v>
      </c>
      <c r="I984" s="2">
        <v>384.94080000000002</v>
      </c>
      <c r="J984" s="2" t="s">
        <v>1291</v>
      </c>
      <c r="K984" s="20">
        <v>44830</v>
      </c>
      <c r="L984" s="20">
        <v>44470</v>
      </c>
      <c r="M984" s="20">
        <v>44470</v>
      </c>
      <c r="N984" s="2" t="s">
        <v>238</v>
      </c>
      <c r="O984" s="2" t="s">
        <v>146</v>
      </c>
      <c r="P984" s="2" t="s">
        <v>73</v>
      </c>
      <c r="Q984" s="2">
        <f t="shared" si="15"/>
        <v>1</v>
      </c>
    </row>
    <row r="985" spans="1:17" x14ac:dyDescent="0.25">
      <c r="A985" s="2" t="s">
        <v>2807</v>
      </c>
      <c r="B985" s="2" t="s">
        <v>2808</v>
      </c>
      <c r="C985" s="2" t="s">
        <v>19</v>
      </c>
      <c r="D985" s="2" t="s">
        <v>31</v>
      </c>
      <c r="E985" s="2" t="s">
        <v>205</v>
      </c>
      <c r="F985" s="2">
        <v>6.0960000000000001</v>
      </c>
      <c r="G985" s="2" t="s">
        <v>206</v>
      </c>
      <c r="H985" s="2">
        <v>80</v>
      </c>
      <c r="I985" s="2">
        <v>4.8768000000000002</v>
      </c>
      <c r="J985" s="2" t="s">
        <v>1291</v>
      </c>
      <c r="K985" s="20">
        <v>44830</v>
      </c>
      <c r="L985" s="20">
        <v>44467</v>
      </c>
      <c r="M985" s="20">
        <v>44467</v>
      </c>
      <c r="N985" s="2" t="s">
        <v>238</v>
      </c>
      <c r="O985" s="2" t="s">
        <v>40</v>
      </c>
      <c r="P985" s="2" t="s">
        <v>34</v>
      </c>
      <c r="Q985" s="2">
        <f t="shared" si="15"/>
        <v>1</v>
      </c>
    </row>
    <row r="986" spans="1:17" x14ac:dyDescent="0.25">
      <c r="A986" s="2" t="s">
        <v>2810</v>
      </c>
      <c r="B986" s="2" t="s">
        <v>2811</v>
      </c>
      <c r="C986" s="2" t="s">
        <v>19</v>
      </c>
      <c r="D986" s="2" t="s">
        <v>58</v>
      </c>
      <c r="E986" s="2" t="s">
        <v>212</v>
      </c>
      <c r="F986" s="2">
        <v>28.9</v>
      </c>
      <c r="G986" s="2" t="s">
        <v>206</v>
      </c>
      <c r="H986" s="2">
        <v>100</v>
      </c>
      <c r="I986" s="2">
        <v>28.9</v>
      </c>
      <c r="J986" s="2" t="s">
        <v>1291</v>
      </c>
      <c r="K986" s="20">
        <v>44836</v>
      </c>
      <c r="L986" s="20">
        <v>44474</v>
      </c>
      <c r="M986" s="20">
        <v>44474</v>
      </c>
      <c r="N986" s="2" t="s">
        <v>207</v>
      </c>
      <c r="O986" s="2" t="s">
        <v>40</v>
      </c>
      <c r="P986" s="2" t="s">
        <v>34</v>
      </c>
      <c r="Q986" s="2">
        <f t="shared" si="15"/>
        <v>1</v>
      </c>
    </row>
    <row r="987" spans="1:17" x14ac:dyDescent="0.25">
      <c r="A987" s="2" t="s">
        <v>2813</v>
      </c>
      <c r="B987" s="2" t="s">
        <v>2814</v>
      </c>
      <c r="C987" s="2" t="s">
        <v>30</v>
      </c>
      <c r="D987" s="2" t="s">
        <v>186</v>
      </c>
      <c r="E987" s="2" t="s">
        <v>212</v>
      </c>
      <c r="F987" s="2">
        <v>344.22</v>
      </c>
      <c r="G987" s="2" t="s">
        <v>206</v>
      </c>
      <c r="H987" s="2">
        <v>100</v>
      </c>
      <c r="I987" s="2">
        <v>344.22</v>
      </c>
      <c r="J987" s="2" t="s">
        <v>1291</v>
      </c>
      <c r="K987" s="20">
        <v>44839</v>
      </c>
      <c r="L987" s="20">
        <v>44479</v>
      </c>
      <c r="M987" s="20">
        <v>44479</v>
      </c>
      <c r="N987" s="2" t="s">
        <v>207</v>
      </c>
      <c r="O987" s="2" t="s">
        <v>54</v>
      </c>
      <c r="P987" s="2" t="s">
        <v>26</v>
      </c>
      <c r="Q987" s="2">
        <f t="shared" si="15"/>
        <v>1</v>
      </c>
    </row>
    <row r="988" spans="1:17" x14ac:dyDescent="0.25">
      <c r="A988" s="2" t="s">
        <v>2816</v>
      </c>
      <c r="B988" s="2" t="s">
        <v>2817</v>
      </c>
      <c r="C988" s="2" t="s">
        <v>30</v>
      </c>
      <c r="D988" s="2" t="s">
        <v>126</v>
      </c>
      <c r="E988" s="2" t="s">
        <v>205</v>
      </c>
      <c r="F988" s="2">
        <v>87.168000000000006</v>
      </c>
      <c r="G988" s="2" t="s">
        <v>206</v>
      </c>
      <c r="H988" s="2">
        <v>80</v>
      </c>
      <c r="I988" s="2">
        <v>69.734400000000008</v>
      </c>
      <c r="J988" s="2" t="s">
        <v>1291</v>
      </c>
      <c r="K988" s="20">
        <v>44840</v>
      </c>
      <c r="L988" s="20">
        <v>44479</v>
      </c>
      <c r="M988" s="20">
        <v>44479</v>
      </c>
      <c r="N988" s="2" t="s">
        <v>207</v>
      </c>
      <c r="O988" s="2" t="s">
        <v>146</v>
      </c>
      <c r="P988" s="2" t="s">
        <v>73</v>
      </c>
      <c r="Q988" s="2">
        <f t="shared" si="15"/>
        <v>1</v>
      </c>
    </row>
    <row r="989" spans="1:17" x14ac:dyDescent="0.25">
      <c r="A989" s="2" t="s">
        <v>2818</v>
      </c>
      <c r="B989" s="2" t="s">
        <v>2819</v>
      </c>
      <c r="C989" s="2" t="s">
        <v>19</v>
      </c>
      <c r="D989" s="2" t="s">
        <v>164</v>
      </c>
      <c r="E989" s="2" t="s">
        <v>212</v>
      </c>
      <c r="F989" s="2">
        <v>31.12</v>
      </c>
      <c r="G989" s="2" t="s">
        <v>206</v>
      </c>
      <c r="H989" s="2">
        <v>100</v>
      </c>
      <c r="I989" s="2">
        <v>31.12</v>
      </c>
      <c r="J989" s="2" t="s">
        <v>1291</v>
      </c>
      <c r="K989" s="20">
        <v>44840</v>
      </c>
      <c r="L989" s="20">
        <v>44477</v>
      </c>
      <c r="M989" s="20">
        <v>44477</v>
      </c>
      <c r="N989" s="2" t="s">
        <v>234</v>
      </c>
      <c r="O989" s="2" t="s">
        <v>97</v>
      </c>
      <c r="P989" s="2" t="s">
        <v>68</v>
      </c>
      <c r="Q989" s="2">
        <f t="shared" si="15"/>
        <v>1</v>
      </c>
    </row>
    <row r="990" spans="1:17" x14ac:dyDescent="0.25">
      <c r="A990" s="2" t="s">
        <v>2821</v>
      </c>
      <c r="B990" s="2" t="s">
        <v>2822</v>
      </c>
      <c r="C990" s="2" t="s">
        <v>19</v>
      </c>
      <c r="D990" s="2" t="s">
        <v>44</v>
      </c>
      <c r="E990" s="2" t="s">
        <v>205</v>
      </c>
      <c r="F990" s="2">
        <v>14.9</v>
      </c>
      <c r="G990" s="2" t="s">
        <v>206</v>
      </c>
      <c r="H990" s="2">
        <v>80</v>
      </c>
      <c r="I990" s="2">
        <v>11.920000000000002</v>
      </c>
      <c r="J990" s="2" t="s">
        <v>1291</v>
      </c>
      <c r="K990" s="20">
        <v>44844</v>
      </c>
      <c r="L990" s="20">
        <v>44483</v>
      </c>
      <c r="M990" s="20">
        <v>44483</v>
      </c>
      <c r="N990" s="2" t="s">
        <v>207</v>
      </c>
      <c r="O990" s="2" t="s">
        <v>67</v>
      </c>
      <c r="P990" s="2" t="s">
        <v>68</v>
      </c>
      <c r="Q990" s="2">
        <f t="shared" si="15"/>
        <v>1</v>
      </c>
    </row>
    <row r="991" spans="1:17" x14ac:dyDescent="0.25">
      <c r="A991" s="2" t="s">
        <v>2824</v>
      </c>
      <c r="B991" s="2" t="s">
        <v>2825</v>
      </c>
      <c r="C991" s="2" t="s">
        <v>19</v>
      </c>
      <c r="D991" s="2" t="s">
        <v>345</v>
      </c>
      <c r="E991" s="2" t="s">
        <v>212</v>
      </c>
      <c r="F991" s="2">
        <v>209.97</v>
      </c>
      <c r="G991" s="2" t="s">
        <v>206</v>
      </c>
      <c r="H991" s="2">
        <v>100</v>
      </c>
      <c r="I991" s="2">
        <v>209.97</v>
      </c>
      <c r="J991" s="2" t="s">
        <v>1291</v>
      </c>
      <c r="K991" s="20">
        <v>44845</v>
      </c>
      <c r="L991" s="20">
        <v>44481</v>
      </c>
      <c r="M991" s="20">
        <v>44481</v>
      </c>
      <c r="N991" s="2" t="s">
        <v>234</v>
      </c>
      <c r="O991" s="2" t="s">
        <v>72</v>
      </c>
      <c r="P991" s="2" t="s">
        <v>73</v>
      </c>
      <c r="Q991" s="2">
        <f t="shared" si="15"/>
        <v>1</v>
      </c>
    </row>
    <row r="992" spans="1:17" x14ac:dyDescent="0.25">
      <c r="A992" s="2" t="s">
        <v>2827</v>
      </c>
      <c r="B992" s="2" t="s">
        <v>2828</v>
      </c>
      <c r="C992" s="2" t="s">
        <v>30</v>
      </c>
      <c r="D992" s="2" t="s">
        <v>51</v>
      </c>
      <c r="E992" s="2" t="s">
        <v>205</v>
      </c>
      <c r="F992" s="2">
        <v>1690.04</v>
      </c>
      <c r="G992" s="2" t="s">
        <v>206</v>
      </c>
      <c r="H992" s="2">
        <v>80</v>
      </c>
      <c r="I992" s="2">
        <v>1352.0320000000002</v>
      </c>
      <c r="J992" s="2" t="s">
        <v>1291</v>
      </c>
      <c r="K992" s="20">
        <v>44846</v>
      </c>
      <c r="L992" s="20">
        <v>44483</v>
      </c>
      <c r="M992" s="20">
        <v>44483</v>
      </c>
      <c r="N992" s="2" t="s">
        <v>238</v>
      </c>
      <c r="O992" s="2" t="s">
        <v>25</v>
      </c>
      <c r="P992" s="2" t="s">
        <v>26</v>
      </c>
      <c r="Q992" s="2">
        <f t="shared" si="15"/>
        <v>1</v>
      </c>
    </row>
    <row r="993" spans="1:17" x14ac:dyDescent="0.25">
      <c r="A993" s="2" t="s">
        <v>2830</v>
      </c>
      <c r="B993" s="2" t="s">
        <v>2831</v>
      </c>
      <c r="C993" s="2" t="s">
        <v>19</v>
      </c>
      <c r="D993" s="2" t="s">
        <v>20</v>
      </c>
      <c r="E993" s="2" t="s">
        <v>212</v>
      </c>
      <c r="F993" s="2">
        <v>629.94999999999902</v>
      </c>
      <c r="G993" s="2" t="s">
        <v>206</v>
      </c>
      <c r="H993" s="2">
        <v>100</v>
      </c>
      <c r="I993" s="2">
        <v>629.94999999999902</v>
      </c>
      <c r="J993" s="2" t="s">
        <v>1291</v>
      </c>
      <c r="K993" s="20">
        <v>44850</v>
      </c>
      <c r="L993" s="20">
        <v>44485</v>
      </c>
      <c r="M993" s="20">
        <v>44485</v>
      </c>
      <c r="N993" s="2" t="s">
        <v>220</v>
      </c>
      <c r="O993" s="2" t="s">
        <v>97</v>
      </c>
      <c r="P993" s="2" t="s">
        <v>68</v>
      </c>
      <c r="Q993" s="2">
        <f t="shared" si="15"/>
        <v>1</v>
      </c>
    </row>
    <row r="994" spans="1:17" x14ac:dyDescent="0.25">
      <c r="A994" s="2" t="s">
        <v>2833</v>
      </c>
      <c r="B994" s="2" t="s">
        <v>2834</v>
      </c>
      <c r="C994" s="2" t="s">
        <v>30</v>
      </c>
      <c r="D994" s="2" t="s">
        <v>51</v>
      </c>
      <c r="E994" s="2" t="s">
        <v>205</v>
      </c>
      <c r="F994" s="2">
        <v>25.423999999999999</v>
      </c>
      <c r="G994" s="2" t="s">
        <v>206</v>
      </c>
      <c r="H994" s="2">
        <v>80</v>
      </c>
      <c r="I994" s="2">
        <v>20.339200000000002</v>
      </c>
      <c r="J994" s="2" t="s">
        <v>1291</v>
      </c>
      <c r="K994" s="20">
        <v>44852</v>
      </c>
      <c r="L994" s="20">
        <v>44487</v>
      </c>
      <c r="M994" s="20">
        <v>44487</v>
      </c>
      <c r="N994" s="2" t="s">
        <v>207</v>
      </c>
      <c r="O994" s="2" t="s">
        <v>33</v>
      </c>
      <c r="P994" s="2" t="s">
        <v>34</v>
      </c>
      <c r="Q994" s="2">
        <f t="shared" si="15"/>
        <v>1</v>
      </c>
    </row>
    <row r="995" spans="1:17" x14ac:dyDescent="0.25">
      <c r="A995" s="2" t="s">
        <v>2836</v>
      </c>
      <c r="B995" s="2" t="s">
        <v>2837</v>
      </c>
      <c r="C995" s="2" t="s">
        <v>19</v>
      </c>
      <c r="D995" s="2" t="s">
        <v>150</v>
      </c>
      <c r="E995" s="2" t="s">
        <v>212</v>
      </c>
      <c r="F995" s="2">
        <v>45.584000000000003</v>
      </c>
      <c r="G995" s="2" t="s">
        <v>206</v>
      </c>
      <c r="H995" s="2">
        <v>100</v>
      </c>
      <c r="I995" s="2">
        <v>45.584000000000003</v>
      </c>
      <c r="J995" s="2" t="s">
        <v>1291</v>
      </c>
      <c r="K995" s="20">
        <v>44855</v>
      </c>
      <c r="L995" s="20">
        <v>44492</v>
      </c>
      <c r="M995" s="20">
        <v>44492</v>
      </c>
      <c r="N995" s="2" t="s">
        <v>207</v>
      </c>
      <c r="O995" s="2" t="s">
        <v>25</v>
      </c>
      <c r="P995" s="2" t="s">
        <v>26</v>
      </c>
      <c r="Q995" s="2">
        <f t="shared" si="15"/>
        <v>1</v>
      </c>
    </row>
    <row r="996" spans="1:17" x14ac:dyDescent="0.25">
      <c r="A996" s="2" t="s">
        <v>2839</v>
      </c>
      <c r="B996" s="2" t="s">
        <v>2840</v>
      </c>
      <c r="C996" s="2" t="s">
        <v>19</v>
      </c>
      <c r="D996" s="2" t="s">
        <v>370</v>
      </c>
      <c r="E996" s="2" t="s">
        <v>212</v>
      </c>
      <c r="F996" s="2">
        <v>6.7</v>
      </c>
      <c r="G996" s="2" t="s">
        <v>206</v>
      </c>
      <c r="H996" s="2">
        <v>100</v>
      </c>
      <c r="I996" s="2">
        <v>6.7</v>
      </c>
      <c r="J996" s="2" t="s">
        <v>1291</v>
      </c>
      <c r="K996" s="20">
        <v>44857</v>
      </c>
      <c r="L996" s="20">
        <v>44496</v>
      </c>
      <c r="M996" s="20">
        <v>44496</v>
      </c>
      <c r="N996" s="2" t="s">
        <v>207</v>
      </c>
      <c r="O996" s="2" t="s">
        <v>97</v>
      </c>
      <c r="P996" s="2" t="s">
        <v>68</v>
      </c>
      <c r="Q996" s="2">
        <f t="shared" si="15"/>
        <v>1</v>
      </c>
    </row>
    <row r="997" spans="1:17" x14ac:dyDescent="0.25">
      <c r="A997" s="2" t="s">
        <v>2842</v>
      </c>
      <c r="B997" s="2" t="s">
        <v>2843</v>
      </c>
      <c r="C997" s="2" t="s">
        <v>19</v>
      </c>
      <c r="D997" s="2" t="s">
        <v>81</v>
      </c>
      <c r="E997" s="2" t="s">
        <v>205</v>
      </c>
      <c r="F997" s="2">
        <v>128.744</v>
      </c>
      <c r="G997" s="2" t="s">
        <v>206</v>
      </c>
      <c r="H997" s="2">
        <v>80</v>
      </c>
      <c r="I997" s="2">
        <v>102.99520000000001</v>
      </c>
      <c r="J997" s="2" t="s">
        <v>1291</v>
      </c>
      <c r="K997" s="20">
        <v>44858</v>
      </c>
      <c r="L997" s="20">
        <v>44498</v>
      </c>
      <c r="M997" s="20">
        <v>44498</v>
      </c>
      <c r="N997" s="2" t="s">
        <v>207</v>
      </c>
      <c r="O997" s="2" t="s">
        <v>40</v>
      </c>
      <c r="P997" s="2" t="s">
        <v>34</v>
      </c>
      <c r="Q997" s="2">
        <f t="shared" si="15"/>
        <v>1</v>
      </c>
    </row>
    <row r="998" spans="1:17" x14ac:dyDescent="0.25">
      <c r="A998" s="2" t="s">
        <v>2845</v>
      </c>
      <c r="B998" s="2" t="s">
        <v>2846</v>
      </c>
      <c r="C998" s="2" t="s">
        <v>30</v>
      </c>
      <c r="D998" s="2" t="s">
        <v>51</v>
      </c>
      <c r="E998" s="2" t="s">
        <v>212</v>
      </c>
      <c r="F998" s="2">
        <v>12.6</v>
      </c>
      <c r="G998" s="2" t="s">
        <v>206</v>
      </c>
      <c r="H998" s="2">
        <v>100</v>
      </c>
      <c r="I998" s="2">
        <v>12.6</v>
      </c>
      <c r="J998" s="2" t="s">
        <v>1291</v>
      </c>
      <c r="K998" s="20">
        <v>44860</v>
      </c>
      <c r="L998" s="20">
        <v>44495</v>
      </c>
      <c r="M998" s="20">
        <v>44495</v>
      </c>
      <c r="N998" s="2" t="s">
        <v>248</v>
      </c>
      <c r="O998" s="2" t="s">
        <v>67</v>
      </c>
      <c r="P998" s="2" t="s">
        <v>68</v>
      </c>
      <c r="Q998" s="2">
        <f t="shared" si="15"/>
        <v>1</v>
      </c>
    </row>
    <row r="999" spans="1:17" x14ac:dyDescent="0.25">
      <c r="A999" s="2" t="s">
        <v>2848</v>
      </c>
      <c r="B999" s="2" t="s">
        <v>2849</v>
      </c>
      <c r="C999" s="2" t="s">
        <v>19</v>
      </c>
      <c r="D999" s="2" t="s">
        <v>324</v>
      </c>
      <c r="E999" s="2" t="s">
        <v>205</v>
      </c>
      <c r="F999" s="2">
        <v>1871.88</v>
      </c>
      <c r="G999" s="2" t="s">
        <v>206</v>
      </c>
      <c r="H999" s="2">
        <v>80</v>
      </c>
      <c r="I999" s="2">
        <v>1497.5040000000001</v>
      </c>
      <c r="J999" s="2" t="s">
        <v>1291</v>
      </c>
      <c r="K999" s="20">
        <v>44865</v>
      </c>
      <c r="L999" s="20">
        <v>44503</v>
      </c>
      <c r="M999" s="20">
        <v>44503</v>
      </c>
      <c r="N999" s="2" t="s">
        <v>234</v>
      </c>
      <c r="O999" s="2" t="s">
        <v>33</v>
      </c>
      <c r="P999" s="2" t="s">
        <v>34</v>
      </c>
      <c r="Q999" s="2">
        <f t="shared" si="15"/>
        <v>1</v>
      </c>
    </row>
    <row r="1000" spans="1:17" x14ac:dyDescent="0.25">
      <c r="A1000" s="2" t="s">
        <v>2851</v>
      </c>
      <c r="B1000" s="2" t="s">
        <v>2852</v>
      </c>
      <c r="C1000" s="2" t="s">
        <v>19</v>
      </c>
      <c r="D1000" s="2" t="s">
        <v>62</v>
      </c>
      <c r="E1000" s="2" t="s">
        <v>212</v>
      </c>
      <c r="F1000" s="2">
        <v>47.19</v>
      </c>
      <c r="G1000" s="2" t="s">
        <v>206</v>
      </c>
      <c r="H1000" s="2">
        <v>100</v>
      </c>
      <c r="I1000" s="2">
        <v>47.19</v>
      </c>
      <c r="J1000" s="2" t="s">
        <v>1291</v>
      </c>
      <c r="K1000" s="20">
        <v>44866</v>
      </c>
      <c r="L1000" s="20">
        <v>44505</v>
      </c>
      <c r="M1000" s="20">
        <v>44505</v>
      </c>
      <c r="N1000" s="2" t="s">
        <v>248</v>
      </c>
      <c r="O1000" s="2" t="s">
        <v>46</v>
      </c>
      <c r="P1000" s="2" t="s">
        <v>47</v>
      </c>
      <c r="Q1000" s="2">
        <f t="shared" si="15"/>
        <v>1</v>
      </c>
    </row>
    <row r="1001" spans="1:17" x14ac:dyDescent="0.25">
      <c r="A1001" s="2" t="s">
        <v>2854</v>
      </c>
      <c r="B1001" s="2" t="s">
        <v>2855</v>
      </c>
      <c r="C1001" s="2" t="s">
        <v>19</v>
      </c>
      <c r="D1001" s="2" t="s">
        <v>370</v>
      </c>
      <c r="E1001" s="2" t="s">
        <v>212</v>
      </c>
      <c r="F1001" s="2">
        <v>37.375999999999998</v>
      </c>
      <c r="G1001" s="2" t="s">
        <v>206</v>
      </c>
      <c r="H1001" s="2">
        <v>100</v>
      </c>
      <c r="I1001" s="2">
        <v>37.375999999999998</v>
      </c>
      <c r="J1001" s="2" t="s">
        <v>1291</v>
      </c>
      <c r="K1001" s="20">
        <v>44868</v>
      </c>
      <c r="L1001" s="20">
        <v>44508</v>
      </c>
      <c r="M1001" s="20">
        <v>44508</v>
      </c>
      <c r="N1001" s="2" t="s">
        <v>238</v>
      </c>
      <c r="O1001" s="2" t="s">
        <v>46</v>
      </c>
      <c r="P1001" s="2" t="s">
        <v>47</v>
      </c>
      <c r="Q1001" s="2">
        <f t="shared" si="15"/>
        <v>1</v>
      </c>
    </row>
    <row r="1002" spans="1:17" x14ac:dyDescent="0.25">
      <c r="A1002" s="2" t="s">
        <v>2857</v>
      </c>
      <c r="B1002" s="2" t="s">
        <v>2858</v>
      </c>
      <c r="C1002" s="2" t="s">
        <v>19</v>
      </c>
      <c r="D1002" s="2" t="s">
        <v>81</v>
      </c>
      <c r="E1002" s="2" t="s">
        <v>205</v>
      </c>
      <c r="F1002" s="2">
        <v>17.899999999999999</v>
      </c>
      <c r="G1002" s="2" t="s">
        <v>206</v>
      </c>
      <c r="H1002" s="2">
        <v>80</v>
      </c>
      <c r="I1002" s="2">
        <v>14.32</v>
      </c>
      <c r="J1002" s="2" t="s">
        <v>1291</v>
      </c>
      <c r="K1002" s="20">
        <v>44869</v>
      </c>
      <c r="L1002" s="20">
        <v>44511</v>
      </c>
      <c r="M1002" s="20">
        <v>44511</v>
      </c>
      <c r="N1002" s="2" t="s">
        <v>213</v>
      </c>
      <c r="O1002" s="2" t="s">
        <v>54</v>
      </c>
      <c r="P1002" s="2" t="s">
        <v>26</v>
      </c>
      <c r="Q1002" s="2">
        <f t="shared" si="15"/>
        <v>1</v>
      </c>
    </row>
    <row r="1003" spans="1:17" x14ac:dyDescent="0.25">
      <c r="A1003" s="2" t="s">
        <v>2859</v>
      </c>
      <c r="B1003" s="2" t="s">
        <v>2860</v>
      </c>
      <c r="C1003" s="2" t="s">
        <v>30</v>
      </c>
      <c r="D1003" s="2" t="s">
        <v>86</v>
      </c>
      <c r="E1003" s="2" t="s">
        <v>205</v>
      </c>
      <c r="F1003" s="2">
        <v>339.96</v>
      </c>
      <c r="G1003" s="2" t="s">
        <v>206</v>
      </c>
      <c r="H1003" s="2">
        <v>80</v>
      </c>
      <c r="I1003" s="2">
        <v>271.96800000000002</v>
      </c>
      <c r="J1003" s="2" t="s">
        <v>1291</v>
      </c>
      <c r="K1003" s="20">
        <v>44871</v>
      </c>
      <c r="L1003" s="20">
        <v>44510</v>
      </c>
      <c r="M1003" s="20">
        <v>44510</v>
      </c>
      <c r="N1003" s="2" t="s">
        <v>234</v>
      </c>
      <c r="O1003" s="2" t="s">
        <v>82</v>
      </c>
      <c r="P1003" s="2" t="s">
        <v>47</v>
      </c>
      <c r="Q1003" s="2">
        <f t="shared" si="15"/>
        <v>1</v>
      </c>
    </row>
    <row r="1004" spans="1:17" x14ac:dyDescent="0.25">
      <c r="A1004" s="2" t="s">
        <v>2862</v>
      </c>
      <c r="B1004" s="2" t="s">
        <v>2863</v>
      </c>
      <c r="C1004" s="2" t="s">
        <v>30</v>
      </c>
      <c r="D1004" s="2" t="s">
        <v>77</v>
      </c>
      <c r="E1004" s="2" t="s">
        <v>212</v>
      </c>
      <c r="F1004" s="2">
        <v>6.0799999999999903</v>
      </c>
      <c r="G1004" s="2" t="s">
        <v>206</v>
      </c>
      <c r="H1004" s="2">
        <v>100</v>
      </c>
      <c r="I1004" s="2">
        <v>6.0799999999999903</v>
      </c>
      <c r="J1004" s="2" t="s">
        <v>1291</v>
      </c>
      <c r="K1004" s="20">
        <v>44871</v>
      </c>
      <c r="L1004" s="20">
        <v>44510</v>
      </c>
      <c r="M1004" s="20">
        <v>44510</v>
      </c>
      <c r="N1004" s="2" t="s">
        <v>207</v>
      </c>
      <c r="O1004" s="2" t="s">
        <v>82</v>
      </c>
      <c r="P1004" s="2" t="s">
        <v>47</v>
      </c>
      <c r="Q1004" s="2">
        <f t="shared" si="15"/>
        <v>1</v>
      </c>
    </row>
    <row r="1005" spans="1:17" x14ac:dyDescent="0.25">
      <c r="A1005" s="2" t="s">
        <v>2865</v>
      </c>
      <c r="B1005" s="2" t="s">
        <v>2866</v>
      </c>
      <c r="C1005" s="2" t="s">
        <v>30</v>
      </c>
      <c r="D1005" s="2" t="s">
        <v>58</v>
      </c>
      <c r="E1005" s="2" t="s">
        <v>212</v>
      </c>
      <c r="F1005" s="2">
        <v>259.7</v>
      </c>
      <c r="G1005" s="2" t="s">
        <v>206</v>
      </c>
      <c r="H1005" s="2">
        <v>100</v>
      </c>
      <c r="I1005" s="2">
        <v>259.7</v>
      </c>
      <c r="J1005" s="2" t="s">
        <v>1291</v>
      </c>
      <c r="K1005" s="20">
        <v>44874</v>
      </c>
      <c r="L1005" s="20">
        <v>44514</v>
      </c>
      <c r="M1005" s="20">
        <v>44514</v>
      </c>
      <c r="N1005" s="2" t="s">
        <v>238</v>
      </c>
      <c r="O1005" s="2" t="s">
        <v>25</v>
      </c>
      <c r="P1005" s="2" t="s">
        <v>26</v>
      </c>
      <c r="Q1005" s="2">
        <f t="shared" si="15"/>
        <v>1</v>
      </c>
    </row>
    <row r="1006" spans="1:17" x14ac:dyDescent="0.25">
      <c r="A1006" s="2" t="s">
        <v>2868</v>
      </c>
      <c r="B1006" s="2" t="s">
        <v>2869</v>
      </c>
      <c r="C1006" s="2" t="s">
        <v>30</v>
      </c>
      <c r="D1006" s="2" t="s">
        <v>230</v>
      </c>
      <c r="E1006" s="2" t="s">
        <v>205</v>
      </c>
      <c r="F1006" s="2">
        <v>13.52</v>
      </c>
      <c r="G1006" s="2" t="s">
        <v>206</v>
      </c>
      <c r="H1006" s="2">
        <v>80</v>
      </c>
      <c r="I1006" s="2">
        <v>10.816000000000001</v>
      </c>
      <c r="J1006" s="2" t="s">
        <v>1291</v>
      </c>
      <c r="K1006" s="20">
        <v>44874</v>
      </c>
      <c r="L1006" s="20">
        <v>44515</v>
      </c>
      <c r="M1006" s="20">
        <v>44515</v>
      </c>
      <c r="N1006" s="2" t="s">
        <v>207</v>
      </c>
      <c r="O1006" s="2" t="s">
        <v>146</v>
      </c>
      <c r="P1006" s="2" t="s">
        <v>73</v>
      </c>
      <c r="Q1006" s="2">
        <f t="shared" si="15"/>
        <v>1</v>
      </c>
    </row>
    <row r="1007" spans="1:17" x14ac:dyDescent="0.25">
      <c r="A1007" s="2" t="s">
        <v>2871</v>
      </c>
      <c r="B1007" s="2" t="s">
        <v>2872</v>
      </c>
      <c r="C1007" s="2" t="s">
        <v>30</v>
      </c>
      <c r="D1007" s="2" t="s">
        <v>96</v>
      </c>
      <c r="E1007" s="2" t="s">
        <v>212</v>
      </c>
      <c r="F1007" s="2">
        <v>96.96</v>
      </c>
      <c r="G1007" s="2" t="s">
        <v>206</v>
      </c>
      <c r="H1007" s="2">
        <v>100</v>
      </c>
      <c r="I1007" s="2">
        <v>96.96</v>
      </c>
      <c r="J1007" s="2" t="s">
        <v>1291</v>
      </c>
      <c r="K1007" s="20">
        <v>44874</v>
      </c>
      <c r="L1007" s="20">
        <v>44513</v>
      </c>
      <c r="M1007" s="20">
        <v>44513</v>
      </c>
      <c r="N1007" s="2" t="s">
        <v>234</v>
      </c>
      <c r="O1007" s="2" t="s">
        <v>46</v>
      </c>
      <c r="P1007" s="2" t="s">
        <v>47</v>
      </c>
      <c r="Q1007" s="2">
        <f t="shared" si="15"/>
        <v>1</v>
      </c>
    </row>
    <row r="1008" spans="1:17" x14ac:dyDescent="0.25">
      <c r="A1008" s="2" t="s">
        <v>2874</v>
      </c>
      <c r="B1008" s="2" t="s">
        <v>2875</v>
      </c>
      <c r="C1008" s="2" t="s">
        <v>19</v>
      </c>
      <c r="D1008" s="2" t="s">
        <v>164</v>
      </c>
      <c r="E1008" s="2" t="s">
        <v>205</v>
      </c>
      <c r="F1008" s="2">
        <v>117.488</v>
      </c>
      <c r="G1008" s="2" t="s">
        <v>206</v>
      </c>
      <c r="H1008" s="2">
        <v>80</v>
      </c>
      <c r="I1008" s="2">
        <v>93.990400000000008</v>
      </c>
      <c r="J1008" s="2" t="s">
        <v>1291</v>
      </c>
      <c r="K1008" s="20">
        <v>44874</v>
      </c>
      <c r="L1008" s="20">
        <v>44513</v>
      </c>
      <c r="M1008" s="20">
        <v>44513</v>
      </c>
      <c r="N1008" s="2" t="s">
        <v>234</v>
      </c>
      <c r="O1008" s="2" t="s">
        <v>33</v>
      </c>
      <c r="P1008" s="2" t="s">
        <v>34</v>
      </c>
      <c r="Q1008" s="2">
        <f t="shared" si="15"/>
        <v>1</v>
      </c>
    </row>
    <row r="1009" spans="1:17" x14ac:dyDescent="0.25">
      <c r="A1009" s="2" t="s">
        <v>2876</v>
      </c>
      <c r="B1009" s="2" t="s">
        <v>2877</v>
      </c>
      <c r="C1009" s="2" t="s">
        <v>30</v>
      </c>
      <c r="D1009" s="2" t="s">
        <v>119</v>
      </c>
      <c r="E1009" s="2" t="s">
        <v>212</v>
      </c>
      <c r="F1009" s="2">
        <v>512.49900000000002</v>
      </c>
      <c r="G1009" s="2" t="s">
        <v>206</v>
      </c>
      <c r="H1009" s="2">
        <v>100</v>
      </c>
      <c r="I1009" s="2">
        <v>512.49900000000002</v>
      </c>
      <c r="J1009" s="2" t="s">
        <v>1291</v>
      </c>
      <c r="K1009" s="20">
        <v>44875</v>
      </c>
      <c r="L1009" s="20">
        <v>44510</v>
      </c>
      <c r="M1009" s="20">
        <v>44510</v>
      </c>
      <c r="N1009" s="2" t="s">
        <v>238</v>
      </c>
      <c r="O1009" s="2" t="s">
        <v>72</v>
      </c>
      <c r="P1009" s="2" t="s">
        <v>73</v>
      </c>
      <c r="Q1009" s="2">
        <f t="shared" si="15"/>
        <v>1</v>
      </c>
    </row>
    <row r="1010" spans="1:17" x14ac:dyDescent="0.25">
      <c r="A1010" s="2" t="s">
        <v>2879</v>
      </c>
      <c r="B1010" s="2" t="s">
        <v>2880</v>
      </c>
      <c r="C1010" s="2" t="s">
        <v>19</v>
      </c>
      <c r="D1010" s="2" t="s">
        <v>38</v>
      </c>
      <c r="E1010" s="2" t="s">
        <v>205</v>
      </c>
      <c r="F1010" s="2">
        <v>25.344000000000001</v>
      </c>
      <c r="G1010" s="2" t="s">
        <v>206</v>
      </c>
      <c r="H1010" s="2">
        <v>80</v>
      </c>
      <c r="I1010" s="2">
        <v>20.275200000000002</v>
      </c>
      <c r="J1010" s="2" t="s">
        <v>1291</v>
      </c>
      <c r="K1010" s="20">
        <v>44876</v>
      </c>
      <c r="L1010" s="20">
        <v>44516</v>
      </c>
      <c r="M1010" s="20">
        <v>44516</v>
      </c>
      <c r="N1010" s="2" t="s">
        <v>248</v>
      </c>
      <c r="O1010" s="2" t="s">
        <v>97</v>
      </c>
      <c r="P1010" s="2" t="s">
        <v>68</v>
      </c>
      <c r="Q1010" s="2">
        <f t="shared" si="15"/>
        <v>1</v>
      </c>
    </row>
    <row r="1011" spans="1:17" x14ac:dyDescent="0.25">
      <c r="A1011" s="2" t="s">
        <v>2882</v>
      </c>
      <c r="B1011" s="2" t="s">
        <v>2883</v>
      </c>
      <c r="C1011" s="2" t="s">
        <v>30</v>
      </c>
      <c r="D1011" s="2" t="s">
        <v>62</v>
      </c>
      <c r="E1011" s="2" t="s">
        <v>212</v>
      </c>
      <c r="F1011" s="2">
        <v>29.372</v>
      </c>
      <c r="G1011" s="2" t="s">
        <v>206</v>
      </c>
      <c r="H1011" s="2">
        <v>100</v>
      </c>
      <c r="I1011" s="2">
        <v>29.372</v>
      </c>
      <c r="J1011" s="2" t="s">
        <v>1291</v>
      </c>
      <c r="K1011" s="20">
        <v>44876</v>
      </c>
      <c r="L1011" s="20">
        <v>44515</v>
      </c>
      <c r="M1011" s="20">
        <v>44515</v>
      </c>
      <c r="N1011" s="2" t="s">
        <v>207</v>
      </c>
      <c r="O1011" s="2" t="s">
        <v>25</v>
      </c>
      <c r="P1011" s="2" t="s">
        <v>26</v>
      </c>
      <c r="Q1011" s="2">
        <f t="shared" si="15"/>
        <v>1</v>
      </c>
    </row>
    <row r="1012" spans="1:17" x14ac:dyDescent="0.25">
      <c r="A1012" s="2" t="s">
        <v>2884</v>
      </c>
      <c r="B1012" s="2" t="s">
        <v>2885</v>
      </c>
      <c r="C1012" s="2" t="s">
        <v>30</v>
      </c>
      <c r="D1012" s="2" t="s">
        <v>211</v>
      </c>
      <c r="E1012" s="2" t="s">
        <v>205</v>
      </c>
      <c r="F1012" s="2">
        <v>11.65</v>
      </c>
      <c r="G1012" s="2" t="s">
        <v>206</v>
      </c>
      <c r="H1012" s="2">
        <v>80</v>
      </c>
      <c r="I1012" s="2">
        <v>9.32</v>
      </c>
      <c r="J1012" s="2" t="s">
        <v>1291</v>
      </c>
      <c r="K1012" s="20">
        <v>44881</v>
      </c>
      <c r="L1012" s="20">
        <v>44520</v>
      </c>
      <c r="M1012" s="20">
        <v>44520</v>
      </c>
      <c r="N1012" s="2" t="s">
        <v>220</v>
      </c>
      <c r="O1012" s="2" t="s">
        <v>54</v>
      </c>
      <c r="P1012" s="2" t="s">
        <v>26</v>
      </c>
      <c r="Q1012" s="2">
        <f t="shared" si="15"/>
        <v>1</v>
      </c>
    </row>
    <row r="1013" spans="1:17" x14ac:dyDescent="0.25">
      <c r="A1013" s="2" t="s">
        <v>2887</v>
      </c>
      <c r="B1013" s="2" t="s">
        <v>2888</v>
      </c>
      <c r="C1013" s="2" t="s">
        <v>30</v>
      </c>
      <c r="D1013" s="2" t="s">
        <v>44</v>
      </c>
      <c r="E1013" s="2" t="s">
        <v>212</v>
      </c>
      <c r="F1013" s="2">
        <v>39.96</v>
      </c>
      <c r="G1013" s="2" t="s">
        <v>206</v>
      </c>
      <c r="H1013" s="2">
        <v>100</v>
      </c>
      <c r="I1013" s="2">
        <v>39.96</v>
      </c>
      <c r="J1013" s="2" t="s">
        <v>1291</v>
      </c>
      <c r="K1013" s="20">
        <v>44886</v>
      </c>
      <c r="L1013" s="20">
        <v>44525</v>
      </c>
      <c r="M1013" s="20">
        <v>44525</v>
      </c>
      <c r="N1013" s="2" t="s">
        <v>220</v>
      </c>
      <c r="O1013" s="2" t="s">
        <v>82</v>
      </c>
      <c r="P1013" s="2" t="s">
        <v>47</v>
      </c>
      <c r="Q1013" s="2">
        <f t="shared" si="15"/>
        <v>1</v>
      </c>
    </row>
    <row r="1014" spans="1:17" x14ac:dyDescent="0.25">
      <c r="A1014" s="2" t="s">
        <v>2890</v>
      </c>
      <c r="B1014" s="2" t="s">
        <v>2891</v>
      </c>
      <c r="C1014" s="2" t="s">
        <v>19</v>
      </c>
      <c r="D1014" s="2" t="s">
        <v>20</v>
      </c>
      <c r="E1014" s="2" t="s">
        <v>205</v>
      </c>
      <c r="F1014" s="2">
        <v>696.42</v>
      </c>
      <c r="G1014" s="2" t="s">
        <v>206</v>
      </c>
      <c r="H1014" s="2">
        <v>80</v>
      </c>
      <c r="I1014" s="2">
        <v>557.13599999999997</v>
      </c>
      <c r="J1014" s="2" t="s">
        <v>1291</v>
      </c>
      <c r="K1014" s="20">
        <v>44888</v>
      </c>
      <c r="L1014" s="20">
        <v>44527</v>
      </c>
      <c r="M1014" s="20">
        <v>44527</v>
      </c>
      <c r="N1014" s="2" t="s">
        <v>213</v>
      </c>
      <c r="O1014" s="2" t="s">
        <v>72</v>
      </c>
      <c r="P1014" s="2" t="s">
        <v>73</v>
      </c>
      <c r="Q1014" s="2">
        <f t="shared" si="15"/>
        <v>1</v>
      </c>
    </row>
    <row r="1015" spans="1:17" x14ac:dyDescent="0.25">
      <c r="A1015" s="2" t="s">
        <v>2893</v>
      </c>
      <c r="B1015" s="2" t="s">
        <v>2894</v>
      </c>
      <c r="C1015" s="2" t="s">
        <v>19</v>
      </c>
      <c r="D1015" s="2" t="s">
        <v>38</v>
      </c>
      <c r="E1015" s="2" t="s">
        <v>205</v>
      </c>
      <c r="F1015" s="2">
        <v>572.16</v>
      </c>
      <c r="G1015" s="2" t="s">
        <v>206</v>
      </c>
      <c r="H1015" s="2">
        <v>80</v>
      </c>
      <c r="I1015" s="2">
        <v>457.72800000000001</v>
      </c>
      <c r="J1015" s="2" t="s">
        <v>1291</v>
      </c>
      <c r="K1015" s="20">
        <v>44888</v>
      </c>
      <c r="L1015" s="20">
        <v>44528</v>
      </c>
      <c r="M1015" s="20">
        <v>44528</v>
      </c>
      <c r="N1015" s="2" t="s">
        <v>213</v>
      </c>
      <c r="O1015" s="2" t="s">
        <v>54</v>
      </c>
      <c r="P1015" s="2" t="s">
        <v>26</v>
      </c>
      <c r="Q1015" s="2">
        <f t="shared" si="15"/>
        <v>1</v>
      </c>
    </row>
    <row r="1016" spans="1:17" x14ac:dyDescent="0.25">
      <c r="A1016" s="2" t="s">
        <v>2896</v>
      </c>
      <c r="B1016" s="2" t="s">
        <v>2897</v>
      </c>
      <c r="C1016" s="2" t="s">
        <v>19</v>
      </c>
      <c r="D1016" s="2" t="s">
        <v>38</v>
      </c>
      <c r="E1016" s="2" t="s">
        <v>212</v>
      </c>
      <c r="F1016" s="2">
        <v>344.37200000000001</v>
      </c>
      <c r="G1016" s="2" t="s">
        <v>206</v>
      </c>
      <c r="H1016" s="2">
        <v>100</v>
      </c>
      <c r="I1016" s="2">
        <v>344.37200000000001</v>
      </c>
      <c r="J1016" s="2" t="s">
        <v>1291</v>
      </c>
      <c r="K1016" s="20">
        <v>44888</v>
      </c>
      <c r="L1016" s="20">
        <v>44524</v>
      </c>
      <c r="M1016" s="20">
        <v>44524</v>
      </c>
      <c r="N1016" s="2" t="s">
        <v>238</v>
      </c>
      <c r="O1016" s="2" t="s">
        <v>146</v>
      </c>
      <c r="P1016" s="2" t="s">
        <v>73</v>
      </c>
      <c r="Q1016" s="2">
        <f t="shared" si="15"/>
        <v>1</v>
      </c>
    </row>
    <row r="1017" spans="1:17" x14ac:dyDescent="0.25">
      <c r="A1017" s="2" t="s">
        <v>2899</v>
      </c>
      <c r="B1017" s="2" t="s">
        <v>2900</v>
      </c>
      <c r="C1017" s="2" t="s">
        <v>19</v>
      </c>
      <c r="D1017" s="2" t="s">
        <v>115</v>
      </c>
      <c r="E1017" s="2" t="s">
        <v>212</v>
      </c>
      <c r="F1017" s="2">
        <v>27.167999999999999</v>
      </c>
      <c r="G1017" s="2" t="s">
        <v>206</v>
      </c>
      <c r="H1017" s="2">
        <v>100</v>
      </c>
      <c r="I1017" s="2">
        <v>27.167999999999999</v>
      </c>
      <c r="J1017" s="2" t="s">
        <v>1291</v>
      </c>
      <c r="K1017" s="20">
        <v>44893</v>
      </c>
      <c r="L1017" s="20">
        <v>44534</v>
      </c>
      <c r="M1017" s="20">
        <v>44534</v>
      </c>
      <c r="N1017" s="2" t="s">
        <v>238</v>
      </c>
      <c r="O1017" s="2" t="s">
        <v>72</v>
      </c>
      <c r="P1017" s="2" t="s">
        <v>73</v>
      </c>
      <c r="Q1017" s="2">
        <f t="shared" si="15"/>
        <v>1</v>
      </c>
    </row>
    <row r="1018" spans="1:17" x14ac:dyDescent="0.25">
      <c r="A1018" s="2" t="s">
        <v>2902</v>
      </c>
      <c r="B1018" s="2" t="s">
        <v>2903</v>
      </c>
      <c r="C1018" s="2" t="s">
        <v>30</v>
      </c>
      <c r="D1018" s="2" t="s">
        <v>31</v>
      </c>
      <c r="E1018" s="2" t="s">
        <v>205</v>
      </c>
      <c r="F1018" s="2">
        <v>1.69599999999999</v>
      </c>
      <c r="G1018" s="2" t="s">
        <v>206</v>
      </c>
      <c r="H1018" s="2">
        <v>80</v>
      </c>
      <c r="I1018" s="2">
        <v>1.356799999999992</v>
      </c>
      <c r="J1018" s="2" t="s">
        <v>1291</v>
      </c>
      <c r="K1018" s="20">
        <v>44894</v>
      </c>
      <c r="L1018" s="20">
        <v>44534</v>
      </c>
      <c r="M1018" s="20">
        <v>44534</v>
      </c>
      <c r="N1018" s="2" t="s">
        <v>248</v>
      </c>
      <c r="O1018" s="2" t="s">
        <v>33</v>
      </c>
      <c r="P1018" s="2" t="s">
        <v>34</v>
      </c>
      <c r="Q1018" s="2">
        <f t="shared" si="15"/>
        <v>1</v>
      </c>
    </row>
    <row r="1019" spans="1:17" x14ac:dyDescent="0.25">
      <c r="A1019" s="2" t="s">
        <v>2905</v>
      </c>
      <c r="B1019" s="2" t="s">
        <v>2906</v>
      </c>
      <c r="C1019" s="2" t="s">
        <v>19</v>
      </c>
      <c r="D1019" s="2" t="s">
        <v>38</v>
      </c>
      <c r="E1019" s="2" t="s">
        <v>212</v>
      </c>
      <c r="F1019" s="2">
        <v>62.88</v>
      </c>
      <c r="G1019" s="2" t="s">
        <v>206</v>
      </c>
      <c r="H1019" s="2">
        <v>100</v>
      </c>
      <c r="I1019" s="2">
        <v>62.88</v>
      </c>
      <c r="J1019" s="2" t="s">
        <v>1291</v>
      </c>
      <c r="K1019" s="20">
        <v>44894</v>
      </c>
      <c r="L1019" s="20">
        <v>44533</v>
      </c>
      <c r="M1019" s="20">
        <v>44533</v>
      </c>
      <c r="N1019" s="2" t="s">
        <v>238</v>
      </c>
      <c r="O1019" s="2" t="s">
        <v>67</v>
      </c>
      <c r="P1019" s="2" t="s">
        <v>68</v>
      </c>
      <c r="Q1019" s="2">
        <f t="shared" si="15"/>
        <v>1</v>
      </c>
    </row>
    <row r="1020" spans="1:17" x14ac:dyDescent="0.25">
      <c r="A1020" s="2" t="s">
        <v>2907</v>
      </c>
      <c r="B1020" s="2" t="s">
        <v>2908</v>
      </c>
      <c r="C1020" s="2" t="s">
        <v>30</v>
      </c>
      <c r="D1020" s="2" t="s">
        <v>44</v>
      </c>
      <c r="E1020" s="2" t="s">
        <v>205</v>
      </c>
      <c r="F1020" s="2">
        <v>3.1680000000000001</v>
      </c>
      <c r="G1020" s="2" t="s">
        <v>206</v>
      </c>
      <c r="H1020" s="2">
        <v>80</v>
      </c>
      <c r="I1020" s="2">
        <v>2.5344000000000002</v>
      </c>
      <c r="J1020" s="2" t="s">
        <v>1291</v>
      </c>
      <c r="K1020" s="20">
        <v>44894</v>
      </c>
      <c r="L1020" s="20">
        <v>44531</v>
      </c>
      <c r="M1020" s="20">
        <v>44531</v>
      </c>
      <c r="N1020" s="2" t="s">
        <v>207</v>
      </c>
      <c r="O1020" s="2" t="s">
        <v>25</v>
      </c>
      <c r="P1020" s="2" t="s">
        <v>26</v>
      </c>
      <c r="Q1020" s="2">
        <f t="shared" si="15"/>
        <v>1</v>
      </c>
    </row>
    <row r="1021" spans="1:17" x14ac:dyDescent="0.25">
      <c r="A1021" s="2" t="s">
        <v>2909</v>
      </c>
      <c r="B1021" s="2" t="s">
        <v>2910</v>
      </c>
      <c r="C1021" s="2" t="s">
        <v>30</v>
      </c>
      <c r="D1021" s="2" t="s">
        <v>150</v>
      </c>
      <c r="E1021" s="2" t="s">
        <v>212</v>
      </c>
      <c r="F1021" s="2">
        <v>17.440000000000001</v>
      </c>
      <c r="G1021" s="2" t="s">
        <v>206</v>
      </c>
      <c r="H1021" s="2">
        <v>100</v>
      </c>
      <c r="I1021" s="2">
        <v>17.440000000000001</v>
      </c>
      <c r="J1021" s="2" t="s">
        <v>1291</v>
      </c>
      <c r="K1021" s="20">
        <v>44894</v>
      </c>
      <c r="L1021" s="20">
        <v>44535</v>
      </c>
      <c r="M1021" s="20">
        <v>44535</v>
      </c>
      <c r="N1021" s="2" t="s">
        <v>220</v>
      </c>
      <c r="O1021" s="2" t="s">
        <v>54</v>
      </c>
      <c r="P1021" s="2" t="s">
        <v>26</v>
      </c>
      <c r="Q1021" s="2">
        <f t="shared" si="15"/>
        <v>1</v>
      </c>
    </row>
    <row r="1022" spans="1:17" x14ac:dyDescent="0.25">
      <c r="A1022" s="2" t="s">
        <v>2912</v>
      </c>
      <c r="B1022" s="2" t="s">
        <v>2913</v>
      </c>
      <c r="C1022" s="2" t="s">
        <v>19</v>
      </c>
      <c r="D1022" s="2" t="s">
        <v>86</v>
      </c>
      <c r="E1022" s="2" t="s">
        <v>212</v>
      </c>
      <c r="F1022" s="2">
        <v>83.975999999999999</v>
      </c>
      <c r="G1022" s="2" t="s">
        <v>206</v>
      </c>
      <c r="H1022" s="2">
        <v>100</v>
      </c>
      <c r="I1022" s="2">
        <v>83.975999999999999</v>
      </c>
      <c r="J1022" s="2" t="s">
        <v>1291</v>
      </c>
      <c r="K1022" s="20">
        <v>44897</v>
      </c>
      <c r="L1022" s="20">
        <v>44537</v>
      </c>
      <c r="M1022" s="20">
        <v>44537</v>
      </c>
      <c r="N1022" s="2" t="s">
        <v>207</v>
      </c>
      <c r="O1022" s="2" t="s">
        <v>33</v>
      </c>
      <c r="P1022" s="2" t="s">
        <v>34</v>
      </c>
      <c r="Q1022" s="2">
        <f t="shared" si="15"/>
        <v>1</v>
      </c>
    </row>
    <row r="1023" spans="1:17" x14ac:dyDescent="0.25">
      <c r="A1023" s="2" t="s">
        <v>2915</v>
      </c>
      <c r="B1023" s="2" t="s">
        <v>2916</v>
      </c>
      <c r="C1023" s="2" t="s">
        <v>30</v>
      </c>
      <c r="D1023" s="2" t="s">
        <v>31</v>
      </c>
      <c r="E1023" s="2" t="s">
        <v>205</v>
      </c>
      <c r="F1023" s="2">
        <v>62.24</v>
      </c>
      <c r="G1023" s="2" t="s">
        <v>206</v>
      </c>
      <c r="H1023" s="2">
        <v>80</v>
      </c>
      <c r="I1023" s="2">
        <v>49.792000000000002</v>
      </c>
      <c r="J1023" s="2" t="s">
        <v>1291</v>
      </c>
      <c r="K1023" s="20">
        <v>44897</v>
      </c>
      <c r="L1023" s="20">
        <v>44533</v>
      </c>
      <c r="M1023" s="20">
        <v>44533</v>
      </c>
      <c r="N1023" s="2" t="s">
        <v>220</v>
      </c>
      <c r="O1023" s="2" t="s">
        <v>82</v>
      </c>
      <c r="P1023" s="2" t="s">
        <v>47</v>
      </c>
      <c r="Q1023" s="2">
        <f t="shared" si="15"/>
        <v>1</v>
      </c>
    </row>
    <row r="1024" spans="1:17" x14ac:dyDescent="0.25">
      <c r="A1024" s="2" t="s">
        <v>2918</v>
      </c>
      <c r="B1024" s="2" t="s">
        <v>2919</v>
      </c>
      <c r="C1024" s="2" t="s">
        <v>30</v>
      </c>
      <c r="D1024" s="2" t="s">
        <v>211</v>
      </c>
      <c r="E1024" s="2" t="s">
        <v>205</v>
      </c>
      <c r="F1024" s="2">
        <v>647.904</v>
      </c>
      <c r="G1024" s="2" t="s">
        <v>206</v>
      </c>
      <c r="H1024" s="2">
        <v>80</v>
      </c>
      <c r="I1024" s="2">
        <v>518.32320000000004</v>
      </c>
      <c r="J1024" s="2" t="s">
        <v>1291</v>
      </c>
      <c r="K1024" s="20">
        <v>44899</v>
      </c>
      <c r="L1024" s="20">
        <v>44538</v>
      </c>
      <c r="M1024" s="20">
        <v>44538</v>
      </c>
      <c r="N1024" s="2" t="s">
        <v>238</v>
      </c>
      <c r="O1024" s="2" t="s">
        <v>33</v>
      </c>
      <c r="P1024" s="2" t="s">
        <v>34</v>
      </c>
      <c r="Q1024" s="2">
        <f t="shared" si="15"/>
        <v>1</v>
      </c>
    </row>
    <row r="1025" spans="1:17" x14ac:dyDescent="0.25">
      <c r="A1025" s="2" t="s">
        <v>2920</v>
      </c>
      <c r="B1025" s="2" t="s">
        <v>2921</v>
      </c>
      <c r="C1025" s="2" t="s">
        <v>19</v>
      </c>
      <c r="D1025" s="2" t="s">
        <v>96</v>
      </c>
      <c r="E1025" s="2" t="s">
        <v>212</v>
      </c>
      <c r="F1025" s="2">
        <v>482.34</v>
      </c>
      <c r="G1025" s="2" t="s">
        <v>206</v>
      </c>
      <c r="H1025" s="2">
        <v>100</v>
      </c>
      <c r="I1025" s="2">
        <v>482.34</v>
      </c>
      <c r="J1025" s="2" t="s">
        <v>1291</v>
      </c>
      <c r="K1025" s="20">
        <v>44900</v>
      </c>
      <c r="L1025" s="20">
        <v>44539</v>
      </c>
      <c r="M1025" s="20">
        <v>44539</v>
      </c>
      <c r="N1025" s="2" t="s">
        <v>213</v>
      </c>
      <c r="O1025" s="2" t="s">
        <v>67</v>
      </c>
      <c r="P1025" s="2" t="s">
        <v>68</v>
      </c>
      <c r="Q1025" s="2">
        <f t="shared" si="15"/>
        <v>1</v>
      </c>
    </row>
    <row r="1026" spans="1:17" x14ac:dyDescent="0.25">
      <c r="A1026" s="2" t="s">
        <v>2923</v>
      </c>
      <c r="B1026" s="2" t="s">
        <v>2924</v>
      </c>
      <c r="C1026" s="2" t="s">
        <v>30</v>
      </c>
      <c r="D1026" s="2" t="s">
        <v>345</v>
      </c>
      <c r="E1026" s="2" t="s">
        <v>212</v>
      </c>
      <c r="F1026" s="2">
        <v>16.448</v>
      </c>
      <c r="G1026" s="2" t="s">
        <v>206</v>
      </c>
      <c r="H1026" s="2">
        <v>100</v>
      </c>
      <c r="I1026" s="2">
        <v>16.448</v>
      </c>
      <c r="J1026" s="2" t="s">
        <v>1291</v>
      </c>
      <c r="K1026" s="20">
        <v>44902</v>
      </c>
      <c r="L1026" s="20">
        <v>44542</v>
      </c>
      <c r="M1026" s="20">
        <v>44542</v>
      </c>
      <c r="N1026" s="2" t="s">
        <v>220</v>
      </c>
      <c r="O1026" s="2" t="s">
        <v>97</v>
      </c>
      <c r="P1026" s="2" t="s">
        <v>68</v>
      </c>
      <c r="Q1026" s="2">
        <f t="shared" ref="Q1026:Q1089" si="16">COUNTIF($A$2:$A$1778,A1026)</f>
        <v>1</v>
      </c>
    </row>
    <row r="1027" spans="1:17" x14ac:dyDescent="0.25">
      <c r="A1027" s="2" t="s">
        <v>2925</v>
      </c>
      <c r="B1027" s="2" t="s">
        <v>2926</v>
      </c>
      <c r="C1027" s="2" t="s">
        <v>19</v>
      </c>
      <c r="D1027" s="2" t="s">
        <v>31</v>
      </c>
      <c r="E1027" s="2" t="s">
        <v>205</v>
      </c>
      <c r="F1027" s="2">
        <v>1619.91</v>
      </c>
      <c r="G1027" s="2" t="s">
        <v>206</v>
      </c>
      <c r="H1027" s="2">
        <v>80</v>
      </c>
      <c r="I1027" s="2">
        <v>1295.9280000000001</v>
      </c>
      <c r="J1027" s="2" t="s">
        <v>1291</v>
      </c>
      <c r="K1027" s="20">
        <v>44902</v>
      </c>
      <c r="L1027" s="20">
        <v>44539</v>
      </c>
      <c r="M1027" s="20">
        <v>44539</v>
      </c>
      <c r="N1027" s="2" t="s">
        <v>213</v>
      </c>
      <c r="O1027" s="2" t="s">
        <v>54</v>
      </c>
      <c r="P1027" s="2" t="s">
        <v>26</v>
      </c>
      <c r="Q1027" s="2">
        <f t="shared" si="16"/>
        <v>1</v>
      </c>
    </row>
    <row r="1028" spans="1:17" x14ac:dyDescent="0.25">
      <c r="A1028" s="2" t="s">
        <v>2928</v>
      </c>
      <c r="B1028" s="2" t="s">
        <v>2929</v>
      </c>
      <c r="C1028" s="2" t="s">
        <v>19</v>
      </c>
      <c r="D1028" s="2" t="s">
        <v>211</v>
      </c>
      <c r="E1028" s="2" t="s">
        <v>205</v>
      </c>
      <c r="F1028" s="2">
        <v>13.12</v>
      </c>
      <c r="G1028" s="2" t="s">
        <v>206</v>
      </c>
      <c r="H1028" s="2">
        <v>80</v>
      </c>
      <c r="I1028" s="2">
        <v>10.496</v>
      </c>
      <c r="J1028" s="2" t="s">
        <v>1291</v>
      </c>
      <c r="K1028" s="20">
        <v>44906</v>
      </c>
      <c r="L1028" s="20">
        <v>44546</v>
      </c>
      <c r="M1028" s="20">
        <v>44546</v>
      </c>
      <c r="N1028" s="2" t="s">
        <v>207</v>
      </c>
      <c r="O1028" s="2" t="s">
        <v>54</v>
      </c>
      <c r="P1028" s="2" t="s">
        <v>26</v>
      </c>
      <c r="Q1028" s="2">
        <f t="shared" si="16"/>
        <v>1</v>
      </c>
    </row>
    <row r="1029" spans="1:17" x14ac:dyDescent="0.25">
      <c r="A1029" s="2" t="s">
        <v>2931</v>
      </c>
      <c r="B1029" s="2" t="s">
        <v>2932</v>
      </c>
      <c r="C1029" s="2" t="s">
        <v>30</v>
      </c>
      <c r="D1029" s="2" t="s">
        <v>20</v>
      </c>
      <c r="E1029" s="2" t="s">
        <v>212</v>
      </c>
      <c r="F1029" s="2">
        <v>54.92</v>
      </c>
      <c r="G1029" s="2" t="s">
        <v>206</v>
      </c>
      <c r="H1029" s="2">
        <v>100</v>
      </c>
      <c r="I1029" s="2">
        <v>54.92</v>
      </c>
      <c r="J1029" s="2" t="s">
        <v>1291</v>
      </c>
      <c r="K1029" s="20">
        <v>44907</v>
      </c>
      <c r="L1029" s="20">
        <v>44546</v>
      </c>
      <c r="M1029" s="20">
        <v>44546</v>
      </c>
      <c r="N1029" s="2" t="s">
        <v>238</v>
      </c>
      <c r="O1029" s="2" t="s">
        <v>40</v>
      </c>
      <c r="P1029" s="2" t="s">
        <v>34</v>
      </c>
      <c r="Q1029" s="2">
        <f t="shared" si="16"/>
        <v>1</v>
      </c>
    </row>
    <row r="1030" spans="1:17" x14ac:dyDescent="0.25">
      <c r="A1030" s="2" t="s">
        <v>2934</v>
      </c>
      <c r="B1030" s="2" t="s">
        <v>2935</v>
      </c>
      <c r="C1030" s="2" t="s">
        <v>30</v>
      </c>
      <c r="D1030" s="2" t="s">
        <v>150</v>
      </c>
      <c r="E1030" s="2" t="s">
        <v>205</v>
      </c>
      <c r="F1030" s="2">
        <v>25.488</v>
      </c>
      <c r="G1030" s="2" t="s">
        <v>206</v>
      </c>
      <c r="H1030" s="2">
        <v>80</v>
      </c>
      <c r="I1030" s="2">
        <v>20.3904</v>
      </c>
      <c r="J1030" s="2" t="s">
        <v>1291</v>
      </c>
      <c r="K1030" s="20">
        <v>44907</v>
      </c>
      <c r="L1030" s="20">
        <v>44548</v>
      </c>
      <c r="M1030" s="20">
        <v>44548</v>
      </c>
      <c r="N1030" s="2" t="s">
        <v>234</v>
      </c>
      <c r="O1030" s="2" t="s">
        <v>97</v>
      </c>
      <c r="P1030" s="2" t="s">
        <v>68</v>
      </c>
      <c r="Q1030" s="2">
        <f t="shared" si="16"/>
        <v>1</v>
      </c>
    </row>
    <row r="1031" spans="1:17" x14ac:dyDescent="0.25">
      <c r="A1031" s="2" t="s">
        <v>2937</v>
      </c>
      <c r="B1031" s="2" t="s">
        <v>2938</v>
      </c>
      <c r="C1031" s="2" t="s">
        <v>30</v>
      </c>
      <c r="D1031" s="2" t="s">
        <v>211</v>
      </c>
      <c r="E1031" s="2" t="s">
        <v>205</v>
      </c>
      <c r="F1031" s="2">
        <v>8.0960000000000001</v>
      </c>
      <c r="G1031" s="2" t="s">
        <v>206</v>
      </c>
      <c r="H1031" s="2">
        <v>80</v>
      </c>
      <c r="I1031" s="2">
        <v>6.4768000000000008</v>
      </c>
      <c r="J1031" s="2" t="s">
        <v>1291</v>
      </c>
      <c r="K1031" s="20">
        <v>44908</v>
      </c>
      <c r="L1031" s="20">
        <v>44547</v>
      </c>
      <c r="M1031" s="20">
        <v>44547</v>
      </c>
      <c r="N1031" s="2" t="s">
        <v>234</v>
      </c>
      <c r="O1031" s="2" t="s">
        <v>25</v>
      </c>
      <c r="P1031" s="2" t="s">
        <v>26</v>
      </c>
      <c r="Q1031" s="2">
        <f t="shared" si="16"/>
        <v>1</v>
      </c>
    </row>
    <row r="1032" spans="1:17" x14ac:dyDescent="0.25">
      <c r="A1032" s="2" t="s">
        <v>2940</v>
      </c>
      <c r="B1032" s="2" t="s">
        <v>2941</v>
      </c>
      <c r="C1032" s="2" t="s">
        <v>30</v>
      </c>
      <c r="D1032" s="2" t="s">
        <v>126</v>
      </c>
      <c r="E1032" s="2" t="s">
        <v>205</v>
      </c>
      <c r="F1032" s="2">
        <v>255.96799999999999</v>
      </c>
      <c r="G1032" s="2" t="s">
        <v>206</v>
      </c>
      <c r="H1032" s="2">
        <v>80</v>
      </c>
      <c r="I1032" s="2">
        <v>204.77440000000001</v>
      </c>
      <c r="J1032" s="2" t="s">
        <v>1291</v>
      </c>
      <c r="K1032" s="20">
        <v>44910</v>
      </c>
      <c r="L1032" s="20">
        <v>44550</v>
      </c>
      <c r="M1032" s="20">
        <v>44550</v>
      </c>
      <c r="N1032" s="2" t="s">
        <v>234</v>
      </c>
      <c r="O1032" s="2" t="s">
        <v>46</v>
      </c>
      <c r="P1032" s="2" t="s">
        <v>47</v>
      </c>
      <c r="Q1032" s="2">
        <f t="shared" si="16"/>
        <v>1</v>
      </c>
    </row>
    <row r="1033" spans="1:17" x14ac:dyDescent="0.25">
      <c r="A1033" s="2" t="s">
        <v>2943</v>
      </c>
      <c r="B1033" s="2" t="s">
        <v>2944</v>
      </c>
      <c r="C1033" s="2" t="s">
        <v>30</v>
      </c>
      <c r="D1033" s="2" t="s">
        <v>44</v>
      </c>
      <c r="E1033" s="2" t="s">
        <v>212</v>
      </c>
      <c r="F1033" s="2">
        <v>17.12</v>
      </c>
      <c r="G1033" s="2" t="s">
        <v>206</v>
      </c>
      <c r="H1033" s="2">
        <v>100</v>
      </c>
      <c r="I1033" s="2">
        <v>17.12</v>
      </c>
      <c r="J1033" s="2" t="s">
        <v>1291</v>
      </c>
      <c r="K1033" s="20">
        <v>44911</v>
      </c>
      <c r="L1033" s="20">
        <v>44550</v>
      </c>
      <c r="M1033" s="20">
        <v>44550</v>
      </c>
      <c r="N1033" s="2" t="s">
        <v>213</v>
      </c>
      <c r="O1033" s="2" t="s">
        <v>40</v>
      </c>
      <c r="P1033" s="2" t="s">
        <v>34</v>
      </c>
      <c r="Q1033" s="2">
        <f t="shared" si="16"/>
        <v>1</v>
      </c>
    </row>
    <row r="1034" spans="1:17" x14ac:dyDescent="0.25">
      <c r="A1034" s="2" t="s">
        <v>2946</v>
      </c>
      <c r="B1034" s="2" t="s">
        <v>2947</v>
      </c>
      <c r="C1034" s="2" t="s">
        <v>19</v>
      </c>
      <c r="D1034" s="2" t="s">
        <v>164</v>
      </c>
      <c r="E1034" s="2" t="s">
        <v>205</v>
      </c>
      <c r="F1034" s="2">
        <v>12.672000000000001</v>
      </c>
      <c r="G1034" s="2" t="s">
        <v>206</v>
      </c>
      <c r="H1034" s="2">
        <v>80</v>
      </c>
      <c r="I1034" s="2">
        <v>10.137600000000001</v>
      </c>
      <c r="J1034" s="2" t="s">
        <v>1291</v>
      </c>
      <c r="K1034" s="20">
        <v>44915</v>
      </c>
      <c r="L1034" s="20">
        <v>44553</v>
      </c>
      <c r="M1034" s="20">
        <v>44553</v>
      </c>
      <c r="N1034" s="2" t="s">
        <v>248</v>
      </c>
      <c r="O1034" s="2" t="s">
        <v>46</v>
      </c>
      <c r="P1034" s="2" t="s">
        <v>47</v>
      </c>
      <c r="Q1034" s="2">
        <f t="shared" si="16"/>
        <v>1</v>
      </c>
    </row>
    <row r="1035" spans="1:17" x14ac:dyDescent="0.25">
      <c r="A1035" s="2" t="s">
        <v>2948</v>
      </c>
      <c r="B1035" s="2" t="s">
        <v>2949</v>
      </c>
      <c r="C1035" s="2" t="s">
        <v>30</v>
      </c>
      <c r="D1035" s="2" t="s">
        <v>62</v>
      </c>
      <c r="E1035" s="2" t="s">
        <v>212</v>
      </c>
      <c r="F1035" s="2">
        <v>180.96</v>
      </c>
      <c r="G1035" s="2" t="s">
        <v>206</v>
      </c>
      <c r="H1035" s="2">
        <v>100</v>
      </c>
      <c r="I1035" s="2">
        <v>180.96</v>
      </c>
      <c r="J1035" s="2" t="s">
        <v>1291</v>
      </c>
      <c r="K1035" s="20">
        <v>44916</v>
      </c>
      <c r="L1035" s="20">
        <v>44555</v>
      </c>
      <c r="M1035" s="20">
        <v>44555</v>
      </c>
      <c r="N1035" s="2" t="s">
        <v>220</v>
      </c>
      <c r="O1035" s="2" t="s">
        <v>40</v>
      </c>
      <c r="P1035" s="2" t="s">
        <v>34</v>
      </c>
      <c r="Q1035" s="2">
        <f t="shared" si="16"/>
        <v>1</v>
      </c>
    </row>
    <row r="1036" spans="1:17" x14ac:dyDescent="0.25">
      <c r="A1036" s="2" t="s">
        <v>2950</v>
      </c>
      <c r="B1036" s="2" t="s">
        <v>2951</v>
      </c>
      <c r="C1036" s="2" t="s">
        <v>19</v>
      </c>
      <c r="D1036" s="2" t="s">
        <v>115</v>
      </c>
      <c r="E1036" s="2" t="s">
        <v>205</v>
      </c>
      <c r="F1036" s="2">
        <v>22.2</v>
      </c>
      <c r="G1036" s="2" t="s">
        <v>206</v>
      </c>
      <c r="H1036" s="2">
        <v>80</v>
      </c>
      <c r="I1036" s="2">
        <v>17.760000000000002</v>
      </c>
      <c r="J1036" s="2" t="s">
        <v>1291</v>
      </c>
      <c r="K1036" s="20">
        <v>44916</v>
      </c>
      <c r="L1036" s="20">
        <v>44555</v>
      </c>
      <c r="M1036" s="20">
        <v>44555</v>
      </c>
      <c r="N1036" s="2" t="s">
        <v>248</v>
      </c>
      <c r="O1036" s="2" t="s">
        <v>67</v>
      </c>
      <c r="P1036" s="2" t="s">
        <v>68</v>
      </c>
      <c r="Q1036" s="2">
        <f t="shared" si="16"/>
        <v>1</v>
      </c>
    </row>
    <row r="1037" spans="1:17" x14ac:dyDescent="0.25">
      <c r="A1037" s="2" t="s">
        <v>2952</v>
      </c>
      <c r="B1037" s="2" t="s">
        <v>2953</v>
      </c>
      <c r="C1037" s="2" t="s">
        <v>19</v>
      </c>
      <c r="D1037" s="2" t="s">
        <v>51</v>
      </c>
      <c r="E1037" s="2" t="s">
        <v>212</v>
      </c>
      <c r="F1037" s="2">
        <v>106.05</v>
      </c>
      <c r="G1037" s="2" t="s">
        <v>206</v>
      </c>
      <c r="H1037" s="2">
        <v>100</v>
      </c>
      <c r="I1037" s="2">
        <v>106.05</v>
      </c>
      <c r="J1037" s="2" t="s">
        <v>1291</v>
      </c>
      <c r="K1037" s="20">
        <v>44918</v>
      </c>
      <c r="L1037" s="20">
        <v>44558</v>
      </c>
      <c r="M1037" s="20">
        <v>44558</v>
      </c>
      <c r="N1037" s="2" t="s">
        <v>207</v>
      </c>
      <c r="O1037" s="2" t="s">
        <v>97</v>
      </c>
      <c r="P1037" s="2" t="s">
        <v>68</v>
      </c>
      <c r="Q1037" s="2">
        <f t="shared" si="16"/>
        <v>1</v>
      </c>
    </row>
    <row r="1038" spans="1:17" x14ac:dyDescent="0.25">
      <c r="A1038" s="2" t="s">
        <v>2955</v>
      </c>
      <c r="B1038" s="2" t="s">
        <v>2956</v>
      </c>
      <c r="C1038" s="2" t="s">
        <v>30</v>
      </c>
      <c r="D1038" s="2" t="s">
        <v>150</v>
      </c>
      <c r="E1038" s="2" t="s">
        <v>212</v>
      </c>
      <c r="F1038" s="2">
        <v>349.95</v>
      </c>
      <c r="G1038" s="2" t="s">
        <v>206</v>
      </c>
      <c r="H1038" s="2">
        <v>100</v>
      </c>
      <c r="I1038" s="2">
        <v>349.95</v>
      </c>
      <c r="J1038" s="2" t="s">
        <v>1291</v>
      </c>
      <c r="K1038" s="20">
        <v>44920</v>
      </c>
      <c r="L1038" s="20">
        <v>44559</v>
      </c>
      <c r="M1038" s="20">
        <v>44559</v>
      </c>
      <c r="N1038" s="2" t="s">
        <v>207</v>
      </c>
      <c r="O1038" s="2" t="s">
        <v>54</v>
      </c>
      <c r="P1038" s="2" t="s">
        <v>26</v>
      </c>
      <c r="Q1038" s="2">
        <f t="shared" si="16"/>
        <v>1</v>
      </c>
    </row>
    <row r="1039" spans="1:17" x14ac:dyDescent="0.25">
      <c r="A1039" s="2" t="s">
        <v>2958</v>
      </c>
      <c r="B1039" s="2" t="s">
        <v>2959</v>
      </c>
      <c r="C1039" s="2" t="s">
        <v>19</v>
      </c>
      <c r="D1039" s="2" t="s">
        <v>96</v>
      </c>
      <c r="E1039" s="2" t="s">
        <v>205</v>
      </c>
      <c r="F1039" s="2">
        <v>377.928</v>
      </c>
      <c r="G1039" s="2" t="s">
        <v>206</v>
      </c>
      <c r="H1039" s="2">
        <v>80</v>
      </c>
      <c r="I1039" s="2">
        <v>302.3424</v>
      </c>
      <c r="J1039" s="2" t="s">
        <v>1291</v>
      </c>
      <c r="K1039" s="20">
        <v>44921</v>
      </c>
      <c r="L1039" s="20">
        <v>44560</v>
      </c>
      <c r="M1039" s="20">
        <v>44560</v>
      </c>
      <c r="N1039" s="2" t="s">
        <v>234</v>
      </c>
      <c r="O1039" s="2" t="s">
        <v>33</v>
      </c>
      <c r="P1039" s="2" t="s">
        <v>34</v>
      </c>
      <c r="Q1039" s="2">
        <f t="shared" si="16"/>
        <v>1</v>
      </c>
    </row>
    <row r="1040" spans="1:17" x14ac:dyDescent="0.25">
      <c r="A1040" s="2" t="s">
        <v>2961</v>
      </c>
      <c r="B1040" s="2" t="s">
        <v>2962</v>
      </c>
      <c r="C1040" s="2" t="s">
        <v>19</v>
      </c>
      <c r="D1040" s="2" t="s">
        <v>51</v>
      </c>
      <c r="E1040" s="2" t="s">
        <v>212</v>
      </c>
      <c r="F1040" s="2">
        <v>29.99</v>
      </c>
      <c r="G1040" s="2" t="s">
        <v>206</v>
      </c>
      <c r="H1040" s="2">
        <v>100</v>
      </c>
      <c r="I1040" s="2">
        <v>29.99</v>
      </c>
      <c r="J1040" s="2" t="s">
        <v>1291</v>
      </c>
      <c r="K1040" s="20">
        <v>44922</v>
      </c>
      <c r="L1040" s="20">
        <v>44561</v>
      </c>
      <c r="M1040" s="20">
        <v>44561</v>
      </c>
      <c r="N1040" s="2" t="s">
        <v>213</v>
      </c>
      <c r="O1040" s="2" t="s">
        <v>33</v>
      </c>
      <c r="P1040" s="2" t="s">
        <v>34</v>
      </c>
      <c r="Q1040" s="2">
        <f t="shared" si="16"/>
        <v>1</v>
      </c>
    </row>
    <row r="1041" spans="1:17" x14ac:dyDescent="0.25">
      <c r="A1041" s="2" t="s">
        <v>2963</v>
      </c>
      <c r="B1041" s="2" t="s">
        <v>2964</v>
      </c>
      <c r="C1041" s="2" t="s">
        <v>19</v>
      </c>
      <c r="D1041" s="2" t="s">
        <v>105</v>
      </c>
      <c r="E1041" s="2" t="s">
        <v>205</v>
      </c>
      <c r="F1041" s="2">
        <v>132.22399999999999</v>
      </c>
      <c r="G1041" s="2" t="s">
        <v>206</v>
      </c>
      <c r="H1041" s="2">
        <v>80</v>
      </c>
      <c r="I1041" s="2">
        <v>105.7792</v>
      </c>
      <c r="J1041" s="2" t="s">
        <v>1291</v>
      </c>
      <c r="K1041" s="20">
        <v>44924</v>
      </c>
      <c r="L1041" s="20">
        <v>44928</v>
      </c>
      <c r="M1041" s="20">
        <v>44928</v>
      </c>
      <c r="N1041" s="2" t="s">
        <v>238</v>
      </c>
      <c r="O1041" s="2" t="s">
        <v>146</v>
      </c>
      <c r="P1041" s="2" t="s">
        <v>73</v>
      </c>
      <c r="Q1041" s="2">
        <f t="shared" si="16"/>
        <v>1</v>
      </c>
    </row>
    <row r="1042" spans="1:17" x14ac:dyDescent="0.25">
      <c r="A1042" s="2" t="s">
        <v>2965</v>
      </c>
      <c r="B1042" s="2" t="s">
        <v>2966</v>
      </c>
      <c r="C1042" s="2" t="s">
        <v>30</v>
      </c>
      <c r="D1042" s="2" t="s">
        <v>345</v>
      </c>
      <c r="E1042" s="2" t="s">
        <v>205</v>
      </c>
      <c r="F1042" s="2">
        <v>26.38</v>
      </c>
      <c r="G1042" s="2" t="s">
        <v>206</v>
      </c>
      <c r="H1042" s="2">
        <v>80</v>
      </c>
      <c r="I1042" s="2">
        <v>21.103999999999999</v>
      </c>
      <c r="J1042" s="2" t="s">
        <v>1291</v>
      </c>
      <c r="K1042" s="20">
        <v>44944</v>
      </c>
      <c r="L1042" s="20">
        <v>44948</v>
      </c>
      <c r="M1042" s="20">
        <v>44948</v>
      </c>
      <c r="N1042" s="2" t="s">
        <v>207</v>
      </c>
      <c r="O1042" s="2" t="s">
        <v>67</v>
      </c>
      <c r="P1042" s="2" t="s">
        <v>68</v>
      </c>
      <c r="Q1042" s="2">
        <f t="shared" si="16"/>
        <v>1</v>
      </c>
    </row>
    <row r="1043" spans="1:17" x14ac:dyDescent="0.25">
      <c r="A1043" s="2" t="s">
        <v>2967</v>
      </c>
      <c r="B1043" s="2" t="s">
        <v>2968</v>
      </c>
      <c r="C1043" s="2" t="s">
        <v>30</v>
      </c>
      <c r="D1043" s="2" t="s">
        <v>51</v>
      </c>
      <c r="E1043" s="2" t="s">
        <v>212</v>
      </c>
      <c r="F1043" s="2">
        <v>4899.93</v>
      </c>
      <c r="G1043" s="2" t="s">
        <v>206</v>
      </c>
      <c r="H1043" s="2">
        <v>100</v>
      </c>
      <c r="I1043" s="2">
        <v>4899.93</v>
      </c>
      <c r="J1043" s="2" t="s">
        <v>1291</v>
      </c>
      <c r="K1043" s="20">
        <v>44949</v>
      </c>
      <c r="L1043" s="20">
        <v>44955</v>
      </c>
      <c r="M1043" s="20">
        <v>44955</v>
      </c>
      <c r="N1043" s="2" t="s">
        <v>220</v>
      </c>
      <c r="O1043" s="2" t="s">
        <v>97</v>
      </c>
      <c r="P1043" s="2" t="s">
        <v>68</v>
      </c>
      <c r="Q1043" s="2">
        <f t="shared" si="16"/>
        <v>1</v>
      </c>
    </row>
    <row r="1044" spans="1:17" x14ac:dyDescent="0.25">
      <c r="A1044" s="2" t="s">
        <v>2970</v>
      </c>
      <c r="B1044" s="2" t="s">
        <v>2971</v>
      </c>
      <c r="C1044" s="2" t="s">
        <v>30</v>
      </c>
      <c r="D1044" s="2" t="s">
        <v>62</v>
      </c>
      <c r="E1044" s="2" t="s">
        <v>205</v>
      </c>
      <c r="F1044" s="2">
        <v>102.36</v>
      </c>
      <c r="G1044" s="2" t="s">
        <v>206</v>
      </c>
      <c r="H1044" s="2">
        <v>80</v>
      </c>
      <c r="I1044" s="2">
        <v>81.888000000000005</v>
      </c>
      <c r="J1044" s="2" t="s">
        <v>1291</v>
      </c>
      <c r="K1044" s="20">
        <v>44950</v>
      </c>
      <c r="L1044" s="20">
        <v>44956</v>
      </c>
      <c r="M1044" s="20">
        <v>44956</v>
      </c>
      <c r="N1044" s="2" t="s">
        <v>234</v>
      </c>
      <c r="O1044" s="2" t="s">
        <v>67</v>
      </c>
      <c r="P1044" s="2" t="s">
        <v>68</v>
      </c>
      <c r="Q1044" s="2">
        <f t="shared" si="16"/>
        <v>1</v>
      </c>
    </row>
    <row r="1045" spans="1:17" x14ac:dyDescent="0.25">
      <c r="A1045" s="2" t="s">
        <v>2973</v>
      </c>
      <c r="B1045" s="2" t="s">
        <v>2974</v>
      </c>
      <c r="C1045" s="2" t="s">
        <v>30</v>
      </c>
      <c r="D1045" s="2" t="s">
        <v>211</v>
      </c>
      <c r="E1045" s="2" t="s">
        <v>205</v>
      </c>
      <c r="F1045" s="2">
        <v>70.08</v>
      </c>
      <c r="G1045" s="2" t="s">
        <v>206</v>
      </c>
      <c r="H1045" s="2">
        <v>80</v>
      </c>
      <c r="I1045" s="2">
        <v>56.064</v>
      </c>
      <c r="J1045" s="2" t="s">
        <v>1291</v>
      </c>
      <c r="K1045" s="20">
        <v>44958</v>
      </c>
      <c r="L1045" s="20">
        <v>44960</v>
      </c>
      <c r="M1045" s="20">
        <v>44960</v>
      </c>
      <c r="N1045" s="2" t="s">
        <v>234</v>
      </c>
      <c r="O1045" s="2" t="s">
        <v>33</v>
      </c>
      <c r="P1045" s="2" t="s">
        <v>34</v>
      </c>
      <c r="Q1045" s="2">
        <f t="shared" si="16"/>
        <v>1</v>
      </c>
    </row>
    <row r="1046" spans="1:17" x14ac:dyDescent="0.25">
      <c r="A1046" s="2" t="s">
        <v>2975</v>
      </c>
      <c r="B1046" s="2" t="s">
        <v>2976</v>
      </c>
      <c r="C1046" s="2" t="s">
        <v>30</v>
      </c>
      <c r="D1046" s="2" t="s">
        <v>31</v>
      </c>
      <c r="E1046" s="2" t="s">
        <v>212</v>
      </c>
      <c r="F1046" s="2">
        <v>697.16</v>
      </c>
      <c r="G1046" s="2" t="s">
        <v>206</v>
      </c>
      <c r="H1046" s="2">
        <v>100</v>
      </c>
      <c r="I1046" s="2">
        <v>697.16</v>
      </c>
      <c r="J1046" s="2" t="s">
        <v>1291</v>
      </c>
      <c r="K1046" s="20">
        <v>44960</v>
      </c>
      <c r="L1046" s="20">
        <v>44965</v>
      </c>
      <c r="M1046" s="20">
        <v>44965</v>
      </c>
      <c r="N1046" s="2" t="s">
        <v>213</v>
      </c>
      <c r="O1046" s="2" t="s">
        <v>54</v>
      </c>
      <c r="P1046" s="2" t="s">
        <v>26</v>
      </c>
      <c r="Q1046" s="2">
        <f t="shared" si="16"/>
        <v>1</v>
      </c>
    </row>
    <row r="1047" spans="1:17" x14ac:dyDescent="0.25">
      <c r="A1047" s="2" t="s">
        <v>2977</v>
      </c>
      <c r="B1047" s="2" t="s">
        <v>2978</v>
      </c>
      <c r="C1047" s="2" t="s">
        <v>19</v>
      </c>
      <c r="D1047" s="2" t="s">
        <v>58</v>
      </c>
      <c r="E1047" s="2" t="s">
        <v>212</v>
      </c>
      <c r="F1047" s="2">
        <v>1.3440000000000001</v>
      </c>
      <c r="G1047" s="2" t="s">
        <v>206</v>
      </c>
      <c r="H1047" s="2">
        <v>100</v>
      </c>
      <c r="I1047" s="2">
        <v>1.3440000000000001</v>
      </c>
      <c r="J1047" s="2" t="s">
        <v>1291</v>
      </c>
      <c r="K1047" s="20">
        <v>44962</v>
      </c>
      <c r="L1047" s="20">
        <v>44966</v>
      </c>
      <c r="M1047" s="20">
        <v>44966</v>
      </c>
      <c r="N1047" s="2" t="s">
        <v>220</v>
      </c>
      <c r="O1047" s="2" t="s">
        <v>40</v>
      </c>
      <c r="P1047" s="2" t="s">
        <v>34</v>
      </c>
      <c r="Q1047" s="2">
        <f t="shared" si="16"/>
        <v>1</v>
      </c>
    </row>
    <row r="1048" spans="1:17" x14ac:dyDescent="0.25">
      <c r="A1048" s="2" t="s">
        <v>2980</v>
      </c>
      <c r="B1048" s="2" t="s">
        <v>2981</v>
      </c>
      <c r="C1048" s="2" t="s">
        <v>30</v>
      </c>
      <c r="D1048" s="2" t="s">
        <v>44</v>
      </c>
      <c r="E1048" s="2" t="s">
        <v>212</v>
      </c>
      <c r="F1048" s="2">
        <v>403.16800000000001</v>
      </c>
      <c r="G1048" s="2" t="s">
        <v>206</v>
      </c>
      <c r="H1048" s="2">
        <v>100</v>
      </c>
      <c r="I1048" s="2">
        <v>403.16800000000001</v>
      </c>
      <c r="J1048" s="2" t="s">
        <v>1291</v>
      </c>
      <c r="K1048" s="20">
        <v>44962</v>
      </c>
      <c r="L1048" s="20">
        <v>44968</v>
      </c>
      <c r="M1048" s="20">
        <v>44968</v>
      </c>
      <c r="N1048" s="2" t="s">
        <v>213</v>
      </c>
      <c r="O1048" s="2" t="s">
        <v>54</v>
      </c>
      <c r="P1048" s="2" t="s">
        <v>26</v>
      </c>
      <c r="Q1048" s="2">
        <f t="shared" si="16"/>
        <v>1</v>
      </c>
    </row>
    <row r="1049" spans="1:17" x14ac:dyDescent="0.25">
      <c r="A1049" s="2" t="s">
        <v>2982</v>
      </c>
      <c r="B1049" s="2" t="s">
        <v>2983</v>
      </c>
      <c r="C1049" s="2" t="s">
        <v>30</v>
      </c>
      <c r="D1049" s="2" t="s">
        <v>324</v>
      </c>
      <c r="E1049" s="2" t="s">
        <v>212</v>
      </c>
      <c r="F1049" s="2">
        <v>12.96</v>
      </c>
      <c r="G1049" s="2" t="s">
        <v>206</v>
      </c>
      <c r="H1049" s="2">
        <v>100</v>
      </c>
      <c r="I1049" s="2">
        <v>12.96</v>
      </c>
      <c r="J1049" s="2" t="s">
        <v>1291</v>
      </c>
      <c r="K1049" s="20">
        <v>44969</v>
      </c>
      <c r="L1049" s="20">
        <v>44971</v>
      </c>
      <c r="M1049" s="20">
        <v>44971</v>
      </c>
      <c r="N1049" s="2" t="s">
        <v>213</v>
      </c>
      <c r="O1049" s="2" t="s">
        <v>146</v>
      </c>
      <c r="P1049" s="2" t="s">
        <v>73</v>
      </c>
      <c r="Q1049" s="2">
        <f t="shared" si="16"/>
        <v>1</v>
      </c>
    </row>
    <row r="1050" spans="1:17" x14ac:dyDescent="0.25">
      <c r="A1050" s="2" t="s">
        <v>2984</v>
      </c>
      <c r="B1050" s="2" t="s">
        <v>2985</v>
      </c>
      <c r="C1050" s="2" t="s">
        <v>19</v>
      </c>
      <c r="D1050" s="2" t="s">
        <v>115</v>
      </c>
      <c r="E1050" s="2" t="s">
        <v>21</v>
      </c>
      <c r="F1050" s="2">
        <v>1366.04</v>
      </c>
      <c r="G1050" s="2" t="s">
        <v>22</v>
      </c>
      <c r="H1050" s="2">
        <v>0</v>
      </c>
      <c r="I1050" s="2">
        <v>0</v>
      </c>
      <c r="J1050" s="2" t="s">
        <v>1291</v>
      </c>
      <c r="K1050" s="20">
        <v>44970</v>
      </c>
      <c r="L1050" s="20">
        <v>44972</v>
      </c>
      <c r="M1050" s="20">
        <v>44972</v>
      </c>
      <c r="N1050" s="2" t="s">
        <v>45</v>
      </c>
      <c r="O1050" s="2" t="s">
        <v>33</v>
      </c>
      <c r="P1050" s="2" t="s">
        <v>34</v>
      </c>
      <c r="Q1050" s="2">
        <f t="shared" si="16"/>
        <v>1</v>
      </c>
    </row>
    <row r="1051" spans="1:17" x14ac:dyDescent="0.25">
      <c r="A1051" s="2" t="s">
        <v>2986</v>
      </c>
      <c r="B1051" s="2" t="s">
        <v>2987</v>
      </c>
      <c r="C1051" s="2" t="s">
        <v>30</v>
      </c>
      <c r="D1051" s="2" t="s">
        <v>345</v>
      </c>
      <c r="E1051" s="2" t="s">
        <v>21</v>
      </c>
      <c r="F1051" s="2">
        <v>573.74099999999999</v>
      </c>
      <c r="G1051" s="2" t="s">
        <v>22</v>
      </c>
      <c r="H1051" s="2">
        <v>0</v>
      </c>
      <c r="I1051" s="2">
        <v>0</v>
      </c>
      <c r="J1051" s="2" t="s">
        <v>1291</v>
      </c>
      <c r="K1051" s="20">
        <v>44972</v>
      </c>
      <c r="L1051" s="20">
        <v>44973</v>
      </c>
      <c r="M1051" s="20">
        <v>44973</v>
      </c>
      <c r="N1051" s="2" t="s">
        <v>32</v>
      </c>
      <c r="O1051" s="2" t="s">
        <v>97</v>
      </c>
      <c r="P1051" s="2" t="s">
        <v>68</v>
      </c>
      <c r="Q1051" s="2">
        <f t="shared" si="16"/>
        <v>1</v>
      </c>
    </row>
    <row r="1052" spans="1:17" x14ac:dyDescent="0.25">
      <c r="A1052" s="2" t="s">
        <v>2989</v>
      </c>
      <c r="B1052" s="2" t="s">
        <v>2990</v>
      </c>
      <c r="C1052" s="2" t="s">
        <v>19</v>
      </c>
      <c r="D1052" s="2" t="s">
        <v>62</v>
      </c>
      <c r="E1052" s="2" t="s">
        <v>212</v>
      </c>
      <c r="F1052" s="2">
        <v>36.744</v>
      </c>
      <c r="G1052" s="2" t="s">
        <v>206</v>
      </c>
      <c r="H1052" s="2">
        <v>100</v>
      </c>
      <c r="I1052" s="2">
        <v>36.744</v>
      </c>
      <c r="J1052" s="2" t="s">
        <v>1291</v>
      </c>
      <c r="K1052" s="20">
        <v>44972</v>
      </c>
      <c r="L1052" s="20">
        <v>44977</v>
      </c>
      <c r="M1052" s="20">
        <v>44977</v>
      </c>
      <c r="N1052" s="2" t="s">
        <v>248</v>
      </c>
      <c r="O1052" s="2" t="s">
        <v>40</v>
      </c>
      <c r="P1052" s="2" t="s">
        <v>34</v>
      </c>
      <c r="Q1052" s="2">
        <f t="shared" si="16"/>
        <v>1</v>
      </c>
    </row>
    <row r="1053" spans="1:17" x14ac:dyDescent="0.25">
      <c r="A1053" s="2" t="s">
        <v>2992</v>
      </c>
      <c r="B1053" s="2" t="s">
        <v>2993</v>
      </c>
      <c r="C1053" s="2" t="s">
        <v>30</v>
      </c>
      <c r="D1053" s="2" t="s">
        <v>186</v>
      </c>
      <c r="E1053" s="2" t="s">
        <v>212</v>
      </c>
      <c r="F1053" s="2">
        <v>30</v>
      </c>
      <c r="G1053" s="2" t="s">
        <v>206</v>
      </c>
      <c r="H1053" s="2">
        <v>100</v>
      </c>
      <c r="I1053" s="2">
        <v>30</v>
      </c>
      <c r="J1053" s="2" t="s">
        <v>1291</v>
      </c>
      <c r="K1053" s="20">
        <v>44977</v>
      </c>
      <c r="L1053" s="20">
        <v>44980</v>
      </c>
      <c r="M1053" s="20">
        <v>44980</v>
      </c>
      <c r="N1053" s="2" t="s">
        <v>238</v>
      </c>
      <c r="O1053" s="2" t="s">
        <v>46</v>
      </c>
      <c r="P1053" s="2" t="s">
        <v>47</v>
      </c>
      <c r="Q1053" s="2">
        <f t="shared" si="16"/>
        <v>1</v>
      </c>
    </row>
    <row r="1054" spans="1:17" x14ac:dyDescent="0.25">
      <c r="A1054" s="2" t="s">
        <v>2994</v>
      </c>
      <c r="B1054" s="2" t="s">
        <v>2995</v>
      </c>
      <c r="C1054" s="2" t="s">
        <v>30</v>
      </c>
      <c r="D1054" s="2" t="s">
        <v>77</v>
      </c>
      <c r="E1054" s="2" t="s">
        <v>212</v>
      </c>
      <c r="F1054" s="2">
        <v>150.66</v>
      </c>
      <c r="G1054" s="2" t="s">
        <v>206</v>
      </c>
      <c r="H1054" s="2">
        <v>100</v>
      </c>
      <c r="I1054" s="2">
        <v>150.66</v>
      </c>
      <c r="J1054" s="2" t="s">
        <v>1291</v>
      </c>
      <c r="K1054" s="20">
        <v>44985</v>
      </c>
      <c r="L1054" s="20">
        <v>44987</v>
      </c>
      <c r="M1054" s="20">
        <v>44987</v>
      </c>
      <c r="N1054" s="2" t="s">
        <v>220</v>
      </c>
      <c r="O1054" s="2" t="s">
        <v>33</v>
      </c>
      <c r="P1054" s="2" t="s">
        <v>34</v>
      </c>
      <c r="Q1054" s="2">
        <f t="shared" si="16"/>
        <v>1</v>
      </c>
    </row>
    <row r="1055" spans="1:17" x14ac:dyDescent="0.25">
      <c r="A1055" s="2" t="s">
        <v>2997</v>
      </c>
      <c r="B1055" s="2" t="s">
        <v>2998</v>
      </c>
      <c r="C1055" s="2" t="s">
        <v>19</v>
      </c>
      <c r="D1055" s="2" t="s">
        <v>150</v>
      </c>
      <c r="E1055" s="2" t="s">
        <v>205</v>
      </c>
      <c r="F1055" s="2">
        <v>9.9600000000000009</v>
      </c>
      <c r="G1055" s="2" t="s">
        <v>206</v>
      </c>
      <c r="H1055" s="2">
        <v>80</v>
      </c>
      <c r="I1055" s="2">
        <v>7.9680000000000009</v>
      </c>
      <c r="J1055" s="2" t="s">
        <v>1291</v>
      </c>
      <c r="K1055" s="20">
        <v>44986</v>
      </c>
      <c r="L1055" s="20">
        <v>44992</v>
      </c>
      <c r="M1055" s="20">
        <v>44992</v>
      </c>
      <c r="N1055" s="2" t="s">
        <v>234</v>
      </c>
      <c r="O1055" s="2" t="s">
        <v>25</v>
      </c>
      <c r="P1055" s="2" t="s">
        <v>26</v>
      </c>
      <c r="Q1055" s="2">
        <f t="shared" si="16"/>
        <v>1</v>
      </c>
    </row>
    <row r="1056" spans="1:17" x14ac:dyDescent="0.25">
      <c r="A1056" s="2" t="s">
        <v>3000</v>
      </c>
      <c r="B1056" s="2" t="s">
        <v>3001</v>
      </c>
      <c r="C1056" s="2" t="s">
        <v>19</v>
      </c>
      <c r="D1056" s="2" t="s">
        <v>105</v>
      </c>
      <c r="E1056" s="2" t="s">
        <v>212</v>
      </c>
      <c r="F1056" s="2">
        <v>4.7679999999999998</v>
      </c>
      <c r="G1056" s="2" t="s">
        <v>206</v>
      </c>
      <c r="H1056" s="2">
        <v>100</v>
      </c>
      <c r="I1056" s="2">
        <v>4.7679999999999998</v>
      </c>
      <c r="J1056" s="2" t="s">
        <v>1291</v>
      </c>
      <c r="K1056" s="20">
        <v>44986</v>
      </c>
      <c r="L1056" s="20">
        <v>44990</v>
      </c>
      <c r="M1056" s="20">
        <v>44990</v>
      </c>
      <c r="N1056" s="2" t="s">
        <v>207</v>
      </c>
      <c r="O1056" s="2" t="s">
        <v>146</v>
      </c>
      <c r="P1056" s="2" t="s">
        <v>73</v>
      </c>
      <c r="Q1056" s="2">
        <f t="shared" si="16"/>
        <v>1</v>
      </c>
    </row>
    <row r="1057" spans="1:17" x14ac:dyDescent="0.25">
      <c r="A1057" s="2" t="s">
        <v>3002</v>
      </c>
      <c r="B1057" s="2" t="s">
        <v>3003</v>
      </c>
      <c r="C1057" s="2" t="s">
        <v>19</v>
      </c>
      <c r="D1057" s="2" t="s">
        <v>96</v>
      </c>
      <c r="E1057" s="2" t="s">
        <v>21</v>
      </c>
      <c r="F1057" s="2">
        <v>606.21399999999903</v>
      </c>
      <c r="G1057" s="2" t="s">
        <v>22</v>
      </c>
      <c r="H1057" s="2">
        <v>0</v>
      </c>
      <c r="I1057" s="2">
        <v>0</v>
      </c>
      <c r="J1057" s="2" t="s">
        <v>1291</v>
      </c>
      <c r="K1057" s="20">
        <v>44989</v>
      </c>
      <c r="L1057" s="20">
        <v>44992</v>
      </c>
      <c r="M1057" s="20">
        <v>44992</v>
      </c>
      <c r="N1057" s="2" t="s">
        <v>24</v>
      </c>
      <c r="O1057" s="2" t="s">
        <v>25</v>
      </c>
      <c r="P1057" s="2" t="s">
        <v>26</v>
      </c>
      <c r="Q1057" s="2">
        <f t="shared" si="16"/>
        <v>1</v>
      </c>
    </row>
    <row r="1058" spans="1:17" x14ac:dyDescent="0.25">
      <c r="A1058" s="2" t="s">
        <v>3005</v>
      </c>
      <c r="B1058" s="2" t="s">
        <v>3006</v>
      </c>
      <c r="C1058" s="2" t="s">
        <v>19</v>
      </c>
      <c r="D1058" s="2" t="s">
        <v>154</v>
      </c>
      <c r="E1058" s="2" t="s">
        <v>205</v>
      </c>
      <c r="F1058" s="2">
        <v>123.08799999999999</v>
      </c>
      <c r="G1058" s="2" t="s">
        <v>206</v>
      </c>
      <c r="H1058" s="2">
        <v>80</v>
      </c>
      <c r="I1058" s="2">
        <v>98.470399999999998</v>
      </c>
      <c r="J1058" s="2" t="s">
        <v>1291</v>
      </c>
      <c r="K1058" s="20">
        <v>44989</v>
      </c>
      <c r="L1058" s="20">
        <v>44994</v>
      </c>
      <c r="M1058" s="20">
        <v>44994</v>
      </c>
      <c r="N1058" s="2" t="s">
        <v>238</v>
      </c>
      <c r="O1058" s="2" t="s">
        <v>54</v>
      </c>
      <c r="P1058" s="2" t="s">
        <v>26</v>
      </c>
      <c r="Q1058" s="2">
        <f t="shared" si="16"/>
        <v>1</v>
      </c>
    </row>
    <row r="1059" spans="1:17" x14ac:dyDescent="0.25">
      <c r="A1059" s="2" t="s">
        <v>3008</v>
      </c>
      <c r="B1059" s="2" t="s">
        <v>3009</v>
      </c>
      <c r="C1059" s="2" t="s">
        <v>30</v>
      </c>
      <c r="D1059" s="2" t="s">
        <v>44</v>
      </c>
      <c r="E1059" s="2" t="s">
        <v>205</v>
      </c>
      <c r="F1059" s="2">
        <v>203.92</v>
      </c>
      <c r="G1059" s="2" t="s">
        <v>206</v>
      </c>
      <c r="H1059" s="2">
        <v>80</v>
      </c>
      <c r="I1059" s="2">
        <v>163.136</v>
      </c>
      <c r="J1059" s="2" t="s">
        <v>1291</v>
      </c>
      <c r="K1059" s="20">
        <v>44990</v>
      </c>
      <c r="L1059" s="20">
        <v>44994</v>
      </c>
      <c r="M1059" s="20">
        <v>44994</v>
      </c>
      <c r="N1059" s="2" t="s">
        <v>234</v>
      </c>
      <c r="O1059" s="2" t="s">
        <v>33</v>
      </c>
      <c r="P1059" s="2" t="s">
        <v>34</v>
      </c>
      <c r="Q1059" s="2">
        <f t="shared" si="16"/>
        <v>1</v>
      </c>
    </row>
    <row r="1060" spans="1:17" x14ac:dyDescent="0.25">
      <c r="A1060" s="2" t="s">
        <v>3011</v>
      </c>
      <c r="B1060" s="2" t="s">
        <v>3012</v>
      </c>
      <c r="C1060" s="2" t="s">
        <v>19</v>
      </c>
      <c r="D1060" s="2" t="s">
        <v>105</v>
      </c>
      <c r="E1060" s="2" t="s">
        <v>212</v>
      </c>
      <c r="F1060" s="2">
        <v>18.936</v>
      </c>
      <c r="G1060" s="2" t="s">
        <v>206</v>
      </c>
      <c r="H1060" s="2">
        <v>100</v>
      </c>
      <c r="I1060" s="2">
        <v>18.936</v>
      </c>
      <c r="J1060" s="2" t="s">
        <v>1291</v>
      </c>
      <c r="K1060" s="20">
        <v>44993</v>
      </c>
      <c r="L1060" s="20">
        <v>44998</v>
      </c>
      <c r="M1060" s="20">
        <v>44998</v>
      </c>
      <c r="N1060" s="2" t="s">
        <v>248</v>
      </c>
      <c r="O1060" s="2" t="s">
        <v>72</v>
      </c>
      <c r="P1060" s="2" t="s">
        <v>73</v>
      </c>
      <c r="Q1060" s="2">
        <f t="shared" si="16"/>
        <v>1</v>
      </c>
    </row>
    <row r="1061" spans="1:17" x14ac:dyDescent="0.25">
      <c r="A1061" s="2" t="s">
        <v>3014</v>
      </c>
      <c r="B1061" s="2" t="s">
        <v>3015</v>
      </c>
      <c r="C1061" s="2" t="s">
        <v>30</v>
      </c>
      <c r="D1061" s="2" t="s">
        <v>154</v>
      </c>
      <c r="E1061" s="2" t="s">
        <v>21</v>
      </c>
      <c r="F1061" s="2">
        <v>63.44</v>
      </c>
      <c r="G1061" s="2" t="s">
        <v>22</v>
      </c>
      <c r="H1061" s="2">
        <v>0</v>
      </c>
      <c r="I1061" s="2">
        <v>0</v>
      </c>
      <c r="J1061" s="2" t="s">
        <v>1291</v>
      </c>
      <c r="K1061" s="20">
        <v>44997</v>
      </c>
      <c r="L1061" s="20">
        <v>44999</v>
      </c>
      <c r="M1061" s="20">
        <v>44999</v>
      </c>
      <c r="N1061" s="2" t="s">
        <v>32</v>
      </c>
      <c r="O1061" s="2" t="s">
        <v>72</v>
      </c>
      <c r="P1061" s="2" t="s">
        <v>73</v>
      </c>
      <c r="Q1061" s="2">
        <f t="shared" si="16"/>
        <v>1</v>
      </c>
    </row>
    <row r="1062" spans="1:17" x14ac:dyDescent="0.25">
      <c r="A1062" s="2" t="s">
        <v>3017</v>
      </c>
      <c r="B1062" s="2" t="s">
        <v>3018</v>
      </c>
      <c r="C1062" s="2" t="s">
        <v>19</v>
      </c>
      <c r="D1062" s="2" t="s">
        <v>211</v>
      </c>
      <c r="E1062" s="2" t="s">
        <v>212</v>
      </c>
      <c r="F1062" s="2">
        <v>10.02</v>
      </c>
      <c r="G1062" s="2" t="s">
        <v>206</v>
      </c>
      <c r="H1062" s="2">
        <v>100</v>
      </c>
      <c r="I1062" s="2">
        <v>10.02</v>
      </c>
      <c r="J1062" s="2" t="s">
        <v>1291</v>
      </c>
      <c r="K1062" s="20">
        <v>44998</v>
      </c>
      <c r="L1062" s="20">
        <v>45002</v>
      </c>
      <c r="M1062" s="20">
        <v>45002</v>
      </c>
      <c r="N1062" s="2" t="s">
        <v>234</v>
      </c>
      <c r="O1062" s="2" t="s">
        <v>33</v>
      </c>
      <c r="P1062" s="2" t="s">
        <v>34</v>
      </c>
      <c r="Q1062" s="2">
        <f t="shared" si="16"/>
        <v>1</v>
      </c>
    </row>
    <row r="1063" spans="1:17" x14ac:dyDescent="0.25">
      <c r="A1063" s="2" t="s">
        <v>3020</v>
      </c>
      <c r="B1063" s="2" t="s">
        <v>3021</v>
      </c>
      <c r="C1063" s="2" t="s">
        <v>30</v>
      </c>
      <c r="D1063" s="2" t="s">
        <v>44</v>
      </c>
      <c r="E1063" s="2" t="s">
        <v>205</v>
      </c>
      <c r="F1063" s="2">
        <v>9.5839999999999996</v>
      </c>
      <c r="G1063" s="2" t="s">
        <v>206</v>
      </c>
      <c r="H1063" s="2">
        <v>80</v>
      </c>
      <c r="I1063" s="2">
        <v>7.6672000000000002</v>
      </c>
      <c r="J1063" s="2" t="s">
        <v>1291</v>
      </c>
      <c r="K1063" s="20">
        <v>45003</v>
      </c>
      <c r="L1063" s="20">
        <v>45005</v>
      </c>
      <c r="M1063" s="20">
        <v>45005</v>
      </c>
      <c r="N1063" s="2" t="s">
        <v>248</v>
      </c>
      <c r="O1063" s="2" t="s">
        <v>146</v>
      </c>
      <c r="P1063" s="2" t="s">
        <v>73</v>
      </c>
      <c r="Q1063" s="2">
        <f t="shared" si="16"/>
        <v>1</v>
      </c>
    </row>
    <row r="1064" spans="1:17" x14ac:dyDescent="0.25">
      <c r="A1064" s="2" t="s">
        <v>3023</v>
      </c>
      <c r="B1064" s="2" t="s">
        <v>3024</v>
      </c>
      <c r="C1064" s="2" t="s">
        <v>30</v>
      </c>
      <c r="D1064" s="2" t="s">
        <v>38</v>
      </c>
      <c r="E1064" s="2" t="s">
        <v>212</v>
      </c>
      <c r="F1064" s="2">
        <v>95.1</v>
      </c>
      <c r="G1064" s="2" t="s">
        <v>206</v>
      </c>
      <c r="H1064" s="2">
        <v>100</v>
      </c>
      <c r="I1064" s="2">
        <v>95.1</v>
      </c>
      <c r="J1064" s="2" t="s">
        <v>1291</v>
      </c>
      <c r="K1064" s="20">
        <v>45005</v>
      </c>
      <c r="L1064" s="20">
        <v>45010</v>
      </c>
      <c r="M1064" s="20">
        <v>45010</v>
      </c>
      <c r="N1064" s="2" t="s">
        <v>238</v>
      </c>
      <c r="O1064" s="2" t="s">
        <v>46</v>
      </c>
      <c r="P1064" s="2" t="s">
        <v>47</v>
      </c>
      <c r="Q1064" s="2">
        <f t="shared" si="16"/>
        <v>1</v>
      </c>
    </row>
    <row r="1065" spans="1:17" x14ac:dyDescent="0.25">
      <c r="A1065" s="2" t="s">
        <v>3025</v>
      </c>
      <c r="B1065" s="2" t="s">
        <v>3026</v>
      </c>
      <c r="C1065" s="2" t="s">
        <v>19</v>
      </c>
      <c r="D1065" s="2" t="s">
        <v>51</v>
      </c>
      <c r="E1065" s="2" t="s">
        <v>212</v>
      </c>
      <c r="F1065" s="2">
        <v>10.368</v>
      </c>
      <c r="G1065" s="2" t="s">
        <v>206</v>
      </c>
      <c r="H1065" s="2">
        <v>100</v>
      </c>
      <c r="I1065" s="2">
        <v>10.368</v>
      </c>
      <c r="J1065" s="2" t="s">
        <v>1291</v>
      </c>
      <c r="K1065" s="20">
        <v>45006</v>
      </c>
      <c r="L1065" s="20">
        <v>45008</v>
      </c>
      <c r="M1065" s="20">
        <v>45008</v>
      </c>
      <c r="N1065" s="2" t="s">
        <v>220</v>
      </c>
      <c r="O1065" s="2" t="s">
        <v>97</v>
      </c>
      <c r="P1065" s="2" t="s">
        <v>68</v>
      </c>
      <c r="Q1065" s="2">
        <f t="shared" si="16"/>
        <v>1</v>
      </c>
    </row>
    <row r="1066" spans="1:17" x14ac:dyDescent="0.25">
      <c r="A1066" s="2" t="s">
        <v>3028</v>
      </c>
      <c r="B1066" s="2" t="s">
        <v>3029</v>
      </c>
      <c r="C1066" s="2" t="s">
        <v>30</v>
      </c>
      <c r="D1066" s="2" t="s">
        <v>51</v>
      </c>
      <c r="E1066" s="2" t="s">
        <v>205</v>
      </c>
      <c r="F1066" s="2">
        <v>11.276999999999999</v>
      </c>
      <c r="G1066" s="2" t="s">
        <v>206</v>
      </c>
      <c r="H1066" s="2">
        <v>80</v>
      </c>
      <c r="I1066" s="2">
        <v>9.0215999999999994</v>
      </c>
      <c r="J1066" s="2" t="s">
        <v>1291</v>
      </c>
      <c r="K1066" s="20">
        <v>45017</v>
      </c>
      <c r="L1066" s="20">
        <v>45023</v>
      </c>
      <c r="M1066" s="20">
        <v>45023</v>
      </c>
      <c r="N1066" s="2" t="s">
        <v>238</v>
      </c>
      <c r="O1066" s="2" t="s">
        <v>54</v>
      </c>
      <c r="P1066" s="2" t="s">
        <v>26</v>
      </c>
      <c r="Q1066" s="2">
        <f t="shared" si="16"/>
        <v>1</v>
      </c>
    </row>
    <row r="1067" spans="1:17" x14ac:dyDescent="0.25">
      <c r="A1067" s="2" t="s">
        <v>3031</v>
      </c>
      <c r="B1067" s="2" t="s">
        <v>3032</v>
      </c>
      <c r="C1067" s="2" t="s">
        <v>19</v>
      </c>
      <c r="D1067" s="2" t="s">
        <v>96</v>
      </c>
      <c r="E1067" s="2" t="s">
        <v>212</v>
      </c>
      <c r="F1067" s="2">
        <v>125.99</v>
      </c>
      <c r="G1067" s="2" t="s">
        <v>206</v>
      </c>
      <c r="H1067" s="2">
        <v>100</v>
      </c>
      <c r="I1067" s="2">
        <v>125.99</v>
      </c>
      <c r="J1067" s="2" t="s">
        <v>1291</v>
      </c>
      <c r="K1067" s="20">
        <v>45024</v>
      </c>
      <c r="L1067" s="20">
        <v>45028</v>
      </c>
      <c r="M1067" s="20">
        <v>45028</v>
      </c>
      <c r="N1067" s="2" t="s">
        <v>234</v>
      </c>
      <c r="O1067" s="2" t="s">
        <v>82</v>
      </c>
      <c r="P1067" s="2" t="s">
        <v>47</v>
      </c>
      <c r="Q1067" s="2">
        <f t="shared" si="16"/>
        <v>1</v>
      </c>
    </row>
    <row r="1068" spans="1:17" x14ac:dyDescent="0.25">
      <c r="A1068" s="2" t="s">
        <v>3033</v>
      </c>
      <c r="B1068" s="2" t="s">
        <v>3034</v>
      </c>
      <c r="C1068" s="2" t="s">
        <v>30</v>
      </c>
      <c r="D1068" s="2" t="s">
        <v>139</v>
      </c>
      <c r="E1068" s="2" t="s">
        <v>212</v>
      </c>
      <c r="F1068" s="2">
        <v>10.368</v>
      </c>
      <c r="G1068" s="2" t="s">
        <v>206</v>
      </c>
      <c r="H1068" s="2">
        <v>100</v>
      </c>
      <c r="I1068" s="2">
        <v>10.368</v>
      </c>
      <c r="J1068" s="2" t="s">
        <v>1291</v>
      </c>
      <c r="K1068" s="20">
        <v>45025</v>
      </c>
      <c r="L1068" s="20">
        <v>45028</v>
      </c>
      <c r="M1068" s="20">
        <v>45028</v>
      </c>
      <c r="N1068" s="2" t="s">
        <v>248</v>
      </c>
      <c r="O1068" s="2" t="s">
        <v>146</v>
      </c>
      <c r="P1068" s="2" t="s">
        <v>73</v>
      </c>
      <c r="Q1068" s="2">
        <f t="shared" si="16"/>
        <v>1</v>
      </c>
    </row>
    <row r="1069" spans="1:17" x14ac:dyDescent="0.25">
      <c r="A1069" s="2" t="s">
        <v>3035</v>
      </c>
      <c r="B1069" s="2" t="s">
        <v>3036</v>
      </c>
      <c r="C1069" s="2" t="s">
        <v>19</v>
      </c>
      <c r="D1069" s="2" t="s">
        <v>38</v>
      </c>
      <c r="E1069" s="2" t="s">
        <v>205</v>
      </c>
      <c r="F1069" s="2">
        <v>191.07900000000001</v>
      </c>
      <c r="G1069" s="2" t="s">
        <v>206</v>
      </c>
      <c r="H1069" s="2">
        <v>80</v>
      </c>
      <c r="I1069" s="2">
        <v>152.86320000000001</v>
      </c>
      <c r="J1069" s="2" t="s">
        <v>1291</v>
      </c>
      <c r="K1069" s="20">
        <v>45025</v>
      </c>
      <c r="L1069" s="20">
        <v>45031</v>
      </c>
      <c r="M1069" s="20">
        <v>45031</v>
      </c>
      <c r="N1069" s="2" t="s">
        <v>220</v>
      </c>
      <c r="O1069" s="2" t="s">
        <v>97</v>
      </c>
      <c r="P1069" s="2" t="s">
        <v>68</v>
      </c>
      <c r="Q1069" s="2">
        <f t="shared" si="16"/>
        <v>1</v>
      </c>
    </row>
    <row r="1070" spans="1:17" x14ac:dyDescent="0.25">
      <c r="A1070" s="2" t="s">
        <v>3038</v>
      </c>
      <c r="B1070" s="2" t="s">
        <v>3039</v>
      </c>
      <c r="C1070" s="2" t="s">
        <v>30</v>
      </c>
      <c r="D1070" s="2" t="s">
        <v>96</v>
      </c>
      <c r="E1070" s="2" t="s">
        <v>212</v>
      </c>
      <c r="F1070" s="2">
        <v>61.38</v>
      </c>
      <c r="G1070" s="2" t="s">
        <v>206</v>
      </c>
      <c r="H1070" s="2">
        <v>100</v>
      </c>
      <c r="I1070" s="2">
        <v>61.38</v>
      </c>
      <c r="J1070" s="2" t="s">
        <v>1291</v>
      </c>
      <c r="K1070" s="20">
        <v>45026</v>
      </c>
      <c r="L1070" s="20">
        <v>45030</v>
      </c>
      <c r="M1070" s="20">
        <v>45030</v>
      </c>
      <c r="N1070" s="2" t="s">
        <v>238</v>
      </c>
      <c r="O1070" s="2" t="s">
        <v>40</v>
      </c>
      <c r="P1070" s="2" t="s">
        <v>34</v>
      </c>
      <c r="Q1070" s="2">
        <f t="shared" si="16"/>
        <v>1</v>
      </c>
    </row>
    <row r="1071" spans="1:17" x14ac:dyDescent="0.25">
      <c r="A1071" s="2" t="s">
        <v>3040</v>
      </c>
      <c r="B1071" s="2" t="s">
        <v>3041</v>
      </c>
      <c r="C1071" s="2" t="s">
        <v>19</v>
      </c>
      <c r="D1071" s="2" t="s">
        <v>38</v>
      </c>
      <c r="E1071" s="2" t="s">
        <v>212</v>
      </c>
      <c r="F1071" s="2">
        <v>477.6</v>
      </c>
      <c r="G1071" s="2" t="s">
        <v>206</v>
      </c>
      <c r="H1071" s="2">
        <v>100</v>
      </c>
      <c r="I1071" s="2">
        <v>477.6</v>
      </c>
      <c r="J1071" s="2" t="s">
        <v>1291</v>
      </c>
      <c r="K1071" s="20">
        <v>45031</v>
      </c>
      <c r="L1071" s="20">
        <v>45035</v>
      </c>
      <c r="M1071" s="20">
        <v>45035</v>
      </c>
      <c r="N1071" s="2" t="s">
        <v>234</v>
      </c>
      <c r="O1071" s="2" t="s">
        <v>46</v>
      </c>
      <c r="P1071" s="2" t="s">
        <v>47</v>
      </c>
      <c r="Q1071" s="2">
        <f t="shared" si="16"/>
        <v>1</v>
      </c>
    </row>
    <row r="1072" spans="1:17" x14ac:dyDescent="0.25">
      <c r="A1072" s="2" t="s">
        <v>3043</v>
      </c>
      <c r="B1072" s="2" t="s">
        <v>3044</v>
      </c>
      <c r="C1072" s="2" t="s">
        <v>30</v>
      </c>
      <c r="D1072" s="2" t="s">
        <v>44</v>
      </c>
      <c r="E1072" s="2" t="s">
        <v>205</v>
      </c>
      <c r="F1072" s="2">
        <v>8.2719999999999896</v>
      </c>
      <c r="G1072" s="2" t="s">
        <v>206</v>
      </c>
      <c r="H1072" s="2">
        <v>80</v>
      </c>
      <c r="I1072" s="2">
        <v>6.6175999999999924</v>
      </c>
      <c r="J1072" s="2" t="s">
        <v>1291</v>
      </c>
      <c r="K1072" s="20">
        <v>45032</v>
      </c>
      <c r="L1072" s="20">
        <v>45034</v>
      </c>
      <c r="M1072" s="20">
        <v>45034</v>
      </c>
      <c r="N1072" s="2" t="s">
        <v>220</v>
      </c>
      <c r="O1072" s="2" t="s">
        <v>72</v>
      </c>
      <c r="P1072" s="2" t="s">
        <v>73</v>
      </c>
      <c r="Q1072" s="2">
        <f t="shared" si="16"/>
        <v>1</v>
      </c>
    </row>
    <row r="1073" spans="1:17" x14ac:dyDescent="0.25">
      <c r="A1073" s="2" t="s">
        <v>3045</v>
      </c>
      <c r="B1073" s="2" t="s">
        <v>3046</v>
      </c>
      <c r="C1073" s="2" t="s">
        <v>19</v>
      </c>
      <c r="D1073" s="2" t="s">
        <v>345</v>
      </c>
      <c r="E1073" s="2" t="s">
        <v>212</v>
      </c>
      <c r="F1073" s="2">
        <v>12.544</v>
      </c>
      <c r="G1073" s="2" t="s">
        <v>206</v>
      </c>
      <c r="H1073" s="2">
        <v>100</v>
      </c>
      <c r="I1073" s="2">
        <v>12.544</v>
      </c>
      <c r="J1073" s="2" t="s">
        <v>1291</v>
      </c>
      <c r="K1073" s="20">
        <v>45033</v>
      </c>
      <c r="L1073" s="20">
        <v>45035</v>
      </c>
      <c r="M1073" s="20">
        <v>45035</v>
      </c>
      <c r="N1073" s="2" t="s">
        <v>207</v>
      </c>
      <c r="O1073" s="2" t="s">
        <v>40</v>
      </c>
      <c r="P1073" s="2" t="s">
        <v>34</v>
      </c>
      <c r="Q1073" s="2">
        <f t="shared" si="16"/>
        <v>1</v>
      </c>
    </row>
    <row r="1074" spans="1:17" x14ac:dyDescent="0.25">
      <c r="A1074" s="2" t="s">
        <v>3048</v>
      </c>
      <c r="B1074" s="2" t="s">
        <v>3049</v>
      </c>
      <c r="C1074" s="2" t="s">
        <v>30</v>
      </c>
      <c r="D1074" s="2" t="s">
        <v>105</v>
      </c>
      <c r="E1074" s="2" t="s">
        <v>205</v>
      </c>
      <c r="F1074" s="2">
        <v>52.56</v>
      </c>
      <c r="G1074" s="2" t="s">
        <v>206</v>
      </c>
      <c r="H1074" s="2">
        <v>80</v>
      </c>
      <c r="I1074" s="2">
        <v>42.048000000000002</v>
      </c>
      <c r="J1074" s="2" t="s">
        <v>1291</v>
      </c>
      <c r="K1074" s="20">
        <v>45034</v>
      </c>
      <c r="L1074" s="20">
        <v>45038</v>
      </c>
      <c r="M1074" s="20">
        <v>45038</v>
      </c>
      <c r="N1074" s="2" t="s">
        <v>234</v>
      </c>
      <c r="O1074" s="2" t="s">
        <v>54</v>
      </c>
      <c r="P1074" s="2" t="s">
        <v>26</v>
      </c>
      <c r="Q1074" s="2">
        <f t="shared" si="16"/>
        <v>1</v>
      </c>
    </row>
    <row r="1075" spans="1:17" x14ac:dyDescent="0.25">
      <c r="A1075" s="2" t="s">
        <v>3050</v>
      </c>
      <c r="B1075" s="2" t="s">
        <v>3051</v>
      </c>
      <c r="C1075" s="2" t="s">
        <v>19</v>
      </c>
      <c r="D1075" s="2" t="s">
        <v>96</v>
      </c>
      <c r="E1075" s="2" t="s">
        <v>212</v>
      </c>
      <c r="F1075" s="2">
        <v>376.86599999999999</v>
      </c>
      <c r="G1075" s="2" t="s">
        <v>206</v>
      </c>
      <c r="H1075" s="2">
        <v>100</v>
      </c>
      <c r="I1075" s="2">
        <v>376.86599999999999</v>
      </c>
      <c r="J1075" s="2" t="s">
        <v>1291</v>
      </c>
      <c r="K1075" s="20">
        <v>45038</v>
      </c>
      <c r="L1075" s="20">
        <v>45041</v>
      </c>
      <c r="M1075" s="20">
        <v>45041</v>
      </c>
      <c r="N1075" s="2" t="s">
        <v>213</v>
      </c>
      <c r="O1075" s="2" t="s">
        <v>25</v>
      </c>
      <c r="P1075" s="2" t="s">
        <v>26</v>
      </c>
      <c r="Q1075" s="2">
        <f t="shared" si="16"/>
        <v>1</v>
      </c>
    </row>
    <row r="1076" spans="1:17" x14ac:dyDescent="0.25">
      <c r="A1076" s="2" t="s">
        <v>3052</v>
      </c>
      <c r="B1076" s="2" t="s">
        <v>3053</v>
      </c>
      <c r="C1076" s="2" t="s">
        <v>19</v>
      </c>
      <c r="D1076" s="2" t="s">
        <v>186</v>
      </c>
      <c r="E1076" s="2" t="s">
        <v>21</v>
      </c>
      <c r="F1076" s="2">
        <v>242.56</v>
      </c>
      <c r="G1076" s="2" t="s">
        <v>22</v>
      </c>
      <c r="H1076" s="2">
        <v>0</v>
      </c>
      <c r="I1076" s="2">
        <v>0</v>
      </c>
      <c r="J1076" s="2" t="s">
        <v>1291</v>
      </c>
      <c r="K1076" s="20">
        <v>45040</v>
      </c>
      <c r="L1076" s="20">
        <v>45043</v>
      </c>
      <c r="M1076" s="20">
        <v>45043</v>
      </c>
      <c r="N1076" s="2" t="s">
        <v>24</v>
      </c>
      <c r="O1076" s="2" t="s">
        <v>72</v>
      </c>
      <c r="P1076" s="2" t="s">
        <v>73</v>
      </c>
      <c r="Q1076" s="2">
        <f t="shared" si="16"/>
        <v>1</v>
      </c>
    </row>
    <row r="1077" spans="1:17" x14ac:dyDescent="0.25">
      <c r="A1077" s="2" t="s">
        <v>3054</v>
      </c>
      <c r="B1077" s="2" t="s">
        <v>3055</v>
      </c>
      <c r="C1077" s="2" t="s">
        <v>30</v>
      </c>
      <c r="D1077" s="2" t="s">
        <v>164</v>
      </c>
      <c r="E1077" s="2" t="s">
        <v>205</v>
      </c>
      <c r="F1077" s="2">
        <v>5.3040000000000003</v>
      </c>
      <c r="G1077" s="2" t="s">
        <v>206</v>
      </c>
      <c r="H1077" s="2">
        <v>80</v>
      </c>
      <c r="I1077" s="2">
        <v>4.2432000000000007</v>
      </c>
      <c r="J1077" s="2" t="s">
        <v>1291</v>
      </c>
      <c r="K1077" s="20">
        <v>45040</v>
      </c>
      <c r="L1077" s="20">
        <v>45045</v>
      </c>
      <c r="M1077" s="20">
        <v>45045</v>
      </c>
      <c r="N1077" s="2" t="s">
        <v>213</v>
      </c>
      <c r="O1077" s="2" t="s">
        <v>97</v>
      </c>
      <c r="P1077" s="2" t="s">
        <v>68</v>
      </c>
      <c r="Q1077" s="2">
        <f t="shared" si="16"/>
        <v>1</v>
      </c>
    </row>
    <row r="1078" spans="1:17" x14ac:dyDescent="0.25">
      <c r="A1078" s="2" t="s">
        <v>3056</v>
      </c>
      <c r="B1078" s="2" t="s">
        <v>3057</v>
      </c>
      <c r="C1078" s="2" t="s">
        <v>19</v>
      </c>
      <c r="D1078" s="2" t="s">
        <v>86</v>
      </c>
      <c r="E1078" s="2" t="s">
        <v>205</v>
      </c>
      <c r="F1078" s="2">
        <v>539.65800000000002</v>
      </c>
      <c r="G1078" s="2" t="s">
        <v>206</v>
      </c>
      <c r="H1078" s="2">
        <v>80</v>
      </c>
      <c r="I1078" s="2">
        <v>431.72640000000001</v>
      </c>
      <c r="J1078" s="2" t="s">
        <v>1291</v>
      </c>
      <c r="K1078" s="20">
        <v>45041</v>
      </c>
      <c r="L1078" s="20">
        <v>45044</v>
      </c>
      <c r="M1078" s="20">
        <v>45044</v>
      </c>
      <c r="N1078" s="2" t="s">
        <v>207</v>
      </c>
      <c r="O1078" s="2" t="s">
        <v>46</v>
      </c>
      <c r="P1078" s="2" t="s">
        <v>47</v>
      </c>
      <c r="Q1078" s="2">
        <f t="shared" si="16"/>
        <v>1</v>
      </c>
    </row>
    <row r="1079" spans="1:17" x14ac:dyDescent="0.25">
      <c r="A1079" s="2" t="s">
        <v>3059</v>
      </c>
      <c r="B1079" s="2" t="s">
        <v>3060</v>
      </c>
      <c r="C1079" s="2" t="s">
        <v>30</v>
      </c>
      <c r="D1079" s="2" t="s">
        <v>105</v>
      </c>
      <c r="E1079" s="2" t="s">
        <v>212</v>
      </c>
      <c r="F1079" s="2">
        <v>14.16</v>
      </c>
      <c r="G1079" s="2" t="s">
        <v>206</v>
      </c>
      <c r="H1079" s="2">
        <v>100</v>
      </c>
      <c r="I1079" s="2">
        <v>14.16</v>
      </c>
      <c r="J1079" s="2" t="s">
        <v>1291</v>
      </c>
      <c r="K1079" s="20">
        <v>45045</v>
      </c>
      <c r="L1079" s="20">
        <v>45047</v>
      </c>
      <c r="M1079" s="20">
        <v>45047</v>
      </c>
      <c r="N1079" s="2" t="s">
        <v>207</v>
      </c>
      <c r="O1079" s="2" t="s">
        <v>25</v>
      </c>
      <c r="P1079" s="2" t="s">
        <v>26</v>
      </c>
      <c r="Q1079" s="2">
        <f t="shared" si="16"/>
        <v>1</v>
      </c>
    </row>
    <row r="1080" spans="1:17" x14ac:dyDescent="0.25">
      <c r="A1080" s="2" t="s">
        <v>3062</v>
      </c>
      <c r="B1080" s="2" t="s">
        <v>3063</v>
      </c>
      <c r="C1080" s="2" t="s">
        <v>30</v>
      </c>
      <c r="D1080" s="2" t="s">
        <v>154</v>
      </c>
      <c r="E1080" s="2" t="s">
        <v>205</v>
      </c>
      <c r="F1080" s="2">
        <v>8.7360000000000007</v>
      </c>
      <c r="G1080" s="2" t="s">
        <v>206</v>
      </c>
      <c r="H1080" s="2">
        <v>80</v>
      </c>
      <c r="I1080" s="2">
        <v>6.9888000000000012</v>
      </c>
      <c r="J1080" s="2" t="s">
        <v>1291</v>
      </c>
      <c r="K1080" s="20">
        <v>45045</v>
      </c>
      <c r="L1080" s="20">
        <v>45049</v>
      </c>
      <c r="M1080" s="20">
        <v>45049</v>
      </c>
      <c r="N1080" s="2" t="s">
        <v>220</v>
      </c>
      <c r="O1080" s="2" t="s">
        <v>82</v>
      </c>
      <c r="P1080" s="2" t="s">
        <v>47</v>
      </c>
      <c r="Q1080" s="2">
        <f t="shared" si="16"/>
        <v>1</v>
      </c>
    </row>
    <row r="1081" spans="1:17" x14ac:dyDescent="0.25">
      <c r="A1081" s="2" t="s">
        <v>3065</v>
      </c>
      <c r="B1081" s="2" t="s">
        <v>3066</v>
      </c>
      <c r="C1081" s="2" t="s">
        <v>19</v>
      </c>
      <c r="D1081" s="2" t="s">
        <v>119</v>
      </c>
      <c r="E1081" s="2" t="s">
        <v>205</v>
      </c>
      <c r="F1081" s="2">
        <v>110.376</v>
      </c>
      <c r="G1081" s="2" t="s">
        <v>206</v>
      </c>
      <c r="H1081" s="2">
        <v>80</v>
      </c>
      <c r="I1081" s="2">
        <v>88.30080000000001</v>
      </c>
      <c r="J1081" s="2" t="s">
        <v>1291</v>
      </c>
      <c r="K1081" s="20">
        <v>45047</v>
      </c>
      <c r="L1081" s="20">
        <v>45051</v>
      </c>
      <c r="M1081" s="20">
        <v>45051</v>
      </c>
      <c r="N1081" s="2" t="s">
        <v>213</v>
      </c>
      <c r="O1081" s="2" t="s">
        <v>82</v>
      </c>
      <c r="P1081" s="2" t="s">
        <v>47</v>
      </c>
      <c r="Q1081" s="2">
        <f t="shared" si="16"/>
        <v>1</v>
      </c>
    </row>
    <row r="1082" spans="1:17" x14ac:dyDescent="0.25">
      <c r="A1082" s="2" t="s">
        <v>3067</v>
      </c>
      <c r="B1082" s="2" t="s">
        <v>3068</v>
      </c>
      <c r="C1082" s="2" t="s">
        <v>30</v>
      </c>
      <c r="D1082" s="2" t="s">
        <v>31</v>
      </c>
      <c r="E1082" s="2" t="s">
        <v>21</v>
      </c>
      <c r="F1082" s="2">
        <v>1043.0410000000002</v>
      </c>
      <c r="G1082" s="2" t="s">
        <v>22</v>
      </c>
      <c r="H1082" s="2">
        <v>0</v>
      </c>
      <c r="I1082" s="2">
        <v>0</v>
      </c>
      <c r="J1082" s="2" t="s">
        <v>1291</v>
      </c>
      <c r="K1082" s="20">
        <v>45050</v>
      </c>
      <c r="L1082" s="20">
        <v>45052</v>
      </c>
      <c r="M1082" s="20">
        <v>45052</v>
      </c>
      <c r="N1082" s="2" t="s">
        <v>39</v>
      </c>
      <c r="O1082" s="2" t="s">
        <v>46</v>
      </c>
      <c r="P1082" s="2" t="s">
        <v>47</v>
      </c>
      <c r="Q1082" s="2">
        <f t="shared" si="16"/>
        <v>1</v>
      </c>
    </row>
    <row r="1083" spans="1:17" x14ac:dyDescent="0.25">
      <c r="A1083" s="2" t="s">
        <v>3070</v>
      </c>
      <c r="B1083" s="2" t="s">
        <v>3071</v>
      </c>
      <c r="C1083" s="2" t="s">
        <v>30</v>
      </c>
      <c r="D1083" s="2" t="s">
        <v>126</v>
      </c>
      <c r="E1083" s="2" t="s">
        <v>212</v>
      </c>
      <c r="F1083" s="2">
        <v>77.879999999999896</v>
      </c>
      <c r="G1083" s="2" t="s">
        <v>206</v>
      </c>
      <c r="H1083" s="2">
        <v>100</v>
      </c>
      <c r="I1083" s="2">
        <v>77.879999999999896</v>
      </c>
      <c r="J1083" s="2" t="s">
        <v>1291</v>
      </c>
      <c r="K1083" s="20">
        <v>45052</v>
      </c>
      <c r="L1083" s="20">
        <v>45055</v>
      </c>
      <c r="M1083" s="20">
        <v>45055</v>
      </c>
      <c r="N1083" s="2" t="s">
        <v>213</v>
      </c>
      <c r="O1083" s="2" t="s">
        <v>25</v>
      </c>
      <c r="P1083" s="2" t="s">
        <v>26</v>
      </c>
      <c r="Q1083" s="2">
        <f t="shared" si="16"/>
        <v>1</v>
      </c>
    </row>
    <row r="1084" spans="1:17" x14ac:dyDescent="0.25">
      <c r="A1084" s="2" t="s">
        <v>3073</v>
      </c>
      <c r="B1084" s="2" t="s">
        <v>3074</v>
      </c>
      <c r="C1084" s="2" t="s">
        <v>30</v>
      </c>
      <c r="D1084" s="2" t="s">
        <v>51</v>
      </c>
      <c r="E1084" s="2" t="s">
        <v>212</v>
      </c>
      <c r="F1084" s="2">
        <v>55.991999999999997</v>
      </c>
      <c r="G1084" s="2" t="s">
        <v>206</v>
      </c>
      <c r="H1084" s="2">
        <v>100</v>
      </c>
      <c r="I1084" s="2">
        <v>55.991999999999997</v>
      </c>
      <c r="J1084" s="2" t="s">
        <v>1291</v>
      </c>
      <c r="K1084" s="20">
        <v>45052</v>
      </c>
      <c r="L1084" s="20">
        <v>45056</v>
      </c>
      <c r="M1084" s="20">
        <v>45056</v>
      </c>
      <c r="N1084" s="2" t="s">
        <v>213</v>
      </c>
      <c r="O1084" s="2" t="s">
        <v>54</v>
      </c>
      <c r="P1084" s="2" t="s">
        <v>26</v>
      </c>
      <c r="Q1084" s="2">
        <f t="shared" si="16"/>
        <v>1</v>
      </c>
    </row>
    <row r="1085" spans="1:17" x14ac:dyDescent="0.25">
      <c r="A1085" s="2" t="s">
        <v>3076</v>
      </c>
      <c r="B1085" s="2" t="s">
        <v>3077</v>
      </c>
      <c r="C1085" s="2" t="s">
        <v>30</v>
      </c>
      <c r="D1085" s="2" t="s">
        <v>370</v>
      </c>
      <c r="E1085" s="2" t="s">
        <v>212</v>
      </c>
      <c r="F1085" s="2">
        <v>18.495999999999999</v>
      </c>
      <c r="G1085" s="2" t="s">
        <v>206</v>
      </c>
      <c r="H1085" s="2">
        <v>100</v>
      </c>
      <c r="I1085" s="2">
        <v>18.495999999999999</v>
      </c>
      <c r="J1085" s="2" t="s">
        <v>1291</v>
      </c>
      <c r="K1085" s="20">
        <v>45053</v>
      </c>
      <c r="L1085" s="20">
        <v>45055</v>
      </c>
      <c r="M1085" s="20">
        <v>45055</v>
      </c>
      <c r="N1085" s="2" t="s">
        <v>220</v>
      </c>
      <c r="O1085" s="2" t="s">
        <v>67</v>
      </c>
      <c r="P1085" s="2" t="s">
        <v>68</v>
      </c>
      <c r="Q1085" s="2">
        <f t="shared" si="16"/>
        <v>1</v>
      </c>
    </row>
    <row r="1086" spans="1:17" x14ac:dyDescent="0.25">
      <c r="A1086" s="2" t="s">
        <v>3079</v>
      </c>
      <c r="B1086" s="2" t="s">
        <v>3080</v>
      </c>
      <c r="C1086" s="2" t="s">
        <v>30</v>
      </c>
      <c r="D1086" s="2" t="s">
        <v>51</v>
      </c>
      <c r="E1086" s="2" t="s">
        <v>205</v>
      </c>
      <c r="F1086" s="2">
        <v>854.35199999999998</v>
      </c>
      <c r="G1086" s="2" t="s">
        <v>206</v>
      </c>
      <c r="H1086" s="2">
        <v>80</v>
      </c>
      <c r="I1086" s="2">
        <v>683.48160000000007</v>
      </c>
      <c r="J1086" s="2" t="s">
        <v>1291</v>
      </c>
      <c r="K1086" s="20">
        <v>45055</v>
      </c>
      <c r="L1086" s="20">
        <v>45057</v>
      </c>
      <c r="M1086" s="20">
        <v>45057</v>
      </c>
      <c r="N1086" s="2" t="s">
        <v>234</v>
      </c>
      <c r="O1086" s="2" t="s">
        <v>146</v>
      </c>
      <c r="P1086" s="2" t="s">
        <v>73</v>
      </c>
      <c r="Q1086" s="2">
        <f t="shared" si="16"/>
        <v>1</v>
      </c>
    </row>
    <row r="1087" spans="1:17" x14ac:dyDescent="0.25">
      <c r="A1087" s="2" t="s">
        <v>3082</v>
      </c>
      <c r="B1087" s="2" t="s">
        <v>3083</v>
      </c>
      <c r="C1087" s="2" t="s">
        <v>30</v>
      </c>
      <c r="D1087" s="2" t="s">
        <v>58</v>
      </c>
      <c r="E1087" s="2" t="s">
        <v>205</v>
      </c>
      <c r="F1087" s="2">
        <v>245.94</v>
      </c>
      <c r="G1087" s="2" t="s">
        <v>206</v>
      </c>
      <c r="H1087" s="2">
        <v>80</v>
      </c>
      <c r="I1087" s="2">
        <v>196.75200000000001</v>
      </c>
      <c r="J1087" s="2" t="s">
        <v>1291</v>
      </c>
      <c r="K1087" s="20">
        <v>45056</v>
      </c>
      <c r="L1087" s="20">
        <v>45060</v>
      </c>
      <c r="M1087" s="20">
        <v>45060</v>
      </c>
      <c r="N1087" s="2" t="s">
        <v>238</v>
      </c>
      <c r="O1087" s="2" t="s">
        <v>46</v>
      </c>
      <c r="P1087" s="2" t="s">
        <v>47</v>
      </c>
      <c r="Q1087" s="2">
        <f t="shared" si="16"/>
        <v>1</v>
      </c>
    </row>
    <row r="1088" spans="1:17" x14ac:dyDescent="0.25">
      <c r="A1088" s="2" t="s">
        <v>3084</v>
      </c>
      <c r="B1088" s="2" t="s">
        <v>3085</v>
      </c>
      <c r="C1088" s="2" t="s">
        <v>30</v>
      </c>
      <c r="D1088" s="2" t="s">
        <v>230</v>
      </c>
      <c r="E1088" s="2" t="s">
        <v>212</v>
      </c>
      <c r="F1088" s="2">
        <v>11.648</v>
      </c>
      <c r="G1088" s="2" t="s">
        <v>206</v>
      </c>
      <c r="H1088" s="2">
        <v>100</v>
      </c>
      <c r="I1088" s="2">
        <v>11.648</v>
      </c>
      <c r="J1088" s="2" t="s">
        <v>1291</v>
      </c>
      <c r="K1088" s="20">
        <v>45056</v>
      </c>
      <c r="L1088" s="20">
        <v>45061</v>
      </c>
      <c r="M1088" s="20">
        <v>45061</v>
      </c>
      <c r="N1088" s="2" t="s">
        <v>213</v>
      </c>
      <c r="O1088" s="2" t="s">
        <v>25</v>
      </c>
      <c r="P1088" s="2" t="s">
        <v>26</v>
      </c>
      <c r="Q1088" s="2">
        <f t="shared" si="16"/>
        <v>1</v>
      </c>
    </row>
    <row r="1089" spans="1:17" x14ac:dyDescent="0.25">
      <c r="A1089" s="2" t="s">
        <v>3086</v>
      </c>
      <c r="B1089" s="2" t="s">
        <v>3087</v>
      </c>
      <c r="C1089" s="2" t="s">
        <v>30</v>
      </c>
      <c r="D1089" s="2" t="s">
        <v>154</v>
      </c>
      <c r="E1089" s="2" t="s">
        <v>212</v>
      </c>
      <c r="F1089" s="2">
        <v>51.84</v>
      </c>
      <c r="G1089" s="2" t="s">
        <v>206</v>
      </c>
      <c r="H1089" s="2">
        <v>100</v>
      </c>
      <c r="I1089" s="2">
        <v>51.84</v>
      </c>
      <c r="J1089" s="2" t="s">
        <v>1291</v>
      </c>
      <c r="K1089" s="20">
        <v>45056</v>
      </c>
      <c r="L1089" s="20">
        <v>45060</v>
      </c>
      <c r="M1089" s="20">
        <v>45060</v>
      </c>
      <c r="N1089" s="2" t="s">
        <v>234</v>
      </c>
      <c r="O1089" s="2" t="s">
        <v>54</v>
      </c>
      <c r="P1089" s="2" t="s">
        <v>26</v>
      </c>
      <c r="Q1089" s="2">
        <f t="shared" si="16"/>
        <v>1</v>
      </c>
    </row>
    <row r="1090" spans="1:17" x14ac:dyDescent="0.25">
      <c r="A1090" s="2" t="s">
        <v>3088</v>
      </c>
      <c r="B1090" s="2" t="s">
        <v>3089</v>
      </c>
      <c r="C1090" s="2" t="s">
        <v>19</v>
      </c>
      <c r="D1090" s="2" t="s">
        <v>62</v>
      </c>
      <c r="E1090" s="2" t="s">
        <v>212</v>
      </c>
      <c r="F1090" s="2">
        <v>2430.08</v>
      </c>
      <c r="G1090" s="2" t="s">
        <v>206</v>
      </c>
      <c r="H1090" s="2">
        <v>100</v>
      </c>
      <c r="I1090" s="2">
        <v>2430.08</v>
      </c>
      <c r="J1090" s="2" t="s">
        <v>1291</v>
      </c>
      <c r="K1090" s="20">
        <v>45057</v>
      </c>
      <c r="L1090" s="20">
        <v>45063</v>
      </c>
      <c r="M1090" s="20">
        <v>45063</v>
      </c>
      <c r="N1090" s="2" t="s">
        <v>248</v>
      </c>
      <c r="O1090" s="2" t="s">
        <v>25</v>
      </c>
      <c r="P1090" s="2" t="s">
        <v>26</v>
      </c>
      <c r="Q1090" s="2">
        <f t="shared" ref="Q1090:Q1153" si="17">COUNTIF($A$2:$A$1778,A1090)</f>
        <v>1</v>
      </c>
    </row>
    <row r="1091" spans="1:17" x14ac:dyDescent="0.25">
      <c r="A1091" s="2" t="s">
        <v>3091</v>
      </c>
      <c r="B1091" s="2" t="s">
        <v>3092</v>
      </c>
      <c r="C1091" s="2" t="s">
        <v>30</v>
      </c>
      <c r="D1091" s="2" t="s">
        <v>105</v>
      </c>
      <c r="E1091" s="2" t="s">
        <v>212</v>
      </c>
      <c r="F1091" s="2">
        <v>86.2</v>
      </c>
      <c r="G1091" s="2" t="s">
        <v>206</v>
      </c>
      <c r="H1091" s="2">
        <v>100</v>
      </c>
      <c r="I1091" s="2">
        <v>86.2</v>
      </c>
      <c r="J1091" s="2" t="s">
        <v>1291</v>
      </c>
      <c r="K1091" s="20">
        <v>45059</v>
      </c>
      <c r="L1091" s="20">
        <v>45063</v>
      </c>
      <c r="M1091" s="20">
        <v>45063</v>
      </c>
      <c r="N1091" s="2" t="s">
        <v>248</v>
      </c>
      <c r="O1091" s="2" t="s">
        <v>25</v>
      </c>
      <c r="P1091" s="2" t="s">
        <v>26</v>
      </c>
      <c r="Q1091" s="2">
        <f t="shared" si="17"/>
        <v>1</v>
      </c>
    </row>
    <row r="1092" spans="1:17" x14ac:dyDescent="0.25">
      <c r="A1092" s="2" t="s">
        <v>3094</v>
      </c>
      <c r="B1092" s="2" t="s">
        <v>3095</v>
      </c>
      <c r="C1092" s="2" t="s">
        <v>19</v>
      </c>
      <c r="D1092" s="2" t="s">
        <v>119</v>
      </c>
      <c r="E1092" s="2" t="s">
        <v>205</v>
      </c>
      <c r="F1092" s="2">
        <v>283.14</v>
      </c>
      <c r="G1092" s="2" t="s">
        <v>206</v>
      </c>
      <c r="H1092" s="2">
        <v>80</v>
      </c>
      <c r="I1092" s="2">
        <v>226.512</v>
      </c>
      <c r="J1092" s="2" t="s">
        <v>1291</v>
      </c>
      <c r="K1092" s="20">
        <v>45061</v>
      </c>
      <c r="L1092" s="20">
        <v>45061</v>
      </c>
      <c r="M1092" s="20">
        <v>45061</v>
      </c>
      <c r="N1092" s="2" t="s">
        <v>213</v>
      </c>
      <c r="O1092" s="2" t="s">
        <v>72</v>
      </c>
      <c r="P1092" s="2" t="s">
        <v>73</v>
      </c>
      <c r="Q1092" s="2">
        <f t="shared" si="17"/>
        <v>1</v>
      </c>
    </row>
    <row r="1093" spans="1:17" x14ac:dyDescent="0.25">
      <c r="A1093" s="2" t="s">
        <v>3097</v>
      </c>
      <c r="B1093" s="2" t="s">
        <v>3098</v>
      </c>
      <c r="C1093" s="2" t="s">
        <v>30</v>
      </c>
      <c r="D1093" s="2" t="s">
        <v>51</v>
      </c>
      <c r="E1093" s="2" t="s">
        <v>205</v>
      </c>
      <c r="F1093" s="2">
        <v>272.94</v>
      </c>
      <c r="G1093" s="2" t="s">
        <v>206</v>
      </c>
      <c r="H1093" s="2">
        <v>80</v>
      </c>
      <c r="I1093" s="2">
        <v>218.352</v>
      </c>
      <c r="J1093" s="2" t="s">
        <v>1291</v>
      </c>
      <c r="K1093" s="20">
        <v>45062</v>
      </c>
      <c r="L1093" s="20">
        <v>45066</v>
      </c>
      <c r="M1093" s="20">
        <v>45066</v>
      </c>
      <c r="N1093" s="2" t="s">
        <v>213</v>
      </c>
      <c r="O1093" s="2" t="s">
        <v>54</v>
      </c>
      <c r="P1093" s="2" t="s">
        <v>26</v>
      </c>
      <c r="Q1093" s="2">
        <f t="shared" si="17"/>
        <v>1</v>
      </c>
    </row>
    <row r="1094" spans="1:17" x14ac:dyDescent="0.25">
      <c r="A1094" s="2" t="s">
        <v>3099</v>
      </c>
      <c r="B1094" s="2" t="s">
        <v>3100</v>
      </c>
      <c r="C1094" s="2" t="s">
        <v>30</v>
      </c>
      <c r="D1094" s="2" t="s">
        <v>105</v>
      </c>
      <c r="E1094" s="2" t="s">
        <v>212</v>
      </c>
      <c r="F1094" s="2">
        <v>9.82</v>
      </c>
      <c r="G1094" s="2" t="s">
        <v>206</v>
      </c>
      <c r="H1094" s="2">
        <v>100</v>
      </c>
      <c r="I1094" s="2">
        <v>9.82</v>
      </c>
      <c r="J1094" s="2" t="s">
        <v>1291</v>
      </c>
      <c r="K1094" s="20">
        <v>45063</v>
      </c>
      <c r="L1094" s="20">
        <v>45068</v>
      </c>
      <c r="M1094" s="20">
        <v>45068</v>
      </c>
      <c r="N1094" s="2" t="s">
        <v>248</v>
      </c>
      <c r="O1094" s="2" t="s">
        <v>33</v>
      </c>
      <c r="P1094" s="2" t="s">
        <v>34</v>
      </c>
      <c r="Q1094" s="2">
        <f t="shared" si="17"/>
        <v>1</v>
      </c>
    </row>
    <row r="1095" spans="1:17" x14ac:dyDescent="0.25">
      <c r="A1095" s="2" t="s">
        <v>3102</v>
      </c>
      <c r="B1095" s="2" t="s">
        <v>3103</v>
      </c>
      <c r="C1095" s="2" t="s">
        <v>30</v>
      </c>
      <c r="D1095" s="2" t="s">
        <v>324</v>
      </c>
      <c r="E1095" s="2" t="s">
        <v>21</v>
      </c>
      <c r="F1095" s="2">
        <v>63.92199999999999</v>
      </c>
      <c r="G1095" s="2" t="s">
        <v>22</v>
      </c>
      <c r="H1095" s="2">
        <v>0</v>
      </c>
      <c r="I1095" s="2">
        <v>0</v>
      </c>
      <c r="J1095" s="2" t="s">
        <v>1291</v>
      </c>
      <c r="K1095" s="20">
        <v>45064</v>
      </c>
      <c r="L1095" s="20">
        <v>45067</v>
      </c>
      <c r="M1095" s="20">
        <v>45067</v>
      </c>
      <c r="N1095" s="2" t="s">
        <v>39</v>
      </c>
      <c r="O1095" s="2" t="s">
        <v>54</v>
      </c>
      <c r="P1095" s="2" t="s">
        <v>26</v>
      </c>
      <c r="Q1095" s="2">
        <f t="shared" si="17"/>
        <v>1</v>
      </c>
    </row>
    <row r="1096" spans="1:17" x14ac:dyDescent="0.25">
      <c r="A1096" s="2" t="s">
        <v>3105</v>
      </c>
      <c r="B1096" s="2" t="s">
        <v>3106</v>
      </c>
      <c r="C1096" s="2" t="s">
        <v>19</v>
      </c>
      <c r="D1096" s="2" t="s">
        <v>164</v>
      </c>
      <c r="E1096" s="2" t="s">
        <v>21</v>
      </c>
      <c r="F1096" s="2">
        <v>253.03000000000003</v>
      </c>
      <c r="G1096" s="2" t="s">
        <v>22</v>
      </c>
      <c r="H1096" s="2">
        <v>0</v>
      </c>
      <c r="I1096" s="2">
        <v>0</v>
      </c>
      <c r="J1096" s="2" t="s">
        <v>1291</v>
      </c>
      <c r="K1096" s="20">
        <v>45064</v>
      </c>
      <c r="L1096" s="20">
        <v>45065</v>
      </c>
      <c r="M1096" s="20">
        <v>45065</v>
      </c>
      <c r="N1096" s="2" t="s">
        <v>53</v>
      </c>
      <c r="O1096" s="2" t="s">
        <v>67</v>
      </c>
      <c r="P1096" s="2" t="s">
        <v>68</v>
      </c>
      <c r="Q1096" s="2">
        <f t="shared" si="17"/>
        <v>1</v>
      </c>
    </row>
    <row r="1097" spans="1:17" x14ac:dyDescent="0.25">
      <c r="A1097" s="2" t="s">
        <v>3108</v>
      </c>
      <c r="B1097" s="2" t="s">
        <v>3109</v>
      </c>
      <c r="C1097" s="2" t="s">
        <v>19</v>
      </c>
      <c r="D1097" s="2" t="s">
        <v>186</v>
      </c>
      <c r="E1097" s="2" t="s">
        <v>212</v>
      </c>
      <c r="F1097" s="2">
        <v>197.05</v>
      </c>
      <c r="G1097" s="2" t="s">
        <v>206</v>
      </c>
      <c r="H1097" s="2">
        <v>100</v>
      </c>
      <c r="I1097" s="2">
        <v>197.05</v>
      </c>
      <c r="J1097" s="2" t="s">
        <v>1291</v>
      </c>
      <c r="K1097" s="20">
        <v>45066</v>
      </c>
      <c r="L1097" s="20">
        <v>45070</v>
      </c>
      <c r="M1097" s="20">
        <v>45070</v>
      </c>
      <c r="N1097" s="2" t="s">
        <v>220</v>
      </c>
      <c r="O1097" s="2" t="s">
        <v>33</v>
      </c>
      <c r="P1097" s="2" t="s">
        <v>34</v>
      </c>
      <c r="Q1097" s="2">
        <f t="shared" si="17"/>
        <v>1</v>
      </c>
    </row>
    <row r="1098" spans="1:17" x14ac:dyDescent="0.25">
      <c r="A1098" s="2" t="s">
        <v>3111</v>
      </c>
      <c r="B1098" s="2" t="s">
        <v>3112</v>
      </c>
      <c r="C1098" s="2" t="s">
        <v>19</v>
      </c>
      <c r="D1098" s="2" t="s">
        <v>86</v>
      </c>
      <c r="E1098" s="2" t="s">
        <v>205</v>
      </c>
      <c r="F1098" s="2">
        <v>135.9</v>
      </c>
      <c r="G1098" s="2" t="s">
        <v>206</v>
      </c>
      <c r="H1098" s="2">
        <v>80</v>
      </c>
      <c r="I1098" s="2">
        <v>108.72000000000001</v>
      </c>
      <c r="J1098" s="2" t="s">
        <v>1291</v>
      </c>
      <c r="K1098" s="20">
        <v>45068</v>
      </c>
      <c r="L1098" s="20">
        <v>45070</v>
      </c>
      <c r="M1098" s="20">
        <v>45070</v>
      </c>
      <c r="N1098" s="2" t="s">
        <v>248</v>
      </c>
      <c r="O1098" s="2" t="s">
        <v>146</v>
      </c>
      <c r="P1098" s="2" t="s">
        <v>73</v>
      </c>
      <c r="Q1098" s="2">
        <f t="shared" si="17"/>
        <v>1</v>
      </c>
    </row>
    <row r="1099" spans="1:17" x14ac:dyDescent="0.25">
      <c r="A1099" s="2" t="s">
        <v>3113</v>
      </c>
      <c r="B1099" s="2" t="s">
        <v>3114</v>
      </c>
      <c r="C1099" s="2" t="s">
        <v>30</v>
      </c>
      <c r="D1099" s="2" t="s">
        <v>77</v>
      </c>
      <c r="E1099" s="2" t="s">
        <v>205</v>
      </c>
      <c r="F1099" s="2">
        <v>9.2159999999999993</v>
      </c>
      <c r="G1099" s="2" t="s">
        <v>206</v>
      </c>
      <c r="H1099" s="2">
        <v>80</v>
      </c>
      <c r="I1099" s="2">
        <v>7.3727999999999998</v>
      </c>
      <c r="J1099" s="2" t="s">
        <v>1291</v>
      </c>
      <c r="K1099" s="20">
        <v>45068</v>
      </c>
      <c r="L1099" s="20">
        <v>45075</v>
      </c>
      <c r="M1099" s="20">
        <v>45075</v>
      </c>
      <c r="N1099" s="2" t="s">
        <v>234</v>
      </c>
      <c r="O1099" s="2" t="s">
        <v>97</v>
      </c>
      <c r="P1099" s="2" t="s">
        <v>68</v>
      </c>
      <c r="Q1099" s="2">
        <f t="shared" si="17"/>
        <v>1</v>
      </c>
    </row>
    <row r="1100" spans="1:17" x14ac:dyDescent="0.25">
      <c r="A1100" s="2" t="s">
        <v>3115</v>
      </c>
      <c r="B1100" s="2" t="s">
        <v>3116</v>
      </c>
      <c r="C1100" s="2" t="s">
        <v>30</v>
      </c>
      <c r="D1100" s="2" t="s">
        <v>105</v>
      </c>
      <c r="E1100" s="2" t="s">
        <v>205</v>
      </c>
      <c r="F1100" s="2">
        <v>5.4720000000000004</v>
      </c>
      <c r="G1100" s="2" t="s">
        <v>206</v>
      </c>
      <c r="H1100" s="2">
        <v>80</v>
      </c>
      <c r="I1100" s="2">
        <v>4.3776000000000002</v>
      </c>
      <c r="J1100" s="2" t="s">
        <v>1291</v>
      </c>
      <c r="K1100" s="20">
        <v>45071</v>
      </c>
      <c r="L1100" s="20">
        <v>45075</v>
      </c>
      <c r="M1100" s="20">
        <v>45075</v>
      </c>
      <c r="N1100" s="2" t="s">
        <v>207</v>
      </c>
      <c r="O1100" s="2" t="s">
        <v>67</v>
      </c>
      <c r="P1100" s="2" t="s">
        <v>68</v>
      </c>
      <c r="Q1100" s="2">
        <f t="shared" si="17"/>
        <v>1</v>
      </c>
    </row>
    <row r="1101" spans="1:17" x14ac:dyDescent="0.25">
      <c r="A1101" s="2" t="s">
        <v>3118</v>
      </c>
      <c r="B1101" s="2" t="s">
        <v>3119</v>
      </c>
      <c r="C1101" s="2" t="s">
        <v>30</v>
      </c>
      <c r="D1101" s="2" t="s">
        <v>20</v>
      </c>
      <c r="E1101" s="2" t="s">
        <v>205</v>
      </c>
      <c r="F1101" s="2">
        <v>447.84</v>
      </c>
      <c r="G1101" s="2" t="s">
        <v>206</v>
      </c>
      <c r="H1101" s="2">
        <v>80</v>
      </c>
      <c r="I1101" s="2">
        <v>358.27199999999999</v>
      </c>
      <c r="J1101" s="2" t="s">
        <v>1291</v>
      </c>
      <c r="K1101" s="20">
        <v>45075</v>
      </c>
      <c r="L1101" s="20">
        <v>45082</v>
      </c>
      <c r="M1101" s="20">
        <v>45082</v>
      </c>
      <c r="N1101" s="2" t="s">
        <v>234</v>
      </c>
      <c r="O1101" s="2" t="s">
        <v>82</v>
      </c>
      <c r="P1101" s="2" t="s">
        <v>47</v>
      </c>
      <c r="Q1101" s="2">
        <f t="shared" si="17"/>
        <v>1</v>
      </c>
    </row>
    <row r="1102" spans="1:17" x14ac:dyDescent="0.25">
      <c r="A1102" s="2" t="s">
        <v>3120</v>
      </c>
      <c r="B1102" s="2" t="s">
        <v>3121</v>
      </c>
      <c r="C1102" s="2" t="s">
        <v>30</v>
      </c>
      <c r="D1102" s="2" t="s">
        <v>211</v>
      </c>
      <c r="E1102" s="2" t="s">
        <v>205</v>
      </c>
      <c r="F1102" s="2">
        <v>47.04</v>
      </c>
      <c r="G1102" s="2" t="s">
        <v>206</v>
      </c>
      <c r="H1102" s="2">
        <v>80</v>
      </c>
      <c r="I1102" s="2">
        <v>37.631999999999998</v>
      </c>
      <c r="J1102" s="2" t="s">
        <v>1291</v>
      </c>
      <c r="K1102" s="20">
        <v>45077</v>
      </c>
      <c r="L1102" s="20">
        <v>45079</v>
      </c>
      <c r="M1102" s="20">
        <v>45079</v>
      </c>
      <c r="N1102" s="2" t="s">
        <v>213</v>
      </c>
      <c r="O1102" s="2" t="s">
        <v>97</v>
      </c>
      <c r="P1102" s="2" t="s">
        <v>68</v>
      </c>
      <c r="Q1102" s="2">
        <f t="shared" si="17"/>
        <v>1</v>
      </c>
    </row>
    <row r="1103" spans="1:17" x14ac:dyDescent="0.25">
      <c r="A1103" s="2" t="s">
        <v>3123</v>
      </c>
      <c r="B1103" s="2" t="s">
        <v>3124</v>
      </c>
      <c r="C1103" s="2" t="s">
        <v>30</v>
      </c>
      <c r="D1103" s="2" t="s">
        <v>186</v>
      </c>
      <c r="E1103" s="2" t="s">
        <v>205</v>
      </c>
      <c r="F1103" s="2">
        <v>60.6</v>
      </c>
      <c r="G1103" s="2" t="s">
        <v>206</v>
      </c>
      <c r="H1103" s="2">
        <v>80</v>
      </c>
      <c r="I1103" s="2">
        <v>48.480000000000004</v>
      </c>
      <c r="J1103" s="2" t="s">
        <v>1291</v>
      </c>
      <c r="K1103" s="20">
        <v>45081</v>
      </c>
      <c r="L1103" s="20">
        <v>45084</v>
      </c>
      <c r="M1103" s="20">
        <v>45084</v>
      </c>
      <c r="N1103" s="2" t="s">
        <v>248</v>
      </c>
      <c r="O1103" s="2" t="s">
        <v>33</v>
      </c>
      <c r="P1103" s="2" t="s">
        <v>34</v>
      </c>
      <c r="Q1103" s="2">
        <f t="shared" si="17"/>
        <v>1</v>
      </c>
    </row>
    <row r="1104" spans="1:17" x14ac:dyDescent="0.25">
      <c r="A1104" s="2" t="s">
        <v>3125</v>
      </c>
      <c r="B1104" s="2" t="s">
        <v>3126</v>
      </c>
      <c r="C1104" s="2" t="s">
        <v>30</v>
      </c>
      <c r="D1104" s="2" t="s">
        <v>77</v>
      </c>
      <c r="E1104" s="2" t="s">
        <v>205</v>
      </c>
      <c r="F1104" s="2">
        <v>71.245999999999995</v>
      </c>
      <c r="G1104" s="2" t="s">
        <v>206</v>
      </c>
      <c r="H1104" s="2">
        <v>80</v>
      </c>
      <c r="I1104" s="2">
        <v>56.9968</v>
      </c>
      <c r="J1104" s="2" t="s">
        <v>1291</v>
      </c>
      <c r="K1104" s="20">
        <v>45084</v>
      </c>
      <c r="L1104" s="20">
        <v>45091</v>
      </c>
      <c r="M1104" s="20">
        <v>45091</v>
      </c>
      <c r="N1104" s="2" t="s">
        <v>220</v>
      </c>
      <c r="O1104" s="2" t="s">
        <v>40</v>
      </c>
      <c r="P1104" s="2" t="s">
        <v>34</v>
      </c>
      <c r="Q1104" s="2">
        <f t="shared" si="17"/>
        <v>1</v>
      </c>
    </row>
    <row r="1105" spans="1:17" x14ac:dyDescent="0.25">
      <c r="A1105" s="2" t="s">
        <v>3128</v>
      </c>
      <c r="B1105" s="2" t="s">
        <v>3129</v>
      </c>
      <c r="C1105" s="2" t="s">
        <v>19</v>
      </c>
      <c r="D1105" s="2" t="s">
        <v>119</v>
      </c>
      <c r="E1105" s="2" t="s">
        <v>212</v>
      </c>
      <c r="F1105" s="2">
        <v>107.94</v>
      </c>
      <c r="G1105" s="2" t="s">
        <v>206</v>
      </c>
      <c r="H1105" s="2">
        <v>100</v>
      </c>
      <c r="I1105" s="2">
        <v>107.94</v>
      </c>
      <c r="J1105" s="2" t="s">
        <v>1291</v>
      </c>
      <c r="K1105" s="20">
        <v>45085</v>
      </c>
      <c r="L1105" s="20">
        <v>45088</v>
      </c>
      <c r="M1105" s="20">
        <v>45088</v>
      </c>
      <c r="N1105" s="2" t="s">
        <v>207</v>
      </c>
      <c r="O1105" s="2" t="s">
        <v>54</v>
      </c>
      <c r="P1105" s="2" t="s">
        <v>26</v>
      </c>
      <c r="Q1105" s="2">
        <f t="shared" si="17"/>
        <v>1</v>
      </c>
    </row>
    <row r="1106" spans="1:17" x14ac:dyDescent="0.25">
      <c r="A1106" s="2" t="s">
        <v>3130</v>
      </c>
      <c r="B1106" s="2" t="s">
        <v>3131</v>
      </c>
      <c r="C1106" s="2" t="s">
        <v>19</v>
      </c>
      <c r="D1106" s="2" t="s">
        <v>81</v>
      </c>
      <c r="E1106" s="2" t="s">
        <v>212</v>
      </c>
      <c r="F1106" s="2">
        <v>40.479999999999997</v>
      </c>
      <c r="G1106" s="2" t="s">
        <v>206</v>
      </c>
      <c r="H1106" s="2">
        <v>100</v>
      </c>
      <c r="I1106" s="2">
        <v>40.479999999999997</v>
      </c>
      <c r="J1106" s="2" t="s">
        <v>1291</v>
      </c>
      <c r="K1106" s="20">
        <v>45090</v>
      </c>
      <c r="L1106" s="20">
        <v>45095</v>
      </c>
      <c r="M1106" s="20">
        <v>45095</v>
      </c>
      <c r="N1106" s="2" t="s">
        <v>234</v>
      </c>
      <c r="O1106" s="2" t="s">
        <v>46</v>
      </c>
      <c r="P1106" s="2" t="s">
        <v>47</v>
      </c>
      <c r="Q1106" s="2">
        <f t="shared" si="17"/>
        <v>1</v>
      </c>
    </row>
    <row r="1107" spans="1:17" x14ac:dyDescent="0.25">
      <c r="A1107" s="2" t="s">
        <v>3133</v>
      </c>
      <c r="B1107" s="2" t="s">
        <v>3134</v>
      </c>
      <c r="C1107" s="2" t="s">
        <v>30</v>
      </c>
      <c r="D1107" s="2" t="s">
        <v>81</v>
      </c>
      <c r="E1107" s="2" t="s">
        <v>212</v>
      </c>
      <c r="F1107" s="2">
        <v>25.92</v>
      </c>
      <c r="G1107" s="2" t="s">
        <v>206</v>
      </c>
      <c r="H1107" s="2">
        <v>100</v>
      </c>
      <c r="I1107" s="2">
        <v>25.92</v>
      </c>
      <c r="J1107" s="2" t="s">
        <v>1291</v>
      </c>
      <c r="K1107" s="20">
        <v>45091</v>
      </c>
      <c r="L1107" s="20">
        <v>45093</v>
      </c>
      <c r="M1107" s="20">
        <v>45093</v>
      </c>
      <c r="N1107" s="2" t="s">
        <v>220</v>
      </c>
      <c r="O1107" s="2" t="s">
        <v>46</v>
      </c>
      <c r="P1107" s="2" t="s">
        <v>47</v>
      </c>
      <c r="Q1107" s="2">
        <f t="shared" si="17"/>
        <v>1</v>
      </c>
    </row>
    <row r="1108" spans="1:17" x14ac:dyDescent="0.25">
      <c r="A1108" s="2" t="s">
        <v>3135</v>
      </c>
      <c r="B1108" s="2" t="s">
        <v>3136</v>
      </c>
      <c r="C1108" s="2" t="s">
        <v>19</v>
      </c>
      <c r="D1108" s="2" t="s">
        <v>105</v>
      </c>
      <c r="E1108" s="2" t="s">
        <v>21</v>
      </c>
      <c r="F1108" s="2">
        <v>655.08999999999992</v>
      </c>
      <c r="G1108" s="2" t="s">
        <v>22</v>
      </c>
      <c r="H1108" s="2">
        <v>0</v>
      </c>
      <c r="I1108" s="2">
        <v>0</v>
      </c>
      <c r="J1108" s="2" t="s">
        <v>1291</v>
      </c>
      <c r="K1108" s="20">
        <v>45095</v>
      </c>
      <c r="L1108" s="20">
        <v>45096</v>
      </c>
      <c r="M1108" s="20">
        <v>45096</v>
      </c>
      <c r="N1108" s="2" t="s">
        <v>39</v>
      </c>
      <c r="O1108" s="2" t="s">
        <v>54</v>
      </c>
      <c r="P1108" s="2" t="s">
        <v>26</v>
      </c>
      <c r="Q1108" s="2">
        <f t="shared" si="17"/>
        <v>1</v>
      </c>
    </row>
    <row r="1109" spans="1:17" x14ac:dyDescent="0.25">
      <c r="A1109" s="2" t="s">
        <v>3138</v>
      </c>
      <c r="B1109" s="2" t="s">
        <v>3139</v>
      </c>
      <c r="C1109" s="2" t="s">
        <v>30</v>
      </c>
      <c r="D1109" s="2" t="s">
        <v>31</v>
      </c>
      <c r="E1109" s="2" t="s">
        <v>212</v>
      </c>
      <c r="F1109" s="2">
        <v>8.9280000000000008</v>
      </c>
      <c r="G1109" s="2" t="s">
        <v>206</v>
      </c>
      <c r="H1109" s="2">
        <v>100</v>
      </c>
      <c r="I1109" s="2">
        <v>8.9280000000000008</v>
      </c>
      <c r="J1109" s="2" t="s">
        <v>1291</v>
      </c>
      <c r="K1109" s="20">
        <v>45096</v>
      </c>
      <c r="L1109" s="20">
        <v>45099</v>
      </c>
      <c r="M1109" s="20">
        <v>45099</v>
      </c>
      <c r="N1109" s="2" t="s">
        <v>248</v>
      </c>
      <c r="O1109" s="2" t="s">
        <v>82</v>
      </c>
      <c r="P1109" s="2" t="s">
        <v>47</v>
      </c>
      <c r="Q1109" s="2">
        <f t="shared" si="17"/>
        <v>1</v>
      </c>
    </row>
    <row r="1110" spans="1:17" x14ac:dyDescent="0.25">
      <c r="A1110" s="2" t="s">
        <v>3140</v>
      </c>
      <c r="B1110" s="2" t="s">
        <v>3141</v>
      </c>
      <c r="C1110" s="2" t="s">
        <v>19</v>
      </c>
      <c r="D1110" s="2" t="s">
        <v>81</v>
      </c>
      <c r="E1110" s="2" t="s">
        <v>205</v>
      </c>
      <c r="F1110" s="2">
        <v>532.70399999999995</v>
      </c>
      <c r="G1110" s="2" t="s">
        <v>206</v>
      </c>
      <c r="H1110" s="2">
        <v>80</v>
      </c>
      <c r="I1110" s="2">
        <v>426.16319999999996</v>
      </c>
      <c r="J1110" s="2" t="s">
        <v>1291</v>
      </c>
      <c r="K1110" s="20">
        <v>45101</v>
      </c>
      <c r="L1110" s="20">
        <v>45108</v>
      </c>
      <c r="M1110" s="20">
        <v>45108</v>
      </c>
      <c r="N1110" s="2" t="s">
        <v>238</v>
      </c>
      <c r="O1110" s="2" t="s">
        <v>82</v>
      </c>
      <c r="P1110" s="2" t="s">
        <v>47</v>
      </c>
      <c r="Q1110" s="2">
        <f t="shared" si="17"/>
        <v>1</v>
      </c>
    </row>
    <row r="1111" spans="1:17" x14ac:dyDescent="0.25">
      <c r="A1111" s="2" t="s">
        <v>3143</v>
      </c>
      <c r="B1111" s="2" t="s">
        <v>3144</v>
      </c>
      <c r="C1111" s="2" t="s">
        <v>19</v>
      </c>
      <c r="D1111" s="2" t="s">
        <v>150</v>
      </c>
      <c r="E1111" s="2" t="s">
        <v>205</v>
      </c>
      <c r="F1111" s="2">
        <v>13.215999999999999</v>
      </c>
      <c r="G1111" s="2" t="s">
        <v>206</v>
      </c>
      <c r="H1111" s="2">
        <v>80</v>
      </c>
      <c r="I1111" s="2">
        <v>10.572800000000001</v>
      </c>
      <c r="J1111" s="2" t="s">
        <v>1291</v>
      </c>
      <c r="K1111" s="20">
        <v>45102</v>
      </c>
      <c r="L1111" s="20">
        <v>45108</v>
      </c>
      <c r="M1111" s="20">
        <v>45108</v>
      </c>
      <c r="N1111" s="2" t="s">
        <v>238</v>
      </c>
      <c r="O1111" s="2" t="s">
        <v>82</v>
      </c>
      <c r="P1111" s="2" t="s">
        <v>47</v>
      </c>
      <c r="Q1111" s="2">
        <f t="shared" si="17"/>
        <v>1</v>
      </c>
    </row>
    <row r="1112" spans="1:17" x14ac:dyDescent="0.25">
      <c r="A1112" s="2" t="s">
        <v>3145</v>
      </c>
      <c r="B1112" s="2" t="s">
        <v>3146</v>
      </c>
      <c r="C1112" s="2" t="s">
        <v>30</v>
      </c>
      <c r="D1112" s="2" t="s">
        <v>150</v>
      </c>
      <c r="E1112" s="2" t="s">
        <v>205</v>
      </c>
      <c r="F1112" s="2">
        <v>13.28</v>
      </c>
      <c r="G1112" s="2" t="s">
        <v>206</v>
      </c>
      <c r="H1112" s="2">
        <v>80</v>
      </c>
      <c r="I1112" s="2">
        <v>10.624000000000001</v>
      </c>
      <c r="J1112" s="2" t="s">
        <v>1291</v>
      </c>
      <c r="K1112" s="20">
        <v>45102</v>
      </c>
      <c r="L1112" s="20">
        <v>45106</v>
      </c>
      <c r="M1112" s="20">
        <v>45106</v>
      </c>
      <c r="N1112" s="2" t="s">
        <v>234</v>
      </c>
      <c r="O1112" s="2" t="s">
        <v>97</v>
      </c>
      <c r="P1112" s="2" t="s">
        <v>68</v>
      </c>
      <c r="Q1112" s="2">
        <f t="shared" si="17"/>
        <v>1</v>
      </c>
    </row>
    <row r="1113" spans="1:17" x14ac:dyDescent="0.25">
      <c r="A1113" s="2" t="s">
        <v>3147</v>
      </c>
      <c r="B1113" s="2" t="s">
        <v>3148</v>
      </c>
      <c r="C1113" s="2" t="s">
        <v>30</v>
      </c>
      <c r="D1113" s="2" t="s">
        <v>38</v>
      </c>
      <c r="E1113" s="2" t="s">
        <v>212</v>
      </c>
      <c r="F1113" s="2">
        <v>393.16500000000002</v>
      </c>
      <c r="G1113" s="2" t="s">
        <v>206</v>
      </c>
      <c r="H1113" s="2">
        <v>100</v>
      </c>
      <c r="I1113" s="2">
        <v>393.16500000000002</v>
      </c>
      <c r="J1113" s="2" t="s">
        <v>1291</v>
      </c>
      <c r="K1113" s="20">
        <v>45104</v>
      </c>
      <c r="L1113" s="20">
        <v>45108</v>
      </c>
      <c r="M1113" s="20">
        <v>45108</v>
      </c>
      <c r="N1113" s="2" t="s">
        <v>234</v>
      </c>
      <c r="O1113" s="2" t="s">
        <v>97</v>
      </c>
      <c r="P1113" s="2" t="s">
        <v>68</v>
      </c>
      <c r="Q1113" s="2">
        <f t="shared" si="17"/>
        <v>1</v>
      </c>
    </row>
    <row r="1114" spans="1:17" x14ac:dyDescent="0.25">
      <c r="A1114" s="2" t="s">
        <v>3149</v>
      </c>
      <c r="B1114" s="2" t="s">
        <v>3150</v>
      </c>
      <c r="C1114" s="2" t="s">
        <v>19</v>
      </c>
      <c r="D1114" s="2" t="s">
        <v>105</v>
      </c>
      <c r="E1114" s="2" t="s">
        <v>212</v>
      </c>
      <c r="F1114" s="2">
        <v>12.96</v>
      </c>
      <c r="G1114" s="2" t="s">
        <v>206</v>
      </c>
      <c r="H1114" s="2">
        <v>100</v>
      </c>
      <c r="I1114" s="2">
        <v>12.96</v>
      </c>
      <c r="J1114" s="2" t="s">
        <v>1291</v>
      </c>
      <c r="K1114" s="20">
        <v>45104</v>
      </c>
      <c r="L1114" s="20">
        <v>45107</v>
      </c>
      <c r="M1114" s="20">
        <v>45107</v>
      </c>
      <c r="N1114" s="2" t="s">
        <v>220</v>
      </c>
      <c r="O1114" s="2" t="s">
        <v>40</v>
      </c>
      <c r="P1114" s="2" t="s">
        <v>34</v>
      </c>
      <c r="Q1114" s="2">
        <f t="shared" si="17"/>
        <v>1</v>
      </c>
    </row>
    <row r="1115" spans="1:17" x14ac:dyDescent="0.25">
      <c r="A1115" s="2" t="s">
        <v>3152</v>
      </c>
      <c r="B1115" s="2" t="s">
        <v>3153</v>
      </c>
      <c r="C1115" s="2" t="s">
        <v>30</v>
      </c>
      <c r="D1115" s="2" t="s">
        <v>77</v>
      </c>
      <c r="E1115" s="2" t="s">
        <v>205</v>
      </c>
      <c r="F1115" s="2">
        <v>93.031999999999897</v>
      </c>
      <c r="G1115" s="2" t="s">
        <v>206</v>
      </c>
      <c r="H1115" s="2">
        <v>80</v>
      </c>
      <c r="I1115" s="2">
        <v>74.425599999999918</v>
      </c>
      <c r="J1115" s="2" t="s">
        <v>1291</v>
      </c>
      <c r="K1115" s="20">
        <v>45105</v>
      </c>
      <c r="L1115" s="20">
        <v>45107</v>
      </c>
      <c r="M1115" s="20">
        <v>45107</v>
      </c>
      <c r="N1115" s="2" t="s">
        <v>248</v>
      </c>
      <c r="O1115" s="2" t="s">
        <v>54</v>
      </c>
      <c r="P1115" s="2" t="s">
        <v>26</v>
      </c>
      <c r="Q1115" s="2">
        <f t="shared" si="17"/>
        <v>1</v>
      </c>
    </row>
    <row r="1116" spans="1:17" x14ac:dyDescent="0.25">
      <c r="A1116" s="2" t="s">
        <v>3155</v>
      </c>
      <c r="B1116" s="2" t="s">
        <v>3156</v>
      </c>
      <c r="C1116" s="2" t="s">
        <v>19</v>
      </c>
      <c r="D1116" s="2" t="s">
        <v>345</v>
      </c>
      <c r="E1116" s="2" t="s">
        <v>205</v>
      </c>
      <c r="F1116" s="2">
        <v>454.96499999999997</v>
      </c>
      <c r="G1116" s="2" t="s">
        <v>206</v>
      </c>
      <c r="H1116" s="2">
        <v>80</v>
      </c>
      <c r="I1116" s="2">
        <v>363.97199999999998</v>
      </c>
      <c r="J1116" s="2" t="s">
        <v>1291</v>
      </c>
      <c r="K1116" s="20">
        <v>45106</v>
      </c>
      <c r="L1116" s="20">
        <v>45110</v>
      </c>
      <c r="M1116" s="20">
        <v>45110</v>
      </c>
      <c r="N1116" s="2" t="s">
        <v>207</v>
      </c>
      <c r="O1116" s="2" t="s">
        <v>67</v>
      </c>
      <c r="P1116" s="2" t="s">
        <v>68</v>
      </c>
      <c r="Q1116" s="2">
        <f t="shared" si="17"/>
        <v>1</v>
      </c>
    </row>
    <row r="1117" spans="1:17" x14ac:dyDescent="0.25">
      <c r="A1117" s="2" t="s">
        <v>3157</v>
      </c>
      <c r="B1117" s="2" t="s">
        <v>3158</v>
      </c>
      <c r="C1117" s="2" t="s">
        <v>19</v>
      </c>
      <c r="D1117" s="2" t="s">
        <v>164</v>
      </c>
      <c r="E1117" s="2" t="s">
        <v>205</v>
      </c>
      <c r="F1117" s="2">
        <v>155.37200000000001</v>
      </c>
      <c r="G1117" s="2" t="s">
        <v>206</v>
      </c>
      <c r="H1117" s="2">
        <v>80</v>
      </c>
      <c r="I1117" s="2">
        <v>124.29760000000002</v>
      </c>
      <c r="J1117" s="2" t="s">
        <v>1291</v>
      </c>
      <c r="K1117" s="20">
        <v>45107</v>
      </c>
      <c r="L1117" s="20">
        <v>45111</v>
      </c>
      <c r="M1117" s="20">
        <v>45111</v>
      </c>
      <c r="N1117" s="2" t="s">
        <v>248</v>
      </c>
      <c r="O1117" s="2" t="s">
        <v>72</v>
      </c>
      <c r="P1117" s="2" t="s">
        <v>73</v>
      </c>
      <c r="Q1117" s="2">
        <f t="shared" si="17"/>
        <v>1</v>
      </c>
    </row>
    <row r="1118" spans="1:17" x14ac:dyDescent="0.25">
      <c r="A1118" s="2" t="s">
        <v>3160</v>
      </c>
      <c r="B1118" s="2" t="s">
        <v>3161</v>
      </c>
      <c r="C1118" s="2" t="s">
        <v>19</v>
      </c>
      <c r="D1118" s="2" t="s">
        <v>164</v>
      </c>
      <c r="E1118" s="2" t="s">
        <v>212</v>
      </c>
      <c r="F1118" s="2">
        <v>15.623999999999899</v>
      </c>
      <c r="G1118" s="2" t="s">
        <v>206</v>
      </c>
      <c r="H1118" s="2">
        <v>100</v>
      </c>
      <c r="I1118" s="2">
        <v>15.623999999999899</v>
      </c>
      <c r="J1118" s="2" t="s">
        <v>1291</v>
      </c>
      <c r="K1118" s="20">
        <v>45109</v>
      </c>
      <c r="L1118" s="20">
        <v>45111</v>
      </c>
      <c r="M1118" s="20">
        <v>45111</v>
      </c>
      <c r="N1118" s="2" t="s">
        <v>213</v>
      </c>
      <c r="O1118" s="2" t="s">
        <v>33</v>
      </c>
      <c r="P1118" s="2" t="s">
        <v>34</v>
      </c>
      <c r="Q1118" s="2">
        <f t="shared" si="17"/>
        <v>1</v>
      </c>
    </row>
    <row r="1119" spans="1:17" x14ac:dyDescent="0.25">
      <c r="A1119" s="2" t="s">
        <v>3163</v>
      </c>
      <c r="B1119" s="2" t="s">
        <v>3164</v>
      </c>
      <c r="C1119" s="2" t="s">
        <v>30</v>
      </c>
      <c r="D1119" s="2" t="s">
        <v>62</v>
      </c>
      <c r="E1119" s="2" t="s">
        <v>205</v>
      </c>
      <c r="F1119" s="2">
        <v>10.9</v>
      </c>
      <c r="G1119" s="2" t="s">
        <v>206</v>
      </c>
      <c r="H1119" s="2">
        <v>80</v>
      </c>
      <c r="I1119" s="2">
        <v>8.7200000000000006</v>
      </c>
      <c r="J1119" s="2" t="s">
        <v>1291</v>
      </c>
      <c r="K1119" s="20">
        <v>45109</v>
      </c>
      <c r="L1119" s="20">
        <v>45110</v>
      </c>
      <c r="M1119" s="20">
        <v>45110</v>
      </c>
      <c r="N1119" s="2" t="s">
        <v>234</v>
      </c>
      <c r="O1119" s="2" t="s">
        <v>67</v>
      </c>
      <c r="P1119" s="2" t="s">
        <v>68</v>
      </c>
      <c r="Q1119" s="2">
        <f t="shared" si="17"/>
        <v>1</v>
      </c>
    </row>
    <row r="1120" spans="1:17" x14ac:dyDescent="0.25">
      <c r="A1120" s="2" t="s">
        <v>3165</v>
      </c>
      <c r="B1120" s="2" t="s">
        <v>3166</v>
      </c>
      <c r="C1120" s="2" t="s">
        <v>30</v>
      </c>
      <c r="D1120" s="2" t="s">
        <v>44</v>
      </c>
      <c r="E1120" s="2" t="s">
        <v>21</v>
      </c>
      <c r="F1120" s="2">
        <v>16.920000000000002</v>
      </c>
      <c r="G1120" s="2" t="s">
        <v>22</v>
      </c>
      <c r="H1120" s="2">
        <v>0</v>
      </c>
      <c r="I1120" s="2">
        <v>0</v>
      </c>
      <c r="J1120" s="2" t="s">
        <v>1291</v>
      </c>
      <c r="K1120" s="20">
        <v>45111</v>
      </c>
      <c r="L1120" s="20">
        <v>45114</v>
      </c>
      <c r="M1120" s="20">
        <v>45114</v>
      </c>
      <c r="N1120" s="2" t="s">
        <v>39</v>
      </c>
      <c r="O1120" s="2" t="s">
        <v>146</v>
      </c>
      <c r="P1120" s="2" t="s">
        <v>73</v>
      </c>
      <c r="Q1120" s="2">
        <f t="shared" si="17"/>
        <v>1</v>
      </c>
    </row>
    <row r="1121" spans="1:17" x14ac:dyDescent="0.25">
      <c r="A1121" s="2" t="s">
        <v>3167</v>
      </c>
      <c r="B1121" s="2" t="s">
        <v>3168</v>
      </c>
      <c r="C1121" s="2" t="s">
        <v>30</v>
      </c>
      <c r="D1121" s="2" t="s">
        <v>154</v>
      </c>
      <c r="E1121" s="2" t="s">
        <v>212</v>
      </c>
      <c r="F1121" s="2">
        <v>62.94</v>
      </c>
      <c r="G1121" s="2" t="s">
        <v>206</v>
      </c>
      <c r="H1121" s="2">
        <v>100</v>
      </c>
      <c r="I1121" s="2">
        <v>62.94</v>
      </c>
      <c r="J1121" s="2" t="s">
        <v>1291</v>
      </c>
      <c r="K1121" s="20">
        <v>45111</v>
      </c>
      <c r="L1121" s="20">
        <v>45111</v>
      </c>
      <c r="M1121" s="20">
        <v>45111</v>
      </c>
      <c r="N1121" s="2" t="s">
        <v>220</v>
      </c>
      <c r="O1121" s="2" t="s">
        <v>72</v>
      </c>
      <c r="P1121" s="2" t="s">
        <v>73</v>
      </c>
      <c r="Q1121" s="2">
        <f t="shared" si="17"/>
        <v>1</v>
      </c>
    </row>
    <row r="1122" spans="1:17" x14ac:dyDescent="0.25">
      <c r="A1122" s="2" t="s">
        <v>3169</v>
      </c>
      <c r="B1122" s="2" t="s">
        <v>3170</v>
      </c>
      <c r="C1122" s="2" t="s">
        <v>30</v>
      </c>
      <c r="D1122" s="2" t="s">
        <v>150</v>
      </c>
      <c r="E1122" s="2" t="s">
        <v>212</v>
      </c>
      <c r="F1122" s="2">
        <v>10.56</v>
      </c>
      <c r="G1122" s="2" t="s">
        <v>206</v>
      </c>
      <c r="H1122" s="2">
        <v>100</v>
      </c>
      <c r="I1122" s="2">
        <v>10.56</v>
      </c>
      <c r="J1122" s="2" t="s">
        <v>1291</v>
      </c>
      <c r="K1122" s="20">
        <v>45120</v>
      </c>
      <c r="L1122" s="20">
        <v>45127</v>
      </c>
      <c r="M1122" s="20">
        <v>45127</v>
      </c>
      <c r="N1122" s="2" t="s">
        <v>213</v>
      </c>
      <c r="O1122" s="2" t="s">
        <v>82</v>
      </c>
      <c r="P1122" s="2" t="s">
        <v>47</v>
      </c>
      <c r="Q1122" s="2">
        <f t="shared" si="17"/>
        <v>1</v>
      </c>
    </row>
    <row r="1123" spans="1:17" x14ac:dyDescent="0.25">
      <c r="A1123" s="2" t="s">
        <v>3172</v>
      </c>
      <c r="B1123" s="2" t="s">
        <v>3173</v>
      </c>
      <c r="C1123" s="2" t="s">
        <v>19</v>
      </c>
      <c r="D1123" s="2" t="s">
        <v>119</v>
      </c>
      <c r="E1123" s="2" t="s">
        <v>212</v>
      </c>
      <c r="F1123" s="2">
        <v>24.96</v>
      </c>
      <c r="G1123" s="2" t="s">
        <v>206</v>
      </c>
      <c r="H1123" s="2">
        <v>100</v>
      </c>
      <c r="I1123" s="2">
        <v>24.96</v>
      </c>
      <c r="J1123" s="2" t="s">
        <v>1291</v>
      </c>
      <c r="K1123" s="20">
        <v>45122</v>
      </c>
      <c r="L1123" s="20">
        <v>45125</v>
      </c>
      <c r="M1123" s="20">
        <v>45125</v>
      </c>
      <c r="N1123" s="2" t="s">
        <v>213</v>
      </c>
      <c r="O1123" s="2" t="s">
        <v>40</v>
      </c>
      <c r="P1123" s="2" t="s">
        <v>34</v>
      </c>
      <c r="Q1123" s="2">
        <f t="shared" si="17"/>
        <v>1</v>
      </c>
    </row>
    <row r="1124" spans="1:17" x14ac:dyDescent="0.25">
      <c r="A1124" s="2" t="s">
        <v>3175</v>
      </c>
      <c r="B1124" s="2" t="s">
        <v>3176</v>
      </c>
      <c r="C1124" s="2" t="s">
        <v>19</v>
      </c>
      <c r="D1124" s="2" t="s">
        <v>62</v>
      </c>
      <c r="E1124" s="2" t="s">
        <v>205</v>
      </c>
      <c r="F1124" s="2">
        <v>4.0949999999999998</v>
      </c>
      <c r="G1124" s="2" t="s">
        <v>206</v>
      </c>
      <c r="H1124" s="2">
        <v>80</v>
      </c>
      <c r="I1124" s="2">
        <v>3.2759999999999998</v>
      </c>
      <c r="J1124" s="2" t="s">
        <v>1291</v>
      </c>
      <c r="K1124" s="20">
        <v>45122</v>
      </c>
      <c r="L1124" s="20">
        <v>45126</v>
      </c>
      <c r="M1124" s="20">
        <v>45126</v>
      </c>
      <c r="N1124" s="2" t="s">
        <v>220</v>
      </c>
      <c r="O1124" s="2" t="s">
        <v>54</v>
      </c>
      <c r="P1124" s="2" t="s">
        <v>26</v>
      </c>
      <c r="Q1124" s="2">
        <f t="shared" si="17"/>
        <v>1</v>
      </c>
    </row>
    <row r="1125" spans="1:17" x14ac:dyDescent="0.25">
      <c r="A1125" s="2" t="s">
        <v>3178</v>
      </c>
      <c r="B1125" s="2" t="s">
        <v>3179</v>
      </c>
      <c r="C1125" s="2" t="s">
        <v>19</v>
      </c>
      <c r="D1125" s="2" t="s">
        <v>31</v>
      </c>
      <c r="E1125" s="2" t="s">
        <v>205</v>
      </c>
      <c r="F1125" s="2">
        <v>43.12</v>
      </c>
      <c r="G1125" s="2" t="s">
        <v>206</v>
      </c>
      <c r="H1125" s="2">
        <v>80</v>
      </c>
      <c r="I1125" s="2">
        <v>34.496000000000002</v>
      </c>
      <c r="J1125" s="2" t="s">
        <v>1291</v>
      </c>
      <c r="K1125" s="20">
        <v>45123</v>
      </c>
      <c r="L1125" s="20">
        <v>45129</v>
      </c>
      <c r="M1125" s="20">
        <v>45129</v>
      </c>
      <c r="N1125" s="2" t="s">
        <v>234</v>
      </c>
      <c r="O1125" s="2" t="s">
        <v>33</v>
      </c>
      <c r="P1125" s="2" t="s">
        <v>34</v>
      </c>
      <c r="Q1125" s="2">
        <f t="shared" si="17"/>
        <v>1</v>
      </c>
    </row>
    <row r="1126" spans="1:17" x14ac:dyDescent="0.25">
      <c r="A1126" s="2" t="s">
        <v>3181</v>
      </c>
      <c r="B1126" s="2" t="s">
        <v>3182</v>
      </c>
      <c r="C1126" s="2" t="s">
        <v>30</v>
      </c>
      <c r="D1126" s="2" t="s">
        <v>38</v>
      </c>
      <c r="E1126" s="2" t="s">
        <v>205</v>
      </c>
      <c r="F1126" s="2">
        <v>35.008000000000003</v>
      </c>
      <c r="G1126" s="2" t="s">
        <v>206</v>
      </c>
      <c r="H1126" s="2">
        <v>80</v>
      </c>
      <c r="I1126" s="2">
        <v>28.006400000000003</v>
      </c>
      <c r="J1126" s="2" t="s">
        <v>1291</v>
      </c>
      <c r="K1126" s="20">
        <v>45125</v>
      </c>
      <c r="L1126" s="20">
        <v>45130</v>
      </c>
      <c r="M1126" s="20">
        <v>45130</v>
      </c>
      <c r="N1126" s="2" t="s">
        <v>207</v>
      </c>
      <c r="O1126" s="2" t="s">
        <v>33</v>
      </c>
      <c r="P1126" s="2" t="s">
        <v>34</v>
      </c>
      <c r="Q1126" s="2">
        <f t="shared" si="17"/>
        <v>1</v>
      </c>
    </row>
    <row r="1127" spans="1:17" x14ac:dyDescent="0.25">
      <c r="A1127" s="2" t="s">
        <v>3183</v>
      </c>
      <c r="B1127" s="2" t="s">
        <v>3184</v>
      </c>
      <c r="C1127" s="2" t="s">
        <v>30</v>
      </c>
      <c r="D1127" s="2" t="s">
        <v>324</v>
      </c>
      <c r="E1127" s="2" t="s">
        <v>212</v>
      </c>
      <c r="F1127" s="2">
        <v>39.152000000000001</v>
      </c>
      <c r="G1127" s="2" t="s">
        <v>206</v>
      </c>
      <c r="H1127" s="2">
        <v>100</v>
      </c>
      <c r="I1127" s="2">
        <v>39.152000000000001</v>
      </c>
      <c r="J1127" s="2" t="s">
        <v>1291</v>
      </c>
      <c r="K1127" s="20">
        <v>45126</v>
      </c>
      <c r="L1127" s="20">
        <v>45131</v>
      </c>
      <c r="M1127" s="20">
        <v>45131</v>
      </c>
      <c r="N1127" s="2" t="s">
        <v>213</v>
      </c>
      <c r="O1127" s="2" t="s">
        <v>46</v>
      </c>
      <c r="P1127" s="2" t="s">
        <v>47</v>
      </c>
      <c r="Q1127" s="2">
        <f t="shared" si="17"/>
        <v>1</v>
      </c>
    </row>
    <row r="1128" spans="1:17" x14ac:dyDescent="0.25">
      <c r="A1128" s="2" t="s">
        <v>3185</v>
      </c>
      <c r="B1128" s="2" t="s">
        <v>3186</v>
      </c>
      <c r="C1128" s="2" t="s">
        <v>19</v>
      </c>
      <c r="D1128" s="2" t="s">
        <v>211</v>
      </c>
      <c r="E1128" s="2" t="s">
        <v>205</v>
      </c>
      <c r="F1128" s="2">
        <v>82.26</v>
      </c>
      <c r="G1128" s="2" t="s">
        <v>206</v>
      </c>
      <c r="H1128" s="2">
        <v>80</v>
      </c>
      <c r="I1128" s="2">
        <v>65.808000000000007</v>
      </c>
      <c r="J1128" s="2" t="s">
        <v>1291</v>
      </c>
      <c r="K1128" s="20">
        <v>45126</v>
      </c>
      <c r="L1128" s="20">
        <v>45130</v>
      </c>
      <c r="M1128" s="20">
        <v>45130</v>
      </c>
      <c r="N1128" s="2" t="s">
        <v>213</v>
      </c>
      <c r="O1128" s="2" t="s">
        <v>33</v>
      </c>
      <c r="P1128" s="2" t="s">
        <v>34</v>
      </c>
      <c r="Q1128" s="2">
        <f t="shared" si="17"/>
        <v>1</v>
      </c>
    </row>
    <row r="1129" spans="1:17" x14ac:dyDescent="0.25">
      <c r="A1129" s="2" t="s">
        <v>3188</v>
      </c>
      <c r="B1129" s="2" t="s">
        <v>3189</v>
      </c>
      <c r="C1129" s="2" t="s">
        <v>19</v>
      </c>
      <c r="D1129" s="2" t="s">
        <v>77</v>
      </c>
      <c r="E1129" s="2" t="s">
        <v>21</v>
      </c>
      <c r="F1129" s="2">
        <v>425.95400000000001</v>
      </c>
      <c r="G1129" s="2" t="s">
        <v>22</v>
      </c>
      <c r="H1129" s="2">
        <v>0</v>
      </c>
      <c r="I1129" s="2">
        <v>0</v>
      </c>
      <c r="J1129" s="2" t="s">
        <v>1291</v>
      </c>
      <c r="K1129" s="20">
        <v>45127</v>
      </c>
      <c r="L1129" s="20">
        <v>45129</v>
      </c>
      <c r="M1129" s="20">
        <v>45129</v>
      </c>
      <c r="N1129" s="2" t="s">
        <v>45</v>
      </c>
      <c r="O1129" s="2" t="s">
        <v>97</v>
      </c>
      <c r="P1129" s="2" t="s">
        <v>68</v>
      </c>
      <c r="Q1129" s="2">
        <f t="shared" si="17"/>
        <v>1</v>
      </c>
    </row>
    <row r="1130" spans="1:17" x14ac:dyDescent="0.25">
      <c r="A1130" s="2" t="s">
        <v>3191</v>
      </c>
      <c r="B1130" s="2" t="s">
        <v>3192</v>
      </c>
      <c r="C1130" s="2" t="s">
        <v>19</v>
      </c>
      <c r="D1130" s="2" t="s">
        <v>164</v>
      </c>
      <c r="E1130" s="2" t="s">
        <v>205</v>
      </c>
      <c r="F1130" s="2">
        <v>60.12</v>
      </c>
      <c r="G1130" s="2" t="s">
        <v>206</v>
      </c>
      <c r="H1130" s="2">
        <v>80</v>
      </c>
      <c r="I1130" s="2">
        <v>48.096000000000004</v>
      </c>
      <c r="J1130" s="2" t="s">
        <v>1291</v>
      </c>
      <c r="K1130" s="20">
        <v>45130</v>
      </c>
      <c r="L1130" s="20">
        <v>45137</v>
      </c>
      <c r="M1130" s="20">
        <v>45137</v>
      </c>
      <c r="N1130" s="2" t="s">
        <v>248</v>
      </c>
      <c r="O1130" s="2" t="s">
        <v>72</v>
      </c>
      <c r="P1130" s="2" t="s">
        <v>73</v>
      </c>
      <c r="Q1130" s="2">
        <f t="shared" si="17"/>
        <v>1</v>
      </c>
    </row>
    <row r="1131" spans="1:17" x14ac:dyDescent="0.25">
      <c r="A1131" s="2" t="s">
        <v>3194</v>
      </c>
      <c r="B1131" s="2" t="s">
        <v>3195</v>
      </c>
      <c r="C1131" s="2" t="s">
        <v>19</v>
      </c>
      <c r="D1131" s="2" t="s">
        <v>139</v>
      </c>
      <c r="E1131" s="2" t="s">
        <v>205</v>
      </c>
      <c r="F1131" s="2">
        <v>72</v>
      </c>
      <c r="G1131" s="2" t="s">
        <v>206</v>
      </c>
      <c r="H1131" s="2">
        <v>80</v>
      </c>
      <c r="I1131" s="2">
        <v>57.6</v>
      </c>
      <c r="J1131" s="2" t="s">
        <v>1291</v>
      </c>
      <c r="K1131" s="20">
        <v>45133</v>
      </c>
      <c r="L1131" s="20">
        <v>45134</v>
      </c>
      <c r="M1131" s="20">
        <v>45134</v>
      </c>
      <c r="N1131" s="2" t="s">
        <v>248</v>
      </c>
      <c r="O1131" s="2" t="s">
        <v>40</v>
      </c>
      <c r="P1131" s="2" t="s">
        <v>34</v>
      </c>
      <c r="Q1131" s="2">
        <f t="shared" si="17"/>
        <v>1</v>
      </c>
    </row>
    <row r="1132" spans="1:17" x14ac:dyDescent="0.25">
      <c r="A1132" s="2" t="s">
        <v>3196</v>
      </c>
      <c r="B1132" s="2" t="s">
        <v>3197</v>
      </c>
      <c r="C1132" s="2" t="s">
        <v>30</v>
      </c>
      <c r="D1132" s="2" t="s">
        <v>96</v>
      </c>
      <c r="E1132" s="2" t="s">
        <v>205</v>
      </c>
      <c r="F1132" s="2">
        <v>1085.42</v>
      </c>
      <c r="G1132" s="2" t="s">
        <v>206</v>
      </c>
      <c r="H1132" s="2">
        <v>80</v>
      </c>
      <c r="I1132" s="2">
        <v>868.33600000000013</v>
      </c>
      <c r="J1132" s="2" t="s">
        <v>1291</v>
      </c>
      <c r="K1132" s="20">
        <v>45133</v>
      </c>
      <c r="L1132" s="20">
        <v>45137</v>
      </c>
      <c r="M1132" s="20">
        <v>45137</v>
      </c>
      <c r="N1132" s="2" t="s">
        <v>234</v>
      </c>
      <c r="O1132" s="2" t="s">
        <v>54</v>
      </c>
      <c r="P1132" s="2" t="s">
        <v>26</v>
      </c>
      <c r="Q1132" s="2">
        <f t="shared" si="17"/>
        <v>1</v>
      </c>
    </row>
    <row r="1133" spans="1:17" x14ac:dyDescent="0.25">
      <c r="A1133" s="2" t="s">
        <v>3199</v>
      </c>
      <c r="B1133" s="2" t="s">
        <v>3200</v>
      </c>
      <c r="C1133" s="2" t="s">
        <v>30</v>
      </c>
      <c r="D1133" s="2" t="s">
        <v>150</v>
      </c>
      <c r="E1133" s="2" t="s">
        <v>205</v>
      </c>
      <c r="F1133" s="2">
        <v>251.79</v>
      </c>
      <c r="G1133" s="2" t="s">
        <v>206</v>
      </c>
      <c r="H1133" s="2">
        <v>80</v>
      </c>
      <c r="I1133" s="2">
        <v>201.43200000000002</v>
      </c>
      <c r="J1133" s="2" t="s">
        <v>1291</v>
      </c>
      <c r="K1133" s="20">
        <v>45133</v>
      </c>
      <c r="L1133" s="20">
        <v>45135</v>
      </c>
      <c r="M1133" s="20">
        <v>45135</v>
      </c>
      <c r="N1133" s="2" t="s">
        <v>220</v>
      </c>
      <c r="O1133" s="2" t="s">
        <v>72</v>
      </c>
      <c r="P1133" s="2" t="s">
        <v>73</v>
      </c>
      <c r="Q1133" s="2">
        <f t="shared" si="17"/>
        <v>1</v>
      </c>
    </row>
    <row r="1134" spans="1:17" x14ac:dyDescent="0.25">
      <c r="A1134" s="2" t="s">
        <v>3202</v>
      </c>
      <c r="B1134" s="2" t="s">
        <v>3203</v>
      </c>
      <c r="C1134" s="2" t="s">
        <v>30</v>
      </c>
      <c r="D1134" s="2" t="s">
        <v>51</v>
      </c>
      <c r="E1134" s="2" t="s">
        <v>205</v>
      </c>
      <c r="F1134" s="2">
        <v>332.94</v>
      </c>
      <c r="G1134" s="2" t="s">
        <v>206</v>
      </c>
      <c r="H1134" s="2">
        <v>80</v>
      </c>
      <c r="I1134" s="2">
        <v>266.35200000000003</v>
      </c>
      <c r="J1134" s="2" t="s">
        <v>1291</v>
      </c>
      <c r="K1134" s="20">
        <v>45133</v>
      </c>
      <c r="L1134" s="20">
        <v>45133</v>
      </c>
      <c r="M1134" s="20">
        <v>45133</v>
      </c>
      <c r="N1134" s="2" t="s">
        <v>220</v>
      </c>
      <c r="O1134" s="2" t="s">
        <v>82</v>
      </c>
      <c r="P1134" s="2" t="s">
        <v>47</v>
      </c>
      <c r="Q1134" s="2">
        <f t="shared" si="17"/>
        <v>1</v>
      </c>
    </row>
    <row r="1135" spans="1:17" x14ac:dyDescent="0.25">
      <c r="A1135" s="2" t="s">
        <v>3205</v>
      </c>
      <c r="B1135" s="2" t="s">
        <v>3206</v>
      </c>
      <c r="C1135" s="2" t="s">
        <v>30</v>
      </c>
      <c r="D1135" s="2" t="s">
        <v>31</v>
      </c>
      <c r="E1135" s="2" t="s">
        <v>205</v>
      </c>
      <c r="F1135" s="2">
        <v>686.4</v>
      </c>
      <c r="G1135" s="2" t="s">
        <v>206</v>
      </c>
      <c r="H1135" s="2">
        <v>80</v>
      </c>
      <c r="I1135" s="2">
        <v>549.12</v>
      </c>
      <c r="J1135" s="2" t="s">
        <v>1291</v>
      </c>
      <c r="K1135" s="20">
        <v>45137</v>
      </c>
      <c r="L1135" s="20">
        <v>45141</v>
      </c>
      <c r="M1135" s="20">
        <v>45141</v>
      </c>
      <c r="N1135" s="2" t="s">
        <v>220</v>
      </c>
      <c r="O1135" s="2" t="s">
        <v>46</v>
      </c>
      <c r="P1135" s="2" t="s">
        <v>47</v>
      </c>
      <c r="Q1135" s="2">
        <f t="shared" si="17"/>
        <v>1</v>
      </c>
    </row>
    <row r="1136" spans="1:17" x14ac:dyDescent="0.25">
      <c r="A1136" s="2" t="s">
        <v>3208</v>
      </c>
      <c r="B1136" s="2" t="s">
        <v>3209</v>
      </c>
      <c r="C1136" s="2" t="s">
        <v>30</v>
      </c>
      <c r="D1136" s="2" t="s">
        <v>345</v>
      </c>
      <c r="E1136" s="2" t="s">
        <v>205</v>
      </c>
      <c r="F1136" s="2">
        <v>11.375999999999999</v>
      </c>
      <c r="G1136" s="2" t="s">
        <v>206</v>
      </c>
      <c r="H1136" s="2">
        <v>80</v>
      </c>
      <c r="I1136" s="2">
        <v>9.1007999999999996</v>
      </c>
      <c r="J1136" s="2" t="s">
        <v>1291</v>
      </c>
      <c r="K1136" s="20">
        <v>45137</v>
      </c>
      <c r="L1136" s="20">
        <v>45139</v>
      </c>
      <c r="M1136" s="20">
        <v>45139</v>
      </c>
      <c r="N1136" s="2" t="s">
        <v>220</v>
      </c>
      <c r="O1136" s="2" t="s">
        <v>97</v>
      </c>
      <c r="P1136" s="2" t="s">
        <v>68</v>
      </c>
      <c r="Q1136" s="2">
        <f t="shared" si="17"/>
        <v>1</v>
      </c>
    </row>
    <row r="1137" spans="1:17" x14ac:dyDescent="0.25">
      <c r="A1137" s="2" t="s">
        <v>3210</v>
      </c>
      <c r="B1137" s="2" t="s">
        <v>3211</v>
      </c>
      <c r="C1137" s="2" t="s">
        <v>19</v>
      </c>
      <c r="D1137" s="2" t="s">
        <v>31</v>
      </c>
      <c r="E1137" s="2" t="s">
        <v>212</v>
      </c>
      <c r="F1137" s="2">
        <v>23.988</v>
      </c>
      <c r="G1137" s="2" t="s">
        <v>206</v>
      </c>
      <c r="H1137" s="2">
        <v>100</v>
      </c>
      <c r="I1137" s="2">
        <v>23.988</v>
      </c>
      <c r="J1137" s="2" t="s">
        <v>1291</v>
      </c>
      <c r="K1137" s="20">
        <v>45140</v>
      </c>
      <c r="L1137" s="20">
        <v>45144</v>
      </c>
      <c r="M1137" s="20">
        <v>45144</v>
      </c>
      <c r="N1137" s="2" t="s">
        <v>238</v>
      </c>
      <c r="O1137" s="2" t="s">
        <v>25</v>
      </c>
      <c r="P1137" s="2" t="s">
        <v>26</v>
      </c>
      <c r="Q1137" s="2">
        <f t="shared" si="17"/>
        <v>1</v>
      </c>
    </row>
    <row r="1138" spans="1:17" x14ac:dyDescent="0.25">
      <c r="A1138" s="2" t="s">
        <v>3212</v>
      </c>
      <c r="B1138" s="2" t="s">
        <v>3213</v>
      </c>
      <c r="C1138" s="2" t="s">
        <v>19</v>
      </c>
      <c r="D1138" s="2" t="s">
        <v>164</v>
      </c>
      <c r="E1138" s="2" t="s">
        <v>205</v>
      </c>
      <c r="F1138" s="2">
        <v>314.08800000000002</v>
      </c>
      <c r="G1138" s="2" t="s">
        <v>206</v>
      </c>
      <c r="H1138" s="2">
        <v>80</v>
      </c>
      <c r="I1138" s="2">
        <v>251.27040000000002</v>
      </c>
      <c r="J1138" s="2" t="s">
        <v>1291</v>
      </c>
      <c r="K1138" s="20">
        <v>45145</v>
      </c>
      <c r="L1138" s="20">
        <v>45150</v>
      </c>
      <c r="M1138" s="20">
        <v>45150</v>
      </c>
      <c r="N1138" s="2" t="s">
        <v>207</v>
      </c>
      <c r="O1138" s="2" t="s">
        <v>54</v>
      </c>
      <c r="P1138" s="2" t="s">
        <v>26</v>
      </c>
      <c r="Q1138" s="2">
        <f t="shared" si="17"/>
        <v>1</v>
      </c>
    </row>
    <row r="1139" spans="1:17" x14ac:dyDescent="0.25">
      <c r="A1139" s="2" t="s">
        <v>3215</v>
      </c>
      <c r="B1139" s="2" t="s">
        <v>3216</v>
      </c>
      <c r="C1139" s="2" t="s">
        <v>19</v>
      </c>
      <c r="D1139" s="2" t="s">
        <v>126</v>
      </c>
      <c r="E1139" s="2" t="s">
        <v>212</v>
      </c>
      <c r="F1139" s="2">
        <v>59.97</v>
      </c>
      <c r="G1139" s="2" t="s">
        <v>206</v>
      </c>
      <c r="H1139" s="2">
        <v>100</v>
      </c>
      <c r="I1139" s="2">
        <v>59.97</v>
      </c>
      <c r="J1139" s="2" t="s">
        <v>1291</v>
      </c>
      <c r="K1139" s="20">
        <v>45147</v>
      </c>
      <c r="L1139" s="20">
        <v>45153</v>
      </c>
      <c r="M1139" s="20">
        <v>45153</v>
      </c>
      <c r="N1139" s="2" t="s">
        <v>213</v>
      </c>
      <c r="O1139" s="2" t="s">
        <v>54</v>
      </c>
      <c r="P1139" s="2" t="s">
        <v>26</v>
      </c>
      <c r="Q1139" s="2">
        <f t="shared" si="17"/>
        <v>1</v>
      </c>
    </row>
    <row r="1140" spans="1:17" x14ac:dyDescent="0.25">
      <c r="A1140" s="2" t="s">
        <v>3218</v>
      </c>
      <c r="B1140" s="2" t="s">
        <v>3219</v>
      </c>
      <c r="C1140" s="2" t="s">
        <v>30</v>
      </c>
      <c r="D1140" s="2" t="s">
        <v>51</v>
      </c>
      <c r="E1140" s="2" t="s">
        <v>205</v>
      </c>
      <c r="F1140" s="2">
        <v>2279.96</v>
      </c>
      <c r="G1140" s="2" t="s">
        <v>206</v>
      </c>
      <c r="H1140" s="2">
        <v>80</v>
      </c>
      <c r="I1140" s="2">
        <v>1823.9680000000001</v>
      </c>
      <c r="J1140" s="2" t="s">
        <v>1291</v>
      </c>
      <c r="K1140" s="20">
        <v>45151</v>
      </c>
      <c r="L1140" s="20">
        <v>45154</v>
      </c>
      <c r="M1140" s="20">
        <v>45154</v>
      </c>
      <c r="N1140" s="2" t="s">
        <v>213</v>
      </c>
      <c r="O1140" s="2" t="s">
        <v>72</v>
      </c>
      <c r="P1140" s="2" t="s">
        <v>73</v>
      </c>
      <c r="Q1140" s="2">
        <f t="shared" si="17"/>
        <v>1</v>
      </c>
    </row>
    <row r="1141" spans="1:17" x14ac:dyDescent="0.25">
      <c r="A1141" s="2" t="s">
        <v>3221</v>
      </c>
      <c r="B1141" s="2" t="s">
        <v>3222</v>
      </c>
      <c r="C1141" s="2" t="s">
        <v>30</v>
      </c>
      <c r="D1141" s="2" t="s">
        <v>96</v>
      </c>
      <c r="E1141" s="2" t="s">
        <v>212</v>
      </c>
      <c r="F1141" s="2">
        <v>14.352</v>
      </c>
      <c r="G1141" s="2" t="s">
        <v>206</v>
      </c>
      <c r="H1141" s="2">
        <v>100</v>
      </c>
      <c r="I1141" s="2">
        <v>14.352</v>
      </c>
      <c r="J1141" s="2" t="s">
        <v>1291</v>
      </c>
      <c r="K1141" s="20">
        <v>45154</v>
      </c>
      <c r="L1141" s="20">
        <v>45159</v>
      </c>
      <c r="M1141" s="20">
        <v>45159</v>
      </c>
      <c r="N1141" s="2" t="s">
        <v>207</v>
      </c>
      <c r="O1141" s="2" t="s">
        <v>97</v>
      </c>
      <c r="P1141" s="2" t="s">
        <v>68</v>
      </c>
      <c r="Q1141" s="2">
        <f t="shared" si="17"/>
        <v>1</v>
      </c>
    </row>
    <row r="1142" spans="1:17" x14ac:dyDescent="0.25">
      <c r="A1142" s="2" t="s">
        <v>3223</v>
      </c>
      <c r="B1142" s="2" t="s">
        <v>3224</v>
      </c>
      <c r="C1142" s="2" t="s">
        <v>19</v>
      </c>
      <c r="D1142" s="2" t="s">
        <v>105</v>
      </c>
      <c r="E1142" s="2" t="s">
        <v>205</v>
      </c>
      <c r="F1142" s="2">
        <v>64.959999999999994</v>
      </c>
      <c r="G1142" s="2" t="s">
        <v>206</v>
      </c>
      <c r="H1142" s="2">
        <v>80</v>
      </c>
      <c r="I1142" s="2">
        <v>51.967999999999996</v>
      </c>
      <c r="J1142" s="2" t="s">
        <v>1291</v>
      </c>
      <c r="K1142" s="20">
        <v>45154</v>
      </c>
      <c r="L1142" s="20">
        <v>45156</v>
      </c>
      <c r="M1142" s="20">
        <v>45156</v>
      </c>
      <c r="N1142" s="2" t="s">
        <v>234</v>
      </c>
      <c r="O1142" s="2" t="s">
        <v>82</v>
      </c>
      <c r="P1142" s="2" t="s">
        <v>47</v>
      </c>
      <c r="Q1142" s="2">
        <f t="shared" si="17"/>
        <v>1</v>
      </c>
    </row>
    <row r="1143" spans="1:17" x14ac:dyDescent="0.25">
      <c r="A1143" s="2" t="s">
        <v>3225</v>
      </c>
      <c r="B1143" s="2" t="s">
        <v>3226</v>
      </c>
      <c r="C1143" s="2" t="s">
        <v>19</v>
      </c>
      <c r="D1143" s="2" t="s">
        <v>115</v>
      </c>
      <c r="E1143" s="2" t="s">
        <v>205</v>
      </c>
      <c r="F1143" s="2">
        <v>71.959999999999994</v>
      </c>
      <c r="G1143" s="2" t="s">
        <v>206</v>
      </c>
      <c r="H1143" s="2">
        <v>80</v>
      </c>
      <c r="I1143" s="2">
        <v>57.567999999999998</v>
      </c>
      <c r="J1143" s="2" t="s">
        <v>1291</v>
      </c>
      <c r="K1143" s="20">
        <v>45155</v>
      </c>
      <c r="L1143" s="20">
        <v>45159</v>
      </c>
      <c r="M1143" s="20">
        <v>45159</v>
      </c>
      <c r="N1143" s="2" t="s">
        <v>220</v>
      </c>
      <c r="O1143" s="2" t="s">
        <v>40</v>
      </c>
      <c r="P1143" s="2" t="s">
        <v>34</v>
      </c>
      <c r="Q1143" s="2">
        <f t="shared" si="17"/>
        <v>1</v>
      </c>
    </row>
    <row r="1144" spans="1:17" x14ac:dyDescent="0.25">
      <c r="A1144" s="2" t="s">
        <v>3228</v>
      </c>
      <c r="B1144" s="2" t="s">
        <v>3229</v>
      </c>
      <c r="C1144" s="2" t="s">
        <v>30</v>
      </c>
      <c r="D1144" s="2" t="s">
        <v>77</v>
      </c>
      <c r="E1144" s="2" t="s">
        <v>205</v>
      </c>
      <c r="F1144" s="2">
        <v>9.08</v>
      </c>
      <c r="G1144" s="2" t="s">
        <v>206</v>
      </c>
      <c r="H1144" s="2">
        <v>80</v>
      </c>
      <c r="I1144" s="2">
        <v>7.2640000000000002</v>
      </c>
      <c r="J1144" s="2" t="s">
        <v>1291</v>
      </c>
      <c r="K1144" s="20">
        <v>45156</v>
      </c>
      <c r="L1144" s="20">
        <v>45160</v>
      </c>
      <c r="M1144" s="20">
        <v>45160</v>
      </c>
      <c r="N1144" s="2" t="s">
        <v>234</v>
      </c>
      <c r="O1144" s="2" t="s">
        <v>146</v>
      </c>
      <c r="P1144" s="2" t="s">
        <v>73</v>
      </c>
      <c r="Q1144" s="2">
        <f t="shared" si="17"/>
        <v>1</v>
      </c>
    </row>
    <row r="1145" spans="1:17" x14ac:dyDescent="0.25">
      <c r="A1145" s="2" t="s">
        <v>3231</v>
      </c>
      <c r="B1145" s="2" t="s">
        <v>3232</v>
      </c>
      <c r="C1145" s="2" t="s">
        <v>19</v>
      </c>
      <c r="D1145" s="2" t="s">
        <v>62</v>
      </c>
      <c r="E1145" s="2" t="s">
        <v>21</v>
      </c>
      <c r="F1145" s="2">
        <v>448.79199999999997</v>
      </c>
      <c r="G1145" s="2" t="s">
        <v>22</v>
      </c>
      <c r="H1145" s="2">
        <v>0</v>
      </c>
      <c r="I1145" s="2">
        <v>0</v>
      </c>
      <c r="J1145" s="2" t="s">
        <v>1291</v>
      </c>
      <c r="K1145" s="20">
        <v>45158</v>
      </c>
      <c r="L1145" s="20">
        <v>45159</v>
      </c>
      <c r="M1145" s="20">
        <v>45159</v>
      </c>
      <c r="N1145" s="2" t="s">
        <v>32</v>
      </c>
      <c r="O1145" s="2" t="s">
        <v>25</v>
      </c>
      <c r="P1145" s="2" t="s">
        <v>26</v>
      </c>
      <c r="Q1145" s="2">
        <f t="shared" si="17"/>
        <v>1</v>
      </c>
    </row>
    <row r="1146" spans="1:17" x14ac:dyDescent="0.25">
      <c r="A1146" s="2" t="s">
        <v>3233</v>
      </c>
      <c r="B1146" s="2" t="s">
        <v>3234</v>
      </c>
      <c r="C1146" s="2" t="s">
        <v>19</v>
      </c>
      <c r="D1146" s="2" t="s">
        <v>115</v>
      </c>
      <c r="E1146" s="2" t="s">
        <v>205</v>
      </c>
      <c r="F1146" s="2">
        <v>30.344999999999999</v>
      </c>
      <c r="G1146" s="2" t="s">
        <v>206</v>
      </c>
      <c r="H1146" s="2">
        <v>80</v>
      </c>
      <c r="I1146" s="2">
        <v>24.276</v>
      </c>
      <c r="J1146" s="2" t="s">
        <v>1291</v>
      </c>
      <c r="K1146" s="20">
        <v>45159</v>
      </c>
      <c r="L1146" s="20">
        <v>45162</v>
      </c>
      <c r="M1146" s="20">
        <v>45162</v>
      </c>
      <c r="N1146" s="2" t="s">
        <v>248</v>
      </c>
      <c r="O1146" s="2" t="s">
        <v>97</v>
      </c>
      <c r="P1146" s="2" t="s">
        <v>68</v>
      </c>
      <c r="Q1146" s="2">
        <f t="shared" si="17"/>
        <v>1</v>
      </c>
    </row>
    <row r="1147" spans="1:17" x14ac:dyDescent="0.25">
      <c r="A1147" s="2" t="s">
        <v>3236</v>
      </c>
      <c r="B1147" s="2" t="s">
        <v>3237</v>
      </c>
      <c r="C1147" s="2" t="s">
        <v>19</v>
      </c>
      <c r="D1147" s="2" t="s">
        <v>38</v>
      </c>
      <c r="E1147" s="2" t="s">
        <v>205</v>
      </c>
      <c r="F1147" s="2">
        <v>77.951999999999998</v>
      </c>
      <c r="G1147" s="2" t="s">
        <v>206</v>
      </c>
      <c r="H1147" s="2">
        <v>80</v>
      </c>
      <c r="I1147" s="2">
        <v>62.361600000000003</v>
      </c>
      <c r="J1147" s="2" t="s">
        <v>1291</v>
      </c>
      <c r="K1147" s="20">
        <v>45160</v>
      </c>
      <c r="L1147" s="20">
        <v>45163</v>
      </c>
      <c r="M1147" s="20">
        <v>45163</v>
      </c>
      <c r="N1147" s="2" t="s">
        <v>220</v>
      </c>
      <c r="O1147" s="2" t="s">
        <v>54</v>
      </c>
      <c r="P1147" s="2" t="s">
        <v>26</v>
      </c>
      <c r="Q1147" s="2">
        <f t="shared" si="17"/>
        <v>1</v>
      </c>
    </row>
    <row r="1148" spans="1:17" x14ac:dyDescent="0.25">
      <c r="A1148" s="2" t="s">
        <v>3238</v>
      </c>
      <c r="B1148" s="2" t="s">
        <v>3239</v>
      </c>
      <c r="C1148" s="2" t="s">
        <v>19</v>
      </c>
      <c r="D1148" s="2" t="s">
        <v>370</v>
      </c>
      <c r="E1148" s="2" t="s">
        <v>212</v>
      </c>
      <c r="F1148" s="2">
        <v>318.43</v>
      </c>
      <c r="G1148" s="2" t="s">
        <v>206</v>
      </c>
      <c r="H1148" s="2">
        <v>100</v>
      </c>
      <c r="I1148" s="2">
        <v>318.43</v>
      </c>
      <c r="J1148" s="2" t="s">
        <v>1291</v>
      </c>
      <c r="K1148" s="20">
        <v>45161</v>
      </c>
      <c r="L1148" s="20">
        <v>45162</v>
      </c>
      <c r="M1148" s="20">
        <v>45162</v>
      </c>
      <c r="N1148" s="2" t="s">
        <v>220</v>
      </c>
      <c r="O1148" s="2" t="s">
        <v>146</v>
      </c>
      <c r="P1148" s="2" t="s">
        <v>73</v>
      </c>
      <c r="Q1148" s="2">
        <f t="shared" si="17"/>
        <v>1</v>
      </c>
    </row>
    <row r="1149" spans="1:17" x14ac:dyDescent="0.25">
      <c r="A1149" s="2" t="s">
        <v>3240</v>
      </c>
      <c r="B1149" s="2" t="s">
        <v>3241</v>
      </c>
      <c r="C1149" s="2" t="s">
        <v>19</v>
      </c>
      <c r="D1149" s="2" t="s">
        <v>77</v>
      </c>
      <c r="E1149" s="2" t="s">
        <v>205</v>
      </c>
      <c r="F1149" s="2">
        <v>24.032</v>
      </c>
      <c r="G1149" s="2" t="s">
        <v>206</v>
      </c>
      <c r="H1149" s="2">
        <v>80</v>
      </c>
      <c r="I1149" s="2">
        <v>19.2256</v>
      </c>
      <c r="J1149" s="2" t="s">
        <v>1291</v>
      </c>
      <c r="K1149" s="20">
        <v>45165</v>
      </c>
      <c r="L1149" s="20">
        <v>45167</v>
      </c>
      <c r="M1149" s="20">
        <v>45167</v>
      </c>
      <c r="N1149" s="2" t="s">
        <v>238</v>
      </c>
      <c r="O1149" s="2" t="s">
        <v>72</v>
      </c>
      <c r="P1149" s="2" t="s">
        <v>73</v>
      </c>
      <c r="Q1149" s="2">
        <f t="shared" si="17"/>
        <v>1</v>
      </c>
    </row>
    <row r="1150" spans="1:17" x14ac:dyDescent="0.25">
      <c r="A1150" s="2" t="s">
        <v>3243</v>
      </c>
      <c r="B1150" s="2" t="s">
        <v>3244</v>
      </c>
      <c r="C1150" s="2" t="s">
        <v>19</v>
      </c>
      <c r="D1150" s="2" t="s">
        <v>44</v>
      </c>
      <c r="E1150" s="2" t="s">
        <v>205</v>
      </c>
      <c r="F1150" s="2">
        <v>1684.752</v>
      </c>
      <c r="G1150" s="2" t="s">
        <v>206</v>
      </c>
      <c r="H1150" s="2">
        <v>80</v>
      </c>
      <c r="I1150" s="2">
        <v>1347.8016</v>
      </c>
      <c r="J1150" s="2" t="s">
        <v>1291</v>
      </c>
      <c r="K1150" s="20">
        <v>45166</v>
      </c>
      <c r="L1150" s="20">
        <v>45172</v>
      </c>
      <c r="M1150" s="20">
        <v>45172</v>
      </c>
      <c r="N1150" s="2" t="s">
        <v>220</v>
      </c>
      <c r="O1150" s="2" t="s">
        <v>82</v>
      </c>
      <c r="P1150" s="2" t="s">
        <v>47</v>
      </c>
      <c r="Q1150" s="2">
        <f t="shared" si="17"/>
        <v>1</v>
      </c>
    </row>
    <row r="1151" spans="1:17" x14ac:dyDescent="0.25">
      <c r="A1151" s="2" t="s">
        <v>3246</v>
      </c>
      <c r="B1151" s="2" t="s">
        <v>3247</v>
      </c>
      <c r="C1151" s="2" t="s">
        <v>30</v>
      </c>
      <c r="D1151" s="2" t="s">
        <v>119</v>
      </c>
      <c r="E1151" s="2" t="s">
        <v>21</v>
      </c>
      <c r="F1151" s="2">
        <v>1269.8699999999999</v>
      </c>
      <c r="G1151" s="2" t="s">
        <v>22</v>
      </c>
      <c r="H1151" s="2">
        <v>0</v>
      </c>
      <c r="I1151" s="2">
        <v>0</v>
      </c>
      <c r="J1151" s="2" t="s">
        <v>1291</v>
      </c>
      <c r="K1151" s="20">
        <v>45169</v>
      </c>
      <c r="L1151" s="20">
        <v>45171</v>
      </c>
      <c r="M1151" s="20">
        <v>45171</v>
      </c>
      <c r="N1151" s="2" t="s">
        <v>32</v>
      </c>
      <c r="O1151" s="2" t="s">
        <v>67</v>
      </c>
      <c r="P1151" s="2" t="s">
        <v>68</v>
      </c>
      <c r="Q1151" s="2">
        <f t="shared" si="17"/>
        <v>1</v>
      </c>
    </row>
    <row r="1152" spans="1:17" x14ac:dyDescent="0.25">
      <c r="A1152" s="2" t="s">
        <v>3249</v>
      </c>
      <c r="B1152" s="2" t="s">
        <v>3250</v>
      </c>
      <c r="C1152" s="2" t="s">
        <v>30</v>
      </c>
      <c r="D1152" s="2" t="s">
        <v>126</v>
      </c>
      <c r="E1152" s="2" t="s">
        <v>205</v>
      </c>
      <c r="F1152" s="2">
        <v>39.808</v>
      </c>
      <c r="G1152" s="2" t="s">
        <v>206</v>
      </c>
      <c r="H1152" s="2">
        <v>80</v>
      </c>
      <c r="I1152" s="2">
        <v>31.846400000000003</v>
      </c>
      <c r="J1152" s="2" t="s">
        <v>1291</v>
      </c>
      <c r="K1152" s="20">
        <v>45172</v>
      </c>
      <c r="L1152" s="20">
        <v>45174</v>
      </c>
      <c r="M1152" s="20">
        <v>45174</v>
      </c>
      <c r="N1152" s="2" t="s">
        <v>248</v>
      </c>
      <c r="O1152" s="2" t="s">
        <v>54</v>
      </c>
      <c r="P1152" s="2" t="s">
        <v>26</v>
      </c>
      <c r="Q1152" s="2">
        <f t="shared" si="17"/>
        <v>1</v>
      </c>
    </row>
    <row r="1153" spans="1:17" x14ac:dyDescent="0.25">
      <c r="A1153" s="2" t="s">
        <v>3251</v>
      </c>
      <c r="B1153" s="2" t="s">
        <v>3252</v>
      </c>
      <c r="C1153" s="2" t="s">
        <v>19</v>
      </c>
      <c r="D1153" s="2" t="s">
        <v>164</v>
      </c>
      <c r="E1153" s="2" t="s">
        <v>212</v>
      </c>
      <c r="F1153" s="2">
        <v>7.16</v>
      </c>
      <c r="G1153" s="2" t="s">
        <v>206</v>
      </c>
      <c r="H1153" s="2">
        <v>100</v>
      </c>
      <c r="I1153" s="2">
        <v>7.16</v>
      </c>
      <c r="J1153" s="2" t="s">
        <v>1291</v>
      </c>
      <c r="K1153" s="20">
        <v>45172</v>
      </c>
      <c r="L1153" s="20">
        <v>45174</v>
      </c>
      <c r="M1153" s="20">
        <v>45174</v>
      </c>
      <c r="N1153" s="2" t="s">
        <v>248</v>
      </c>
      <c r="O1153" s="2" t="s">
        <v>40</v>
      </c>
      <c r="P1153" s="2" t="s">
        <v>34</v>
      </c>
      <c r="Q1153" s="2">
        <f t="shared" si="17"/>
        <v>1</v>
      </c>
    </row>
    <row r="1154" spans="1:17" x14ac:dyDescent="0.25">
      <c r="A1154" s="2" t="s">
        <v>3254</v>
      </c>
      <c r="B1154" s="2" t="s">
        <v>3255</v>
      </c>
      <c r="C1154" s="2" t="s">
        <v>19</v>
      </c>
      <c r="D1154" s="2" t="s">
        <v>31</v>
      </c>
      <c r="E1154" s="2" t="s">
        <v>212</v>
      </c>
      <c r="F1154" s="2">
        <v>17.856000000000002</v>
      </c>
      <c r="G1154" s="2" t="s">
        <v>206</v>
      </c>
      <c r="H1154" s="2">
        <v>100</v>
      </c>
      <c r="I1154" s="2">
        <v>17.856000000000002</v>
      </c>
      <c r="J1154" s="2" t="s">
        <v>1291</v>
      </c>
      <c r="K1154" s="20">
        <v>45173</v>
      </c>
      <c r="L1154" s="20">
        <v>45178</v>
      </c>
      <c r="M1154" s="20">
        <v>45178</v>
      </c>
      <c r="N1154" s="2" t="s">
        <v>248</v>
      </c>
      <c r="O1154" s="2" t="s">
        <v>146</v>
      </c>
      <c r="P1154" s="2" t="s">
        <v>73</v>
      </c>
      <c r="Q1154" s="2">
        <f t="shared" ref="Q1154:Q1217" si="18">COUNTIF($A$2:$A$1778,A1154)</f>
        <v>1</v>
      </c>
    </row>
    <row r="1155" spans="1:17" x14ac:dyDescent="0.25">
      <c r="A1155" s="2" t="s">
        <v>3257</v>
      </c>
      <c r="B1155" s="2" t="s">
        <v>3258</v>
      </c>
      <c r="C1155" s="2" t="s">
        <v>19</v>
      </c>
      <c r="D1155" s="2" t="s">
        <v>115</v>
      </c>
      <c r="E1155" s="2" t="s">
        <v>212</v>
      </c>
      <c r="F1155" s="2">
        <v>33.36</v>
      </c>
      <c r="G1155" s="2" t="s">
        <v>206</v>
      </c>
      <c r="H1155" s="2">
        <v>100</v>
      </c>
      <c r="I1155" s="2">
        <v>33.36</v>
      </c>
      <c r="J1155" s="2" t="s">
        <v>1291</v>
      </c>
      <c r="K1155" s="20">
        <v>45173</v>
      </c>
      <c r="L1155" s="20">
        <v>45176</v>
      </c>
      <c r="M1155" s="20">
        <v>45176</v>
      </c>
      <c r="N1155" s="2" t="s">
        <v>238</v>
      </c>
      <c r="O1155" s="2" t="s">
        <v>40</v>
      </c>
      <c r="P1155" s="2" t="s">
        <v>34</v>
      </c>
      <c r="Q1155" s="2">
        <f t="shared" si="18"/>
        <v>1</v>
      </c>
    </row>
    <row r="1156" spans="1:17" x14ac:dyDescent="0.25">
      <c r="A1156" s="2" t="s">
        <v>3260</v>
      </c>
      <c r="B1156" s="2" t="s">
        <v>3261</v>
      </c>
      <c r="C1156" s="2" t="s">
        <v>30</v>
      </c>
      <c r="D1156" s="2" t="s">
        <v>58</v>
      </c>
      <c r="E1156" s="2" t="s">
        <v>212</v>
      </c>
      <c r="F1156" s="2">
        <v>25.92</v>
      </c>
      <c r="G1156" s="2" t="s">
        <v>206</v>
      </c>
      <c r="H1156" s="2">
        <v>100</v>
      </c>
      <c r="I1156" s="2">
        <v>25.92</v>
      </c>
      <c r="J1156" s="2" t="s">
        <v>1291</v>
      </c>
      <c r="K1156" s="20">
        <v>45175</v>
      </c>
      <c r="L1156" s="20">
        <v>45180</v>
      </c>
      <c r="M1156" s="20">
        <v>45180</v>
      </c>
      <c r="N1156" s="2" t="s">
        <v>213</v>
      </c>
      <c r="O1156" s="2" t="s">
        <v>40</v>
      </c>
      <c r="P1156" s="2" t="s">
        <v>34</v>
      </c>
      <c r="Q1156" s="2">
        <f t="shared" si="18"/>
        <v>1</v>
      </c>
    </row>
    <row r="1157" spans="1:17" x14ac:dyDescent="0.25">
      <c r="A1157" s="2" t="s">
        <v>3262</v>
      </c>
      <c r="B1157" s="2" t="s">
        <v>3263</v>
      </c>
      <c r="C1157" s="2" t="s">
        <v>30</v>
      </c>
      <c r="D1157" s="2" t="s">
        <v>58</v>
      </c>
      <c r="E1157" s="2" t="s">
        <v>205</v>
      </c>
      <c r="F1157" s="2">
        <v>772.67999999999904</v>
      </c>
      <c r="G1157" s="2" t="s">
        <v>206</v>
      </c>
      <c r="H1157" s="2">
        <v>80</v>
      </c>
      <c r="I1157" s="2">
        <v>618.14399999999932</v>
      </c>
      <c r="J1157" s="2" t="s">
        <v>1291</v>
      </c>
      <c r="K1157" s="20">
        <v>45175</v>
      </c>
      <c r="L1157" s="20">
        <v>45180</v>
      </c>
      <c r="M1157" s="20">
        <v>45180</v>
      </c>
      <c r="N1157" s="2" t="s">
        <v>213</v>
      </c>
      <c r="O1157" s="2" t="s">
        <v>72</v>
      </c>
      <c r="P1157" s="2" t="s">
        <v>73</v>
      </c>
      <c r="Q1157" s="2">
        <f t="shared" si="18"/>
        <v>1</v>
      </c>
    </row>
    <row r="1158" spans="1:17" x14ac:dyDescent="0.25">
      <c r="A1158" s="2" t="s">
        <v>3264</v>
      </c>
      <c r="B1158" s="2" t="s">
        <v>3265</v>
      </c>
      <c r="C1158" s="2" t="s">
        <v>19</v>
      </c>
      <c r="D1158" s="2" t="s">
        <v>119</v>
      </c>
      <c r="E1158" s="2" t="s">
        <v>21</v>
      </c>
      <c r="F1158" s="2">
        <v>112.11999999999999</v>
      </c>
      <c r="G1158" s="2" t="s">
        <v>22</v>
      </c>
      <c r="H1158" s="2">
        <v>0</v>
      </c>
      <c r="I1158" s="2">
        <v>0</v>
      </c>
      <c r="J1158" s="2" t="s">
        <v>1291</v>
      </c>
      <c r="K1158" s="20">
        <v>45175</v>
      </c>
      <c r="L1158" s="20">
        <v>45176</v>
      </c>
      <c r="M1158" s="20">
        <v>45176</v>
      </c>
      <c r="N1158" s="2" t="s">
        <v>53</v>
      </c>
      <c r="O1158" s="2" t="s">
        <v>46</v>
      </c>
      <c r="P1158" s="2" t="s">
        <v>47</v>
      </c>
      <c r="Q1158" s="2">
        <f t="shared" si="18"/>
        <v>1</v>
      </c>
    </row>
    <row r="1159" spans="1:17" x14ac:dyDescent="0.25">
      <c r="A1159" s="2" t="s">
        <v>3266</v>
      </c>
      <c r="B1159" s="2" t="s">
        <v>3267</v>
      </c>
      <c r="C1159" s="2" t="s">
        <v>19</v>
      </c>
      <c r="D1159" s="2" t="s">
        <v>96</v>
      </c>
      <c r="E1159" s="2" t="s">
        <v>205</v>
      </c>
      <c r="F1159" s="2">
        <v>15.528</v>
      </c>
      <c r="G1159" s="2" t="s">
        <v>206</v>
      </c>
      <c r="H1159" s="2">
        <v>80</v>
      </c>
      <c r="I1159" s="2">
        <v>12.422400000000001</v>
      </c>
      <c r="J1159" s="2" t="s">
        <v>1291</v>
      </c>
      <c r="K1159" s="20">
        <v>45175</v>
      </c>
      <c r="L1159" s="20">
        <v>45180</v>
      </c>
      <c r="M1159" s="20">
        <v>45180</v>
      </c>
      <c r="N1159" s="2" t="s">
        <v>238</v>
      </c>
      <c r="O1159" s="2" t="s">
        <v>67</v>
      </c>
      <c r="P1159" s="2" t="s">
        <v>68</v>
      </c>
      <c r="Q1159" s="2">
        <f t="shared" si="18"/>
        <v>1</v>
      </c>
    </row>
    <row r="1160" spans="1:17" x14ac:dyDescent="0.25">
      <c r="A1160" s="2" t="s">
        <v>3268</v>
      </c>
      <c r="B1160" s="2" t="s">
        <v>3269</v>
      </c>
      <c r="C1160" s="2" t="s">
        <v>19</v>
      </c>
      <c r="D1160" s="2" t="s">
        <v>230</v>
      </c>
      <c r="E1160" s="2" t="s">
        <v>212</v>
      </c>
      <c r="F1160" s="2">
        <v>13.36</v>
      </c>
      <c r="G1160" s="2" t="s">
        <v>206</v>
      </c>
      <c r="H1160" s="2">
        <v>100</v>
      </c>
      <c r="I1160" s="2">
        <v>13.36</v>
      </c>
      <c r="J1160" s="2" t="s">
        <v>1291</v>
      </c>
      <c r="K1160" s="20">
        <v>45175</v>
      </c>
      <c r="L1160" s="20">
        <v>45181</v>
      </c>
      <c r="M1160" s="20">
        <v>45181</v>
      </c>
      <c r="N1160" s="2" t="s">
        <v>234</v>
      </c>
      <c r="O1160" s="2" t="s">
        <v>46</v>
      </c>
      <c r="P1160" s="2" t="s">
        <v>47</v>
      </c>
      <c r="Q1160" s="2">
        <f t="shared" si="18"/>
        <v>1</v>
      </c>
    </row>
    <row r="1161" spans="1:17" x14ac:dyDescent="0.25">
      <c r="A1161" s="2" t="s">
        <v>3270</v>
      </c>
      <c r="B1161" s="2" t="s">
        <v>3271</v>
      </c>
      <c r="C1161" s="2" t="s">
        <v>19</v>
      </c>
      <c r="D1161" s="2" t="s">
        <v>164</v>
      </c>
      <c r="E1161" s="2" t="s">
        <v>212</v>
      </c>
      <c r="F1161" s="2">
        <v>18.54</v>
      </c>
      <c r="G1161" s="2" t="s">
        <v>206</v>
      </c>
      <c r="H1161" s="2">
        <v>100</v>
      </c>
      <c r="I1161" s="2">
        <v>18.54</v>
      </c>
      <c r="J1161" s="2" t="s">
        <v>1291</v>
      </c>
      <c r="K1161" s="20">
        <v>45179</v>
      </c>
      <c r="L1161" s="20">
        <v>45184</v>
      </c>
      <c r="M1161" s="20">
        <v>45184</v>
      </c>
      <c r="N1161" s="2" t="s">
        <v>220</v>
      </c>
      <c r="O1161" s="2" t="s">
        <v>97</v>
      </c>
      <c r="P1161" s="2" t="s">
        <v>68</v>
      </c>
      <c r="Q1161" s="2">
        <f t="shared" si="18"/>
        <v>1</v>
      </c>
    </row>
    <row r="1162" spans="1:17" x14ac:dyDescent="0.25">
      <c r="A1162" s="2" t="s">
        <v>3273</v>
      </c>
      <c r="B1162" s="2" t="s">
        <v>3274</v>
      </c>
      <c r="C1162" s="2" t="s">
        <v>30</v>
      </c>
      <c r="D1162" s="2" t="s">
        <v>58</v>
      </c>
      <c r="E1162" s="2" t="s">
        <v>212</v>
      </c>
      <c r="F1162" s="2">
        <v>63.88</v>
      </c>
      <c r="G1162" s="2" t="s">
        <v>206</v>
      </c>
      <c r="H1162" s="2">
        <v>100</v>
      </c>
      <c r="I1162" s="2">
        <v>63.88</v>
      </c>
      <c r="J1162" s="2" t="s">
        <v>1291</v>
      </c>
      <c r="K1162" s="20">
        <v>45181</v>
      </c>
      <c r="L1162" s="20">
        <v>45184</v>
      </c>
      <c r="M1162" s="20">
        <v>45184</v>
      </c>
      <c r="N1162" s="2" t="s">
        <v>220</v>
      </c>
      <c r="O1162" s="2" t="s">
        <v>33</v>
      </c>
      <c r="P1162" s="2" t="s">
        <v>34</v>
      </c>
      <c r="Q1162" s="2">
        <f t="shared" si="18"/>
        <v>1</v>
      </c>
    </row>
    <row r="1163" spans="1:17" x14ac:dyDescent="0.25">
      <c r="A1163" s="2" t="s">
        <v>3275</v>
      </c>
      <c r="B1163" s="2" t="s">
        <v>3276</v>
      </c>
      <c r="C1163" s="2" t="s">
        <v>19</v>
      </c>
      <c r="D1163" s="2" t="s">
        <v>119</v>
      </c>
      <c r="E1163" s="2" t="s">
        <v>205</v>
      </c>
      <c r="F1163" s="2">
        <v>564.19500000000005</v>
      </c>
      <c r="G1163" s="2" t="s">
        <v>206</v>
      </c>
      <c r="H1163" s="2">
        <v>80</v>
      </c>
      <c r="I1163" s="2">
        <v>451.35600000000005</v>
      </c>
      <c r="J1163" s="2" t="s">
        <v>1291</v>
      </c>
      <c r="K1163" s="20">
        <v>45186</v>
      </c>
      <c r="L1163" s="20">
        <v>45192</v>
      </c>
      <c r="M1163" s="20">
        <v>45192</v>
      </c>
      <c r="N1163" s="2" t="s">
        <v>238</v>
      </c>
      <c r="O1163" s="2" t="s">
        <v>33</v>
      </c>
      <c r="P1163" s="2" t="s">
        <v>34</v>
      </c>
      <c r="Q1163" s="2">
        <f t="shared" si="18"/>
        <v>1</v>
      </c>
    </row>
    <row r="1164" spans="1:17" x14ac:dyDescent="0.25">
      <c r="A1164" s="2" t="s">
        <v>3278</v>
      </c>
      <c r="B1164" s="2" t="s">
        <v>3279</v>
      </c>
      <c r="C1164" s="2" t="s">
        <v>30</v>
      </c>
      <c r="D1164" s="2" t="s">
        <v>44</v>
      </c>
      <c r="E1164" s="2" t="s">
        <v>205</v>
      </c>
      <c r="F1164" s="2">
        <v>87.168000000000006</v>
      </c>
      <c r="G1164" s="2" t="s">
        <v>206</v>
      </c>
      <c r="H1164" s="2">
        <v>80</v>
      </c>
      <c r="I1164" s="2">
        <v>69.734400000000008</v>
      </c>
      <c r="J1164" s="2" t="s">
        <v>1291</v>
      </c>
      <c r="K1164" s="20">
        <v>45187</v>
      </c>
      <c r="L1164" s="20">
        <v>45193</v>
      </c>
      <c r="M1164" s="20">
        <v>45193</v>
      </c>
      <c r="N1164" s="2" t="s">
        <v>213</v>
      </c>
      <c r="O1164" s="2" t="s">
        <v>40</v>
      </c>
      <c r="P1164" s="2" t="s">
        <v>34</v>
      </c>
      <c r="Q1164" s="2">
        <f t="shared" si="18"/>
        <v>1</v>
      </c>
    </row>
    <row r="1165" spans="1:17" x14ac:dyDescent="0.25">
      <c r="A1165" s="2" t="s">
        <v>3281</v>
      </c>
      <c r="B1165" s="2" t="s">
        <v>3282</v>
      </c>
      <c r="C1165" s="2" t="s">
        <v>30</v>
      </c>
      <c r="D1165" s="2" t="s">
        <v>77</v>
      </c>
      <c r="E1165" s="2" t="s">
        <v>212</v>
      </c>
      <c r="F1165" s="2">
        <v>579.29999999999995</v>
      </c>
      <c r="G1165" s="2" t="s">
        <v>206</v>
      </c>
      <c r="H1165" s="2">
        <v>100</v>
      </c>
      <c r="I1165" s="2">
        <v>579.29999999999995</v>
      </c>
      <c r="J1165" s="2" t="s">
        <v>1291</v>
      </c>
      <c r="K1165" s="20">
        <v>45188</v>
      </c>
      <c r="L1165" s="20">
        <v>45192</v>
      </c>
      <c r="M1165" s="20">
        <v>45192</v>
      </c>
      <c r="N1165" s="2" t="s">
        <v>238</v>
      </c>
      <c r="O1165" s="2" t="s">
        <v>25</v>
      </c>
      <c r="P1165" s="2" t="s">
        <v>26</v>
      </c>
      <c r="Q1165" s="2">
        <f t="shared" si="18"/>
        <v>1</v>
      </c>
    </row>
    <row r="1166" spans="1:17" x14ac:dyDescent="0.25">
      <c r="A1166" s="2" t="s">
        <v>3283</v>
      </c>
      <c r="B1166" s="2" t="s">
        <v>3284</v>
      </c>
      <c r="C1166" s="2" t="s">
        <v>30</v>
      </c>
      <c r="D1166" s="2" t="s">
        <v>51</v>
      </c>
      <c r="E1166" s="2" t="s">
        <v>212</v>
      </c>
      <c r="F1166" s="2">
        <v>15.42</v>
      </c>
      <c r="G1166" s="2" t="s">
        <v>206</v>
      </c>
      <c r="H1166" s="2">
        <v>100</v>
      </c>
      <c r="I1166" s="2">
        <v>15.42</v>
      </c>
      <c r="J1166" s="2" t="s">
        <v>1291</v>
      </c>
      <c r="K1166" s="20">
        <v>45188</v>
      </c>
      <c r="L1166" s="20">
        <v>45192</v>
      </c>
      <c r="M1166" s="20">
        <v>45192</v>
      </c>
      <c r="N1166" s="2" t="s">
        <v>213</v>
      </c>
      <c r="O1166" s="2" t="s">
        <v>54</v>
      </c>
      <c r="P1166" s="2" t="s">
        <v>26</v>
      </c>
      <c r="Q1166" s="2">
        <f t="shared" si="18"/>
        <v>1</v>
      </c>
    </row>
    <row r="1167" spans="1:17" x14ac:dyDescent="0.25">
      <c r="A1167" s="2" t="s">
        <v>3285</v>
      </c>
      <c r="B1167" s="2" t="s">
        <v>3286</v>
      </c>
      <c r="C1167" s="2" t="s">
        <v>19</v>
      </c>
      <c r="D1167" s="2" t="s">
        <v>211</v>
      </c>
      <c r="E1167" s="2" t="s">
        <v>205</v>
      </c>
      <c r="F1167" s="2">
        <v>913.43</v>
      </c>
      <c r="G1167" s="2" t="s">
        <v>206</v>
      </c>
      <c r="H1167" s="2">
        <v>80</v>
      </c>
      <c r="I1167" s="2">
        <v>730.74400000000003</v>
      </c>
      <c r="J1167" s="2" t="s">
        <v>1291</v>
      </c>
      <c r="K1167" s="20">
        <v>45195</v>
      </c>
      <c r="L1167" s="20">
        <v>45201</v>
      </c>
      <c r="M1167" s="20">
        <v>45201</v>
      </c>
      <c r="N1167" s="2" t="s">
        <v>220</v>
      </c>
      <c r="O1167" s="2" t="s">
        <v>33</v>
      </c>
      <c r="P1167" s="2" t="s">
        <v>34</v>
      </c>
      <c r="Q1167" s="2">
        <f t="shared" si="18"/>
        <v>1</v>
      </c>
    </row>
    <row r="1168" spans="1:17" x14ac:dyDescent="0.25">
      <c r="A1168" s="2" t="s">
        <v>3288</v>
      </c>
      <c r="B1168" s="2" t="s">
        <v>3289</v>
      </c>
      <c r="C1168" s="2" t="s">
        <v>19</v>
      </c>
      <c r="D1168" s="2" t="s">
        <v>115</v>
      </c>
      <c r="E1168" s="2" t="s">
        <v>205</v>
      </c>
      <c r="F1168" s="2">
        <v>372.14400000000001</v>
      </c>
      <c r="G1168" s="2" t="s">
        <v>206</v>
      </c>
      <c r="H1168" s="2">
        <v>80</v>
      </c>
      <c r="I1168" s="2">
        <v>297.71520000000004</v>
      </c>
      <c r="J1168" s="2" t="s">
        <v>1291</v>
      </c>
      <c r="K1168" s="20">
        <v>45195</v>
      </c>
      <c r="L1168" s="20">
        <v>45197</v>
      </c>
      <c r="M1168" s="20">
        <v>45197</v>
      </c>
      <c r="N1168" s="2" t="s">
        <v>238</v>
      </c>
      <c r="O1168" s="2" t="s">
        <v>146</v>
      </c>
      <c r="P1168" s="2" t="s">
        <v>73</v>
      </c>
      <c r="Q1168" s="2">
        <f t="shared" si="18"/>
        <v>1</v>
      </c>
    </row>
    <row r="1169" spans="1:17" x14ac:dyDescent="0.25">
      <c r="A1169" s="2" t="s">
        <v>3290</v>
      </c>
      <c r="B1169" s="2" t="s">
        <v>3291</v>
      </c>
      <c r="C1169" s="2" t="s">
        <v>30</v>
      </c>
      <c r="D1169" s="2" t="s">
        <v>370</v>
      </c>
      <c r="E1169" s="2" t="s">
        <v>205</v>
      </c>
      <c r="F1169" s="2">
        <v>310.74400000000003</v>
      </c>
      <c r="G1169" s="2" t="s">
        <v>206</v>
      </c>
      <c r="H1169" s="2">
        <v>80</v>
      </c>
      <c r="I1169" s="2">
        <v>248.59520000000003</v>
      </c>
      <c r="J1169" s="2" t="s">
        <v>1291</v>
      </c>
      <c r="K1169" s="20">
        <v>45196</v>
      </c>
      <c r="L1169" s="20">
        <v>45201</v>
      </c>
      <c r="M1169" s="20">
        <v>45201</v>
      </c>
      <c r="N1169" s="2" t="s">
        <v>213</v>
      </c>
      <c r="O1169" s="2" t="s">
        <v>54</v>
      </c>
      <c r="P1169" s="2" t="s">
        <v>26</v>
      </c>
      <c r="Q1169" s="2">
        <f t="shared" si="18"/>
        <v>1</v>
      </c>
    </row>
    <row r="1170" spans="1:17" x14ac:dyDescent="0.25">
      <c r="A1170" s="2" t="s">
        <v>3292</v>
      </c>
      <c r="B1170" s="2" t="s">
        <v>3293</v>
      </c>
      <c r="C1170" s="2" t="s">
        <v>19</v>
      </c>
      <c r="D1170" s="2" t="s">
        <v>115</v>
      </c>
      <c r="E1170" s="2" t="s">
        <v>212</v>
      </c>
      <c r="F1170" s="2">
        <v>760.979999999999</v>
      </c>
      <c r="G1170" s="2" t="s">
        <v>206</v>
      </c>
      <c r="H1170" s="2">
        <v>100</v>
      </c>
      <c r="I1170" s="2">
        <v>760.979999999999</v>
      </c>
      <c r="J1170" s="2" t="s">
        <v>1291</v>
      </c>
      <c r="K1170" s="20">
        <v>45196</v>
      </c>
      <c r="L1170" s="20">
        <v>45201</v>
      </c>
      <c r="M1170" s="20">
        <v>45201</v>
      </c>
      <c r="N1170" s="2" t="s">
        <v>207</v>
      </c>
      <c r="O1170" s="2" t="s">
        <v>146</v>
      </c>
      <c r="P1170" s="2" t="s">
        <v>73</v>
      </c>
      <c r="Q1170" s="2">
        <f t="shared" si="18"/>
        <v>1</v>
      </c>
    </row>
    <row r="1171" spans="1:17" x14ac:dyDescent="0.25">
      <c r="A1171" s="2" t="s">
        <v>3294</v>
      </c>
      <c r="B1171" s="2" t="s">
        <v>3295</v>
      </c>
      <c r="C1171" s="2" t="s">
        <v>19</v>
      </c>
      <c r="D1171" s="2" t="s">
        <v>211</v>
      </c>
      <c r="E1171" s="2" t="s">
        <v>205</v>
      </c>
      <c r="F1171" s="2">
        <v>21.4</v>
      </c>
      <c r="G1171" s="2" t="s">
        <v>206</v>
      </c>
      <c r="H1171" s="2">
        <v>80</v>
      </c>
      <c r="I1171" s="2">
        <v>17.12</v>
      </c>
      <c r="J1171" s="2" t="s">
        <v>1291</v>
      </c>
      <c r="K1171" s="20">
        <v>45197</v>
      </c>
      <c r="L1171" s="20">
        <v>45203</v>
      </c>
      <c r="M1171" s="20">
        <v>45203</v>
      </c>
      <c r="N1171" s="2" t="s">
        <v>213</v>
      </c>
      <c r="O1171" s="2" t="s">
        <v>40</v>
      </c>
      <c r="P1171" s="2" t="s">
        <v>34</v>
      </c>
      <c r="Q1171" s="2">
        <f t="shared" si="18"/>
        <v>1</v>
      </c>
    </row>
    <row r="1172" spans="1:17" x14ac:dyDescent="0.25">
      <c r="A1172" s="2" t="s">
        <v>3297</v>
      </c>
      <c r="B1172" s="2" t="s">
        <v>3298</v>
      </c>
      <c r="C1172" s="2" t="s">
        <v>30</v>
      </c>
      <c r="D1172" s="2" t="s">
        <v>77</v>
      </c>
      <c r="E1172" s="2" t="s">
        <v>212</v>
      </c>
      <c r="F1172" s="2">
        <v>67.8</v>
      </c>
      <c r="G1172" s="2" t="s">
        <v>206</v>
      </c>
      <c r="H1172" s="2">
        <v>100</v>
      </c>
      <c r="I1172" s="2">
        <v>67.8</v>
      </c>
      <c r="J1172" s="2" t="s">
        <v>1291</v>
      </c>
      <c r="K1172" s="20">
        <v>45199</v>
      </c>
      <c r="L1172" s="20">
        <v>45201</v>
      </c>
      <c r="M1172" s="20">
        <v>45201</v>
      </c>
      <c r="N1172" s="2" t="s">
        <v>234</v>
      </c>
      <c r="O1172" s="2" t="s">
        <v>33</v>
      </c>
      <c r="P1172" s="2" t="s">
        <v>34</v>
      </c>
      <c r="Q1172" s="2">
        <f t="shared" si="18"/>
        <v>1</v>
      </c>
    </row>
    <row r="1173" spans="1:17" x14ac:dyDescent="0.25">
      <c r="A1173" s="2" t="s">
        <v>3299</v>
      </c>
      <c r="B1173" s="2" t="s">
        <v>3300</v>
      </c>
      <c r="C1173" s="2" t="s">
        <v>30</v>
      </c>
      <c r="D1173" s="2" t="s">
        <v>211</v>
      </c>
      <c r="E1173" s="2" t="s">
        <v>205</v>
      </c>
      <c r="F1173" s="2">
        <v>18.760000000000002</v>
      </c>
      <c r="G1173" s="2" t="s">
        <v>206</v>
      </c>
      <c r="H1173" s="2">
        <v>80</v>
      </c>
      <c r="I1173" s="2">
        <v>15.008000000000003</v>
      </c>
      <c r="J1173" s="2" t="s">
        <v>1291</v>
      </c>
      <c r="K1173" s="20">
        <v>45199</v>
      </c>
      <c r="L1173" s="20">
        <v>45203</v>
      </c>
      <c r="M1173" s="20">
        <v>45203</v>
      </c>
      <c r="N1173" s="2" t="s">
        <v>238</v>
      </c>
      <c r="O1173" s="2" t="s">
        <v>54</v>
      </c>
      <c r="P1173" s="2" t="s">
        <v>26</v>
      </c>
      <c r="Q1173" s="2">
        <f t="shared" si="18"/>
        <v>1</v>
      </c>
    </row>
    <row r="1174" spans="1:17" x14ac:dyDescent="0.25">
      <c r="A1174" s="2" t="s">
        <v>3302</v>
      </c>
      <c r="B1174" s="2" t="s">
        <v>3303</v>
      </c>
      <c r="C1174" s="2" t="s">
        <v>30</v>
      </c>
      <c r="D1174" s="2" t="s">
        <v>51</v>
      </c>
      <c r="E1174" s="2" t="s">
        <v>205</v>
      </c>
      <c r="F1174" s="2">
        <v>99.695999999999998</v>
      </c>
      <c r="G1174" s="2" t="s">
        <v>206</v>
      </c>
      <c r="H1174" s="2">
        <v>80</v>
      </c>
      <c r="I1174" s="2">
        <v>79.756799999999998</v>
      </c>
      <c r="J1174" s="2" t="s">
        <v>1291</v>
      </c>
      <c r="K1174" s="20">
        <v>45199</v>
      </c>
      <c r="L1174" s="20">
        <v>45202</v>
      </c>
      <c r="M1174" s="20">
        <v>45202</v>
      </c>
      <c r="N1174" s="2" t="s">
        <v>238</v>
      </c>
      <c r="O1174" s="2" t="s">
        <v>40</v>
      </c>
      <c r="P1174" s="2" t="s">
        <v>34</v>
      </c>
      <c r="Q1174" s="2">
        <f t="shared" si="18"/>
        <v>1</v>
      </c>
    </row>
    <row r="1175" spans="1:17" x14ac:dyDescent="0.25">
      <c r="A1175" s="2" t="s">
        <v>3304</v>
      </c>
      <c r="B1175" s="2" t="s">
        <v>3305</v>
      </c>
      <c r="C1175" s="2" t="s">
        <v>30</v>
      </c>
      <c r="D1175" s="2" t="s">
        <v>51</v>
      </c>
      <c r="E1175" s="2" t="s">
        <v>205</v>
      </c>
      <c r="F1175" s="2">
        <v>35.783999999999999</v>
      </c>
      <c r="G1175" s="2" t="s">
        <v>206</v>
      </c>
      <c r="H1175" s="2">
        <v>80</v>
      </c>
      <c r="I1175" s="2">
        <v>28.627200000000002</v>
      </c>
      <c r="J1175" s="2" t="s">
        <v>1291</v>
      </c>
      <c r="K1175" s="20">
        <v>45199</v>
      </c>
      <c r="L1175" s="20">
        <v>45201</v>
      </c>
      <c r="M1175" s="20">
        <v>45201</v>
      </c>
      <c r="N1175" s="2" t="s">
        <v>238</v>
      </c>
      <c r="O1175" s="2" t="s">
        <v>97</v>
      </c>
      <c r="P1175" s="2" t="s">
        <v>68</v>
      </c>
      <c r="Q1175" s="2">
        <f t="shared" si="18"/>
        <v>1</v>
      </c>
    </row>
    <row r="1176" spans="1:17" x14ac:dyDescent="0.25">
      <c r="A1176" s="2" t="s">
        <v>3307</v>
      </c>
      <c r="B1176" s="2" t="s">
        <v>3308</v>
      </c>
      <c r="C1176" s="2" t="s">
        <v>30</v>
      </c>
      <c r="D1176" s="2" t="s">
        <v>20</v>
      </c>
      <c r="E1176" s="2" t="s">
        <v>205</v>
      </c>
      <c r="F1176" s="2">
        <v>4.9379999999999997</v>
      </c>
      <c r="G1176" s="2" t="s">
        <v>206</v>
      </c>
      <c r="H1176" s="2">
        <v>80</v>
      </c>
      <c r="I1176" s="2">
        <v>3.9504000000000001</v>
      </c>
      <c r="J1176" s="2" t="s">
        <v>1291</v>
      </c>
      <c r="K1176" s="20">
        <v>45201</v>
      </c>
      <c r="L1176" s="20">
        <v>45205</v>
      </c>
      <c r="M1176" s="20">
        <v>45205</v>
      </c>
      <c r="N1176" s="2" t="s">
        <v>213</v>
      </c>
      <c r="O1176" s="2" t="s">
        <v>33</v>
      </c>
      <c r="P1176" s="2" t="s">
        <v>34</v>
      </c>
      <c r="Q1176" s="2">
        <f t="shared" si="18"/>
        <v>1</v>
      </c>
    </row>
    <row r="1177" spans="1:17" x14ac:dyDescent="0.25">
      <c r="A1177" s="2" t="s">
        <v>3309</v>
      </c>
      <c r="B1177" s="2" t="s">
        <v>3310</v>
      </c>
      <c r="C1177" s="2" t="s">
        <v>19</v>
      </c>
      <c r="D1177" s="2" t="s">
        <v>186</v>
      </c>
      <c r="E1177" s="2" t="s">
        <v>21</v>
      </c>
      <c r="F1177" s="2">
        <v>801.55000000000007</v>
      </c>
      <c r="G1177" s="2" t="s">
        <v>22</v>
      </c>
      <c r="H1177" s="2">
        <v>0</v>
      </c>
      <c r="I1177" s="2">
        <v>0</v>
      </c>
      <c r="J1177" s="2" t="s">
        <v>1291</v>
      </c>
      <c r="K1177" s="20">
        <v>45206</v>
      </c>
      <c r="L1177" s="20">
        <v>45207</v>
      </c>
      <c r="M1177" s="20">
        <v>45207</v>
      </c>
      <c r="N1177" s="2" t="s">
        <v>24</v>
      </c>
      <c r="O1177" s="2" t="s">
        <v>40</v>
      </c>
      <c r="P1177" s="2" t="s">
        <v>34</v>
      </c>
      <c r="Q1177" s="2">
        <f t="shared" si="18"/>
        <v>1</v>
      </c>
    </row>
    <row r="1178" spans="1:17" x14ac:dyDescent="0.25">
      <c r="A1178" s="2" t="s">
        <v>3312</v>
      </c>
      <c r="B1178" s="2" t="s">
        <v>3313</v>
      </c>
      <c r="C1178" s="2" t="s">
        <v>30</v>
      </c>
      <c r="D1178" s="2" t="s">
        <v>51</v>
      </c>
      <c r="E1178" s="2" t="s">
        <v>212</v>
      </c>
      <c r="F1178" s="2">
        <v>419.13600000000002</v>
      </c>
      <c r="G1178" s="2" t="s">
        <v>206</v>
      </c>
      <c r="H1178" s="2">
        <v>100</v>
      </c>
      <c r="I1178" s="2">
        <v>419.13600000000002</v>
      </c>
      <c r="J1178" s="2" t="s">
        <v>1291</v>
      </c>
      <c r="K1178" s="20">
        <v>45206</v>
      </c>
      <c r="L1178" s="20">
        <v>45206</v>
      </c>
      <c r="M1178" s="20">
        <v>45206</v>
      </c>
      <c r="N1178" s="2" t="s">
        <v>248</v>
      </c>
      <c r="O1178" s="2" t="s">
        <v>146</v>
      </c>
      <c r="P1178" s="2" t="s">
        <v>73</v>
      </c>
      <c r="Q1178" s="2">
        <f t="shared" si="18"/>
        <v>1</v>
      </c>
    </row>
    <row r="1179" spans="1:17" x14ac:dyDescent="0.25">
      <c r="A1179" s="2" t="s">
        <v>3315</v>
      </c>
      <c r="B1179" s="2" t="s">
        <v>3316</v>
      </c>
      <c r="C1179" s="2" t="s">
        <v>30</v>
      </c>
      <c r="D1179" s="2" t="s">
        <v>230</v>
      </c>
      <c r="E1179" s="2" t="s">
        <v>205</v>
      </c>
      <c r="F1179" s="2">
        <v>3.8820000000000001</v>
      </c>
      <c r="G1179" s="2" t="s">
        <v>206</v>
      </c>
      <c r="H1179" s="2">
        <v>80</v>
      </c>
      <c r="I1179" s="2">
        <v>3.1056000000000004</v>
      </c>
      <c r="J1179" s="2" t="s">
        <v>1291</v>
      </c>
      <c r="K1179" s="20">
        <v>45208</v>
      </c>
      <c r="L1179" s="20">
        <v>45213</v>
      </c>
      <c r="M1179" s="20">
        <v>45213</v>
      </c>
      <c r="N1179" s="2" t="s">
        <v>234</v>
      </c>
      <c r="O1179" s="2" t="s">
        <v>82</v>
      </c>
      <c r="P1179" s="2" t="s">
        <v>47</v>
      </c>
      <c r="Q1179" s="2">
        <f t="shared" si="18"/>
        <v>1</v>
      </c>
    </row>
    <row r="1180" spans="1:17" x14ac:dyDescent="0.25">
      <c r="A1180" s="2" t="s">
        <v>3317</v>
      </c>
      <c r="B1180" s="2" t="s">
        <v>3318</v>
      </c>
      <c r="C1180" s="2" t="s">
        <v>19</v>
      </c>
      <c r="D1180" s="2" t="s">
        <v>139</v>
      </c>
      <c r="E1180" s="2" t="s">
        <v>21</v>
      </c>
      <c r="F1180" s="2">
        <v>227.65800000000002</v>
      </c>
      <c r="G1180" s="2" t="s">
        <v>22</v>
      </c>
      <c r="H1180" s="2">
        <v>0</v>
      </c>
      <c r="I1180" s="2">
        <v>0</v>
      </c>
      <c r="J1180" s="2" t="s">
        <v>1291</v>
      </c>
      <c r="K1180" s="20">
        <v>45210</v>
      </c>
      <c r="L1180" s="20">
        <v>45212</v>
      </c>
      <c r="M1180" s="20">
        <v>45212</v>
      </c>
      <c r="N1180" s="2" t="s">
        <v>45</v>
      </c>
      <c r="O1180" s="2" t="s">
        <v>97</v>
      </c>
      <c r="P1180" s="2" t="s">
        <v>68</v>
      </c>
      <c r="Q1180" s="2">
        <f t="shared" si="18"/>
        <v>1</v>
      </c>
    </row>
    <row r="1181" spans="1:17" x14ac:dyDescent="0.25">
      <c r="A1181" s="2" t="s">
        <v>3320</v>
      </c>
      <c r="B1181" s="2" t="s">
        <v>3321</v>
      </c>
      <c r="C1181" s="2" t="s">
        <v>30</v>
      </c>
      <c r="D1181" s="2" t="s">
        <v>139</v>
      </c>
      <c r="E1181" s="2" t="s">
        <v>212</v>
      </c>
      <c r="F1181" s="2">
        <v>127.98399999999999</v>
      </c>
      <c r="G1181" s="2" t="s">
        <v>206</v>
      </c>
      <c r="H1181" s="2">
        <v>100</v>
      </c>
      <c r="I1181" s="2">
        <v>127.98399999999999</v>
      </c>
      <c r="J1181" s="2" t="s">
        <v>1291</v>
      </c>
      <c r="K1181" s="20">
        <v>45217</v>
      </c>
      <c r="L1181" s="20">
        <v>45221</v>
      </c>
      <c r="M1181" s="20">
        <v>45221</v>
      </c>
      <c r="N1181" s="2" t="s">
        <v>220</v>
      </c>
      <c r="O1181" s="2" t="s">
        <v>82</v>
      </c>
      <c r="P1181" s="2" t="s">
        <v>47</v>
      </c>
      <c r="Q1181" s="2">
        <f t="shared" si="18"/>
        <v>1</v>
      </c>
    </row>
    <row r="1182" spans="1:17" x14ac:dyDescent="0.25">
      <c r="A1182" s="2" t="s">
        <v>3322</v>
      </c>
      <c r="B1182" s="2" t="s">
        <v>3323</v>
      </c>
      <c r="C1182" s="2" t="s">
        <v>19</v>
      </c>
      <c r="D1182" s="2" t="s">
        <v>119</v>
      </c>
      <c r="E1182" s="2" t="s">
        <v>205</v>
      </c>
      <c r="F1182" s="2">
        <v>13.11</v>
      </c>
      <c r="G1182" s="2" t="s">
        <v>206</v>
      </c>
      <c r="H1182" s="2">
        <v>80</v>
      </c>
      <c r="I1182" s="2">
        <v>10.488</v>
      </c>
      <c r="J1182" s="2" t="s">
        <v>1291</v>
      </c>
      <c r="K1182" s="20">
        <v>45221</v>
      </c>
      <c r="L1182" s="20">
        <v>45226</v>
      </c>
      <c r="M1182" s="20">
        <v>45226</v>
      </c>
      <c r="N1182" s="2" t="s">
        <v>238</v>
      </c>
      <c r="O1182" s="2" t="s">
        <v>54</v>
      </c>
      <c r="P1182" s="2" t="s">
        <v>26</v>
      </c>
      <c r="Q1182" s="2">
        <f t="shared" si="18"/>
        <v>1</v>
      </c>
    </row>
    <row r="1183" spans="1:17" x14ac:dyDescent="0.25">
      <c r="A1183" s="2" t="s">
        <v>3325</v>
      </c>
      <c r="B1183" s="2" t="s">
        <v>3326</v>
      </c>
      <c r="C1183" s="2" t="s">
        <v>30</v>
      </c>
      <c r="D1183" s="2" t="s">
        <v>51</v>
      </c>
      <c r="E1183" s="2" t="s">
        <v>212</v>
      </c>
      <c r="F1183" s="2">
        <v>123.92</v>
      </c>
      <c r="G1183" s="2" t="s">
        <v>206</v>
      </c>
      <c r="H1183" s="2">
        <v>100</v>
      </c>
      <c r="I1183" s="2">
        <v>123.92</v>
      </c>
      <c r="J1183" s="2" t="s">
        <v>1291</v>
      </c>
      <c r="K1183" s="20">
        <v>45221</v>
      </c>
      <c r="L1183" s="20">
        <v>45225</v>
      </c>
      <c r="M1183" s="20">
        <v>45225</v>
      </c>
      <c r="N1183" s="2" t="s">
        <v>248</v>
      </c>
      <c r="O1183" s="2" t="s">
        <v>97</v>
      </c>
      <c r="P1183" s="2" t="s">
        <v>68</v>
      </c>
      <c r="Q1183" s="2">
        <f t="shared" si="18"/>
        <v>1</v>
      </c>
    </row>
    <row r="1184" spans="1:17" x14ac:dyDescent="0.25">
      <c r="A1184" s="2" t="s">
        <v>3327</v>
      </c>
      <c r="B1184" s="2" t="s">
        <v>3328</v>
      </c>
      <c r="C1184" s="2" t="s">
        <v>30</v>
      </c>
      <c r="D1184" s="2" t="s">
        <v>150</v>
      </c>
      <c r="E1184" s="2" t="s">
        <v>205</v>
      </c>
      <c r="F1184" s="2">
        <v>258.57600000000002</v>
      </c>
      <c r="G1184" s="2" t="s">
        <v>206</v>
      </c>
      <c r="H1184" s="2">
        <v>80</v>
      </c>
      <c r="I1184" s="2">
        <v>206.86080000000004</v>
      </c>
      <c r="J1184" s="2" t="s">
        <v>1291</v>
      </c>
      <c r="K1184" s="20">
        <v>45223</v>
      </c>
      <c r="L1184" s="20">
        <v>45228</v>
      </c>
      <c r="M1184" s="20">
        <v>45228</v>
      </c>
      <c r="N1184" s="2" t="s">
        <v>213</v>
      </c>
      <c r="O1184" s="2" t="s">
        <v>72</v>
      </c>
      <c r="P1184" s="2" t="s">
        <v>73</v>
      </c>
      <c r="Q1184" s="2">
        <f t="shared" si="18"/>
        <v>1</v>
      </c>
    </row>
    <row r="1185" spans="1:17" x14ac:dyDescent="0.25">
      <c r="A1185" s="2" t="s">
        <v>3329</v>
      </c>
      <c r="B1185" s="2" t="s">
        <v>3330</v>
      </c>
      <c r="C1185" s="2" t="s">
        <v>19</v>
      </c>
      <c r="D1185" s="2" t="s">
        <v>370</v>
      </c>
      <c r="E1185" s="2" t="s">
        <v>212</v>
      </c>
      <c r="F1185" s="2">
        <v>111.96</v>
      </c>
      <c r="G1185" s="2" t="s">
        <v>206</v>
      </c>
      <c r="H1185" s="2">
        <v>100</v>
      </c>
      <c r="I1185" s="2">
        <v>111.96</v>
      </c>
      <c r="J1185" s="2" t="s">
        <v>1291</v>
      </c>
      <c r="K1185" s="20">
        <v>45229</v>
      </c>
      <c r="L1185" s="20">
        <v>45231</v>
      </c>
      <c r="M1185" s="20">
        <v>45231</v>
      </c>
      <c r="N1185" s="2" t="s">
        <v>207</v>
      </c>
      <c r="O1185" s="2" t="s">
        <v>67</v>
      </c>
      <c r="P1185" s="2" t="s">
        <v>68</v>
      </c>
      <c r="Q1185" s="2">
        <f t="shared" si="18"/>
        <v>1</v>
      </c>
    </row>
    <row r="1186" spans="1:17" x14ac:dyDescent="0.25">
      <c r="A1186" s="2" t="s">
        <v>3332</v>
      </c>
      <c r="B1186" s="2" t="s">
        <v>3333</v>
      </c>
      <c r="C1186" s="2" t="s">
        <v>19</v>
      </c>
      <c r="D1186" s="2" t="s">
        <v>31</v>
      </c>
      <c r="E1186" s="2" t="s">
        <v>205</v>
      </c>
      <c r="F1186" s="2">
        <v>49.616</v>
      </c>
      <c r="G1186" s="2" t="s">
        <v>206</v>
      </c>
      <c r="H1186" s="2">
        <v>80</v>
      </c>
      <c r="I1186" s="2">
        <v>39.692800000000005</v>
      </c>
      <c r="J1186" s="2" t="s">
        <v>1291</v>
      </c>
      <c r="K1186" s="20">
        <v>45231</v>
      </c>
      <c r="L1186" s="20">
        <v>45236</v>
      </c>
      <c r="M1186" s="20">
        <v>45236</v>
      </c>
      <c r="N1186" s="2" t="s">
        <v>238</v>
      </c>
      <c r="O1186" s="2" t="s">
        <v>82</v>
      </c>
      <c r="P1186" s="2" t="s">
        <v>47</v>
      </c>
      <c r="Q1186" s="2">
        <f t="shared" si="18"/>
        <v>1</v>
      </c>
    </row>
    <row r="1187" spans="1:17" x14ac:dyDescent="0.25">
      <c r="A1187" s="2" t="s">
        <v>3335</v>
      </c>
      <c r="B1187" s="2" t="s">
        <v>3336</v>
      </c>
      <c r="C1187" s="2" t="s">
        <v>30</v>
      </c>
      <c r="D1187" s="2" t="s">
        <v>154</v>
      </c>
      <c r="E1187" s="2" t="s">
        <v>205</v>
      </c>
      <c r="F1187" s="2">
        <v>19.68</v>
      </c>
      <c r="G1187" s="2" t="s">
        <v>206</v>
      </c>
      <c r="H1187" s="2">
        <v>80</v>
      </c>
      <c r="I1187" s="2">
        <v>15.744</v>
      </c>
      <c r="J1187" s="2" t="s">
        <v>1291</v>
      </c>
      <c r="K1187" s="20">
        <v>45234</v>
      </c>
      <c r="L1187" s="20">
        <v>45240</v>
      </c>
      <c r="M1187" s="20">
        <v>45240</v>
      </c>
      <c r="N1187" s="2" t="s">
        <v>248</v>
      </c>
      <c r="O1187" s="2" t="s">
        <v>33</v>
      </c>
      <c r="P1187" s="2" t="s">
        <v>34</v>
      </c>
      <c r="Q1187" s="2">
        <f t="shared" si="18"/>
        <v>1</v>
      </c>
    </row>
    <row r="1188" spans="1:17" x14ac:dyDescent="0.25">
      <c r="A1188" s="2" t="s">
        <v>3338</v>
      </c>
      <c r="B1188" s="2" t="s">
        <v>3339</v>
      </c>
      <c r="C1188" s="2" t="s">
        <v>30</v>
      </c>
      <c r="D1188" s="2" t="s">
        <v>345</v>
      </c>
      <c r="E1188" s="2" t="s">
        <v>212</v>
      </c>
      <c r="F1188" s="2">
        <v>27.495999999999999</v>
      </c>
      <c r="G1188" s="2" t="s">
        <v>206</v>
      </c>
      <c r="H1188" s="2">
        <v>100</v>
      </c>
      <c r="I1188" s="2">
        <v>27.495999999999999</v>
      </c>
      <c r="J1188" s="2" t="s">
        <v>1291</v>
      </c>
      <c r="K1188" s="20">
        <v>45235</v>
      </c>
      <c r="L1188" s="20">
        <v>45239</v>
      </c>
      <c r="M1188" s="20">
        <v>45239</v>
      </c>
      <c r="N1188" s="2" t="s">
        <v>234</v>
      </c>
      <c r="O1188" s="2" t="s">
        <v>82</v>
      </c>
      <c r="P1188" s="2" t="s">
        <v>47</v>
      </c>
      <c r="Q1188" s="2">
        <f t="shared" si="18"/>
        <v>1</v>
      </c>
    </row>
    <row r="1189" spans="1:17" x14ac:dyDescent="0.25">
      <c r="A1189" s="2" t="s">
        <v>3340</v>
      </c>
      <c r="B1189" s="2" t="s">
        <v>3341</v>
      </c>
      <c r="C1189" s="2" t="s">
        <v>19</v>
      </c>
      <c r="D1189" s="2" t="s">
        <v>119</v>
      </c>
      <c r="E1189" s="2" t="s">
        <v>212</v>
      </c>
      <c r="F1189" s="2">
        <v>59.1</v>
      </c>
      <c r="G1189" s="2" t="s">
        <v>206</v>
      </c>
      <c r="H1189" s="2">
        <v>100</v>
      </c>
      <c r="I1189" s="2">
        <v>59.1</v>
      </c>
      <c r="J1189" s="2" t="s">
        <v>1291</v>
      </c>
      <c r="K1189" s="20">
        <v>45235</v>
      </c>
      <c r="L1189" s="20">
        <v>45235</v>
      </c>
      <c r="M1189" s="20">
        <v>45235</v>
      </c>
      <c r="N1189" s="2" t="s">
        <v>213</v>
      </c>
      <c r="O1189" s="2" t="s">
        <v>40</v>
      </c>
      <c r="P1189" s="2" t="s">
        <v>34</v>
      </c>
      <c r="Q1189" s="2">
        <f t="shared" si="18"/>
        <v>1</v>
      </c>
    </row>
    <row r="1190" spans="1:17" x14ac:dyDescent="0.25">
      <c r="A1190" s="2" t="s">
        <v>3343</v>
      </c>
      <c r="B1190" s="2" t="s">
        <v>3344</v>
      </c>
      <c r="C1190" s="2" t="s">
        <v>30</v>
      </c>
      <c r="D1190" s="2" t="s">
        <v>38</v>
      </c>
      <c r="E1190" s="2" t="s">
        <v>212</v>
      </c>
      <c r="F1190" s="2">
        <v>13.9</v>
      </c>
      <c r="G1190" s="2" t="s">
        <v>206</v>
      </c>
      <c r="H1190" s="2">
        <v>100</v>
      </c>
      <c r="I1190" s="2">
        <v>13.9</v>
      </c>
      <c r="J1190" s="2" t="s">
        <v>1291</v>
      </c>
      <c r="K1190" s="20">
        <v>45235</v>
      </c>
      <c r="L1190" s="20">
        <v>45240</v>
      </c>
      <c r="M1190" s="20">
        <v>45240</v>
      </c>
      <c r="N1190" s="2" t="s">
        <v>220</v>
      </c>
      <c r="O1190" s="2" t="s">
        <v>40</v>
      </c>
      <c r="P1190" s="2" t="s">
        <v>34</v>
      </c>
      <c r="Q1190" s="2">
        <f t="shared" si="18"/>
        <v>1</v>
      </c>
    </row>
    <row r="1191" spans="1:17" x14ac:dyDescent="0.25">
      <c r="A1191" s="2" t="s">
        <v>3346</v>
      </c>
      <c r="B1191" s="2" t="s">
        <v>3347</v>
      </c>
      <c r="C1191" s="2" t="s">
        <v>30</v>
      </c>
      <c r="D1191" s="2" t="s">
        <v>115</v>
      </c>
      <c r="E1191" s="2" t="s">
        <v>205</v>
      </c>
      <c r="F1191" s="2">
        <v>30.93</v>
      </c>
      <c r="G1191" s="2" t="s">
        <v>206</v>
      </c>
      <c r="H1191" s="2">
        <v>80</v>
      </c>
      <c r="I1191" s="2">
        <v>24.744</v>
      </c>
      <c r="J1191" s="2" t="s">
        <v>1291</v>
      </c>
      <c r="K1191" s="20">
        <v>45235</v>
      </c>
      <c r="L1191" s="20">
        <v>45239</v>
      </c>
      <c r="M1191" s="20">
        <v>45239</v>
      </c>
      <c r="N1191" s="2" t="s">
        <v>238</v>
      </c>
      <c r="O1191" s="2" t="s">
        <v>97</v>
      </c>
      <c r="P1191" s="2" t="s">
        <v>68</v>
      </c>
      <c r="Q1191" s="2">
        <f t="shared" si="18"/>
        <v>1</v>
      </c>
    </row>
    <row r="1192" spans="1:17" x14ac:dyDescent="0.25">
      <c r="A1192" s="2" t="s">
        <v>3349</v>
      </c>
      <c r="B1192" s="2" t="s">
        <v>3350</v>
      </c>
      <c r="C1192" s="2" t="s">
        <v>30</v>
      </c>
      <c r="D1192" s="2" t="s">
        <v>20</v>
      </c>
      <c r="E1192" s="2" t="s">
        <v>205</v>
      </c>
      <c r="F1192" s="2">
        <v>2.91</v>
      </c>
      <c r="G1192" s="2" t="s">
        <v>206</v>
      </c>
      <c r="H1192" s="2">
        <v>80</v>
      </c>
      <c r="I1192" s="2">
        <v>2.3280000000000003</v>
      </c>
      <c r="J1192" s="2" t="s">
        <v>1291</v>
      </c>
      <c r="K1192" s="20">
        <v>45236</v>
      </c>
      <c r="L1192" s="20">
        <v>45239</v>
      </c>
      <c r="M1192" s="20">
        <v>45239</v>
      </c>
      <c r="N1192" s="2" t="s">
        <v>213</v>
      </c>
      <c r="O1192" s="2" t="s">
        <v>54</v>
      </c>
      <c r="P1192" s="2" t="s">
        <v>26</v>
      </c>
      <c r="Q1192" s="2">
        <f t="shared" si="18"/>
        <v>1</v>
      </c>
    </row>
    <row r="1193" spans="1:17" x14ac:dyDescent="0.25">
      <c r="A1193" s="2" t="s">
        <v>3351</v>
      </c>
      <c r="B1193" s="2" t="s">
        <v>3352</v>
      </c>
      <c r="C1193" s="2" t="s">
        <v>30</v>
      </c>
      <c r="D1193" s="2" t="s">
        <v>154</v>
      </c>
      <c r="E1193" s="2" t="s">
        <v>205</v>
      </c>
      <c r="F1193" s="2">
        <v>265.93</v>
      </c>
      <c r="G1193" s="2" t="s">
        <v>206</v>
      </c>
      <c r="H1193" s="2">
        <v>80</v>
      </c>
      <c r="I1193" s="2">
        <v>212.74400000000003</v>
      </c>
      <c r="J1193" s="2" t="s">
        <v>1291</v>
      </c>
      <c r="K1193" s="20">
        <v>45236</v>
      </c>
      <c r="L1193" s="20">
        <v>45236</v>
      </c>
      <c r="M1193" s="20">
        <v>45236</v>
      </c>
      <c r="N1193" s="2" t="s">
        <v>248</v>
      </c>
      <c r="O1193" s="2" t="s">
        <v>82</v>
      </c>
      <c r="P1193" s="2" t="s">
        <v>47</v>
      </c>
      <c r="Q1193" s="2">
        <f t="shared" si="18"/>
        <v>1</v>
      </c>
    </row>
    <row r="1194" spans="1:17" x14ac:dyDescent="0.25">
      <c r="A1194" s="2" t="s">
        <v>3353</v>
      </c>
      <c r="B1194" s="2" t="s">
        <v>3354</v>
      </c>
      <c r="C1194" s="2" t="s">
        <v>19</v>
      </c>
      <c r="D1194" s="2" t="s">
        <v>31</v>
      </c>
      <c r="E1194" s="2" t="s">
        <v>212</v>
      </c>
      <c r="F1194" s="2">
        <v>64.384</v>
      </c>
      <c r="G1194" s="2" t="s">
        <v>206</v>
      </c>
      <c r="H1194" s="2">
        <v>100</v>
      </c>
      <c r="I1194" s="2">
        <v>64.384</v>
      </c>
      <c r="J1194" s="2" t="s">
        <v>1291</v>
      </c>
      <c r="K1194" s="20">
        <v>45238</v>
      </c>
      <c r="L1194" s="20">
        <v>45243</v>
      </c>
      <c r="M1194" s="20">
        <v>45243</v>
      </c>
      <c r="N1194" s="2" t="s">
        <v>213</v>
      </c>
      <c r="O1194" s="2" t="s">
        <v>72</v>
      </c>
      <c r="P1194" s="2" t="s">
        <v>73</v>
      </c>
      <c r="Q1194" s="2">
        <f t="shared" si="18"/>
        <v>1</v>
      </c>
    </row>
    <row r="1195" spans="1:17" x14ac:dyDescent="0.25">
      <c r="A1195" s="2" t="s">
        <v>3356</v>
      </c>
      <c r="B1195" s="2" t="s">
        <v>3357</v>
      </c>
      <c r="C1195" s="2" t="s">
        <v>19</v>
      </c>
      <c r="D1195" s="2" t="s">
        <v>38</v>
      </c>
      <c r="E1195" s="2" t="s">
        <v>1002</v>
      </c>
      <c r="F1195" s="2">
        <v>27.36</v>
      </c>
      <c r="G1195" s="2" t="s">
        <v>995</v>
      </c>
      <c r="H1195" s="2">
        <v>40</v>
      </c>
      <c r="I1195" s="2">
        <v>10.944000000000001</v>
      </c>
      <c r="J1195" s="2" t="s">
        <v>1291</v>
      </c>
      <c r="K1195" s="20">
        <v>45238</v>
      </c>
      <c r="L1195" s="20">
        <v>45240</v>
      </c>
      <c r="M1195" s="20"/>
      <c r="O1195" s="2" t="s">
        <v>33</v>
      </c>
      <c r="P1195" s="2" t="s">
        <v>34</v>
      </c>
      <c r="Q1195" s="2">
        <f t="shared" si="18"/>
        <v>1</v>
      </c>
    </row>
    <row r="1196" spans="1:17" x14ac:dyDescent="0.25">
      <c r="A1196" s="2" t="s">
        <v>3358</v>
      </c>
      <c r="B1196" s="2" t="s">
        <v>3359</v>
      </c>
      <c r="C1196" s="2" t="s">
        <v>19</v>
      </c>
      <c r="D1196" s="2" t="s">
        <v>126</v>
      </c>
      <c r="E1196" s="2" t="s">
        <v>21</v>
      </c>
      <c r="F1196" s="2">
        <v>563.93999999999994</v>
      </c>
      <c r="G1196" s="2" t="s">
        <v>22</v>
      </c>
      <c r="H1196" s="2">
        <v>0</v>
      </c>
      <c r="I1196" s="2">
        <v>0</v>
      </c>
      <c r="J1196" s="2" t="s">
        <v>1291</v>
      </c>
      <c r="K1196" s="20">
        <v>45241</v>
      </c>
      <c r="L1196" s="20">
        <v>45243</v>
      </c>
      <c r="M1196" s="20">
        <v>45243</v>
      </c>
      <c r="N1196" s="2" t="s">
        <v>63</v>
      </c>
      <c r="O1196" s="2" t="s">
        <v>40</v>
      </c>
      <c r="P1196" s="2" t="s">
        <v>34</v>
      </c>
      <c r="Q1196" s="2">
        <f t="shared" si="18"/>
        <v>1</v>
      </c>
    </row>
    <row r="1197" spans="1:17" x14ac:dyDescent="0.25">
      <c r="A1197" s="2" t="s">
        <v>3361</v>
      </c>
      <c r="B1197" s="2" t="s">
        <v>3362</v>
      </c>
      <c r="C1197" s="2" t="s">
        <v>30</v>
      </c>
      <c r="D1197" s="2" t="s">
        <v>96</v>
      </c>
      <c r="E1197" s="2" t="s">
        <v>1006</v>
      </c>
      <c r="F1197" s="2">
        <v>2348.8200000000002</v>
      </c>
      <c r="G1197" s="2" t="s">
        <v>995</v>
      </c>
      <c r="H1197" s="2">
        <v>0</v>
      </c>
      <c r="I1197" s="2">
        <v>0</v>
      </c>
      <c r="J1197" s="2" t="s">
        <v>1291</v>
      </c>
      <c r="K1197" s="20">
        <v>45241</v>
      </c>
      <c r="L1197" s="20">
        <v>45243</v>
      </c>
      <c r="M1197" s="20"/>
      <c r="O1197" s="2" t="s">
        <v>46</v>
      </c>
      <c r="P1197" s="2" t="s">
        <v>47</v>
      </c>
      <c r="Q1197" s="2">
        <f t="shared" si="18"/>
        <v>1</v>
      </c>
    </row>
    <row r="1198" spans="1:17" x14ac:dyDescent="0.25">
      <c r="A1198" s="2" t="s">
        <v>3363</v>
      </c>
      <c r="B1198" s="2" t="s">
        <v>3364</v>
      </c>
      <c r="C1198" s="2" t="s">
        <v>19</v>
      </c>
      <c r="D1198" s="2" t="s">
        <v>96</v>
      </c>
      <c r="E1198" s="2" t="s">
        <v>1002</v>
      </c>
      <c r="F1198" s="2">
        <v>111.79</v>
      </c>
      <c r="G1198" s="2" t="s">
        <v>995</v>
      </c>
      <c r="H1198" s="2">
        <v>40</v>
      </c>
      <c r="I1198" s="2">
        <v>44.716000000000008</v>
      </c>
      <c r="J1198" s="2" t="s">
        <v>1291</v>
      </c>
      <c r="K1198" s="20">
        <v>45241</v>
      </c>
      <c r="L1198" s="20">
        <v>45245</v>
      </c>
      <c r="M1198" s="20"/>
      <c r="O1198" s="2" t="s">
        <v>54</v>
      </c>
      <c r="P1198" s="2" t="s">
        <v>26</v>
      </c>
      <c r="Q1198" s="2">
        <f t="shared" si="18"/>
        <v>1</v>
      </c>
    </row>
    <row r="1199" spans="1:17" x14ac:dyDescent="0.25">
      <c r="A1199" s="2" t="s">
        <v>3365</v>
      </c>
      <c r="B1199" s="2" t="s">
        <v>3366</v>
      </c>
      <c r="C1199" s="2" t="s">
        <v>30</v>
      </c>
      <c r="D1199" s="2" t="s">
        <v>186</v>
      </c>
      <c r="E1199" s="2" t="s">
        <v>1002</v>
      </c>
      <c r="F1199" s="2">
        <v>171.96</v>
      </c>
      <c r="G1199" s="2" t="s">
        <v>995</v>
      </c>
      <c r="H1199" s="2">
        <v>40</v>
      </c>
      <c r="I1199" s="2">
        <v>68.784000000000006</v>
      </c>
      <c r="J1199" s="2" t="s">
        <v>1291</v>
      </c>
      <c r="K1199" s="20">
        <v>45243</v>
      </c>
      <c r="L1199" s="20">
        <v>45244</v>
      </c>
      <c r="M1199" s="20"/>
      <c r="O1199" s="2" t="s">
        <v>25</v>
      </c>
      <c r="P1199" s="2" t="s">
        <v>26</v>
      </c>
      <c r="Q1199" s="2">
        <f t="shared" si="18"/>
        <v>1</v>
      </c>
    </row>
    <row r="1200" spans="1:17" x14ac:dyDescent="0.25">
      <c r="A1200" s="2" t="s">
        <v>3367</v>
      </c>
      <c r="B1200" s="2" t="s">
        <v>3368</v>
      </c>
      <c r="C1200" s="2" t="s">
        <v>30</v>
      </c>
      <c r="D1200" s="2" t="s">
        <v>164</v>
      </c>
      <c r="E1200" s="2" t="s">
        <v>21</v>
      </c>
      <c r="F1200" s="2">
        <v>448.44599999999997</v>
      </c>
      <c r="G1200" s="2" t="s">
        <v>22</v>
      </c>
      <c r="H1200" s="2">
        <v>0</v>
      </c>
      <c r="I1200" s="2">
        <v>0</v>
      </c>
      <c r="J1200" s="2" t="s">
        <v>1291</v>
      </c>
      <c r="K1200" s="20">
        <v>45245</v>
      </c>
      <c r="L1200" s="20">
        <v>45248</v>
      </c>
      <c r="M1200" s="20">
        <v>45248</v>
      </c>
      <c r="N1200" s="2" t="s">
        <v>63</v>
      </c>
      <c r="O1200" s="2" t="s">
        <v>67</v>
      </c>
      <c r="P1200" s="2" t="s">
        <v>68</v>
      </c>
      <c r="Q1200" s="2">
        <f t="shared" si="18"/>
        <v>1</v>
      </c>
    </row>
    <row r="1201" spans="1:17" x14ac:dyDescent="0.25">
      <c r="A1201" s="2" t="s">
        <v>3370</v>
      </c>
      <c r="B1201" s="2" t="s">
        <v>3371</v>
      </c>
      <c r="C1201" s="2" t="s">
        <v>19</v>
      </c>
      <c r="D1201" s="2" t="s">
        <v>345</v>
      </c>
      <c r="E1201" s="2" t="s">
        <v>994</v>
      </c>
      <c r="F1201" s="2">
        <v>268.24</v>
      </c>
      <c r="G1201" s="2" t="s">
        <v>995</v>
      </c>
      <c r="H1201" s="2">
        <v>40</v>
      </c>
      <c r="I1201" s="2">
        <v>107.29600000000001</v>
      </c>
      <c r="J1201" s="2" t="s">
        <v>1291</v>
      </c>
      <c r="K1201" s="20">
        <v>45248</v>
      </c>
      <c r="L1201" s="20">
        <v>45249</v>
      </c>
      <c r="M1201" s="20"/>
      <c r="O1201" s="2" t="s">
        <v>67</v>
      </c>
      <c r="P1201" s="2" t="s">
        <v>68</v>
      </c>
      <c r="Q1201" s="2">
        <f t="shared" si="18"/>
        <v>1</v>
      </c>
    </row>
    <row r="1202" spans="1:17" x14ac:dyDescent="0.25">
      <c r="A1202" s="2" t="s">
        <v>3373</v>
      </c>
      <c r="B1202" s="2" t="s">
        <v>3374</v>
      </c>
      <c r="C1202" s="2" t="s">
        <v>19</v>
      </c>
      <c r="D1202" s="2" t="s">
        <v>96</v>
      </c>
      <c r="E1202" s="2" t="s">
        <v>994</v>
      </c>
      <c r="F1202" s="2">
        <v>26.4</v>
      </c>
      <c r="G1202" s="2" t="s">
        <v>995</v>
      </c>
      <c r="H1202" s="2">
        <v>15</v>
      </c>
      <c r="I1202" s="2">
        <v>3.9599999999999995</v>
      </c>
      <c r="J1202" s="2" t="s">
        <v>1291</v>
      </c>
      <c r="K1202" s="20">
        <v>45249</v>
      </c>
      <c r="L1202" s="20">
        <v>45255</v>
      </c>
      <c r="M1202" s="20"/>
      <c r="O1202" s="2" t="s">
        <v>33</v>
      </c>
      <c r="P1202" s="2" t="s">
        <v>34</v>
      </c>
      <c r="Q1202" s="2">
        <f t="shared" si="18"/>
        <v>1</v>
      </c>
    </row>
    <row r="1203" spans="1:17" x14ac:dyDescent="0.25">
      <c r="A1203" s="2" t="s">
        <v>3376</v>
      </c>
      <c r="B1203" s="2" t="s">
        <v>3377</v>
      </c>
      <c r="C1203" s="2" t="s">
        <v>19</v>
      </c>
      <c r="D1203" s="2" t="s">
        <v>115</v>
      </c>
      <c r="E1203" s="2" t="s">
        <v>994</v>
      </c>
      <c r="F1203" s="2">
        <v>2.2959999999999998</v>
      </c>
      <c r="G1203" s="2" t="s">
        <v>995</v>
      </c>
      <c r="H1203" s="2">
        <v>40</v>
      </c>
      <c r="I1203" s="2">
        <v>0.91839999999999999</v>
      </c>
      <c r="J1203" s="2" t="s">
        <v>1291</v>
      </c>
      <c r="K1203" s="20">
        <v>45249</v>
      </c>
      <c r="L1203" s="20">
        <v>45249</v>
      </c>
      <c r="M1203" s="20"/>
      <c r="O1203" s="2" t="s">
        <v>146</v>
      </c>
      <c r="P1203" s="2" t="s">
        <v>73</v>
      </c>
      <c r="Q1203" s="2">
        <f t="shared" si="18"/>
        <v>1</v>
      </c>
    </row>
    <row r="1204" spans="1:17" x14ac:dyDescent="0.25">
      <c r="A1204" s="2" t="s">
        <v>3378</v>
      </c>
      <c r="B1204" s="2" t="s">
        <v>3379</v>
      </c>
      <c r="C1204" s="2" t="s">
        <v>30</v>
      </c>
      <c r="D1204" s="2" t="s">
        <v>115</v>
      </c>
      <c r="E1204" s="2" t="s">
        <v>1002</v>
      </c>
      <c r="F1204" s="2">
        <v>31.36</v>
      </c>
      <c r="G1204" s="2" t="s">
        <v>995</v>
      </c>
      <c r="H1204" s="2">
        <v>40</v>
      </c>
      <c r="I1204" s="2">
        <v>12.544</v>
      </c>
      <c r="J1204" s="2" t="s">
        <v>1291</v>
      </c>
      <c r="K1204" s="20">
        <v>45249</v>
      </c>
      <c r="L1204" s="20">
        <v>45252</v>
      </c>
      <c r="M1204" s="20"/>
      <c r="O1204" s="2" t="s">
        <v>25</v>
      </c>
      <c r="P1204" s="2" t="s">
        <v>26</v>
      </c>
      <c r="Q1204" s="2">
        <f t="shared" si="18"/>
        <v>1</v>
      </c>
    </row>
    <row r="1205" spans="1:17" x14ac:dyDescent="0.25">
      <c r="A1205" s="2" t="s">
        <v>3380</v>
      </c>
      <c r="B1205" s="2" t="s">
        <v>3381</v>
      </c>
      <c r="C1205" s="2" t="s">
        <v>30</v>
      </c>
      <c r="D1205" s="2" t="s">
        <v>211</v>
      </c>
      <c r="E1205" s="2" t="s">
        <v>1002</v>
      </c>
      <c r="F1205" s="2">
        <v>1006.056</v>
      </c>
      <c r="G1205" s="2" t="s">
        <v>995</v>
      </c>
      <c r="H1205" s="2">
        <v>40</v>
      </c>
      <c r="I1205" s="2">
        <v>402.42240000000004</v>
      </c>
      <c r="J1205" s="2" t="s">
        <v>1291</v>
      </c>
      <c r="K1205" s="20">
        <v>45250</v>
      </c>
      <c r="L1205" s="20">
        <v>45254</v>
      </c>
      <c r="M1205" s="20"/>
      <c r="O1205" s="2" t="s">
        <v>72</v>
      </c>
      <c r="P1205" s="2" t="s">
        <v>73</v>
      </c>
      <c r="Q1205" s="2">
        <f t="shared" si="18"/>
        <v>1</v>
      </c>
    </row>
    <row r="1206" spans="1:17" x14ac:dyDescent="0.25">
      <c r="A1206" s="2" t="s">
        <v>3383</v>
      </c>
      <c r="B1206" s="2" t="s">
        <v>3384</v>
      </c>
      <c r="C1206" s="2" t="s">
        <v>19</v>
      </c>
      <c r="D1206" s="2" t="s">
        <v>38</v>
      </c>
      <c r="E1206" s="2" t="s">
        <v>21</v>
      </c>
      <c r="F1206" s="2">
        <v>32.750999999999998</v>
      </c>
      <c r="G1206" s="2" t="s">
        <v>22</v>
      </c>
      <c r="H1206" s="2">
        <v>0</v>
      </c>
      <c r="I1206" s="2">
        <v>0</v>
      </c>
      <c r="J1206" s="2" t="s">
        <v>1291</v>
      </c>
      <c r="K1206" s="20">
        <v>45251</v>
      </c>
      <c r="L1206" s="20">
        <v>45253</v>
      </c>
      <c r="M1206" s="20">
        <v>45253</v>
      </c>
      <c r="N1206" s="2" t="s">
        <v>45</v>
      </c>
      <c r="O1206" s="2" t="s">
        <v>97</v>
      </c>
      <c r="P1206" s="2" t="s">
        <v>68</v>
      </c>
      <c r="Q1206" s="2">
        <f t="shared" si="18"/>
        <v>1</v>
      </c>
    </row>
    <row r="1207" spans="1:17" x14ac:dyDescent="0.25">
      <c r="A1207" s="2" t="s">
        <v>3386</v>
      </c>
      <c r="B1207" s="2" t="s">
        <v>3387</v>
      </c>
      <c r="C1207" s="2" t="s">
        <v>30</v>
      </c>
      <c r="D1207" s="2" t="s">
        <v>150</v>
      </c>
      <c r="E1207" s="2" t="s">
        <v>1002</v>
      </c>
      <c r="F1207" s="2">
        <v>14.76</v>
      </c>
      <c r="G1207" s="2" t="s">
        <v>995</v>
      </c>
      <c r="H1207" s="2">
        <v>40</v>
      </c>
      <c r="I1207" s="2">
        <v>5.9039999999999999</v>
      </c>
      <c r="J1207" s="2" t="s">
        <v>1291</v>
      </c>
      <c r="K1207" s="20">
        <v>45251</v>
      </c>
      <c r="L1207" s="20">
        <v>45258</v>
      </c>
      <c r="M1207" s="20"/>
      <c r="O1207" s="2" t="s">
        <v>33</v>
      </c>
      <c r="P1207" s="2" t="s">
        <v>34</v>
      </c>
      <c r="Q1207" s="2">
        <f t="shared" si="18"/>
        <v>1</v>
      </c>
    </row>
    <row r="1208" spans="1:17" x14ac:dyDescent="0.25">
      <c r="A1208" s="2" t="s">
        <v>3388</v>
      </c>
      <c r="B1208" s="2" t="s">
        <v>3389</v>
      </c>
      <c r="C1208" s="2" t="s">
        <v>19</v>
      </c>
      <c r="D1208" s="2" t="s">
        <v>86</v>
      </c>
      <c r="E1208" s="2" t="s">
        <v>994</v>
      </c>
      <c r="F1208" s="2">
        <v>13.128</v>
      </c>
      <c r="G1208" s="2" t="s">
        <v>995</v>
      </c>
      <c r="H1208" s="2">
        <v>40</v>
      </c>
      <c r="I1208" s="2">
        <v>5.2512000000000008</v>
      </c>
      <c r="J1208" s="2" t="s">
        <v>1291</v>
      </c>
      <c r="K1208" s="20">
        <v>45253</v>
      </c>
      <c r="L1208" s="20">
        <v>45258</v>
      </c>
      <c r="M1208" s="20"/>
      <c r="O1208" s="2" t="s">
        <v>25</v>
      </c>
      <c r="P1208" s="2" t="s">
        <v>26</v>
      </c>
      <c r="Q1208" s="2">
        <f t="shared" si="18"/>
        <v>1</v>
      </c>
    </row>
    <row r="1209" spans="1:17" x14ac:dyDescent="0.25">
      <c r="A1209" s="2" t="s">
        <v>3390</v>
      </c>
      <c r="B1209" s="2" t="s">
        <v>3391</v>
      </c>
      <c r="C1209" s="2" t="s">
        <v>19</v>
      </c>
      <c r="D1209" s="2" t="s">
        <v>77</v>
      </c>
      <c r="E1209" s="2" t="s">
        <v>994</v>
      </c>
      <c r="F1209" s="2">
        <v>72.959999999999994</v>
      </c>
      <c r="G1209" s="2" t="s">
        <v>995</v>
      </c>
      <c r="H1209" s="2">
        <v>15</v>
      </c>
      <c r="I1209" s="2">
        <v>10.943999999999999</v>
      </c>
      <c r="J1209" s="2" t="s">
        <v>1291</v>
      </c>
      <c r="K1209" s="20">
        <v>45255</v>
      </c>
      <c r="L1209" s="20">
        <v>45258</v>
      </c>
      <c r="M1209" s="20"/>
      <c r="O1209" s="2" t="s">
        <v>97</v>
      </c>
      <c r="P1209" s="2" t="s">
        <v>68</v>
      </c>
      <c r="Q1209" s="2">
        <f t="shared" si="18"/>
        <v>1</v>
      </c>
    </row>
    <row r="1210" spans="1:17" x14ac:dyDescent="0.25">
      <c r="A1210" s="2" t="s">
        <v>3392</v>
      </c>
      <c r="B1210" s="2" t="s">
        <v>3393</v>
      </c>
      <c r="C1210" s="2" t="s">
        <v>30</v>
      </c>
      <c r="D1210" s="2" t="s">
        <v>119</v>
      </c>
      <c r="E1210" s="2" t="s">
        <v>1002</v>
      </c>
      <c r="F1210" s="2">
        <v>59.52</v>
      </c>
      <c r="G1210" s="2" t="s">
        <v>995</v>
      </c>
      <c r="H1210" s="2">
        <v>40</v>
      </c>
      <c r="I1210" s="2">
        <v>23.808000000000003</v>
      </c>
      <c r="J1210" s="2" t="s">
        <v>1291</v>
      </c>
      <c r="K1210" s="20">
        <v>45255</v>
      </c>
      <c r="L1210" s="20">
        <v>45259</v>
      </c>
      <c r="M1210" s="20"/>
      <c r="O1210" s="2" t="s">
        <v>67</v>
      </c>
      <c r="P1210" s="2" t="s">
        <v>68</v>
      </c>
      <c r="Q1210" s="2">
        <f t="shared" si="18"/>
        <v>1</v>
      </c>
    </row>
    <row r="1211" spans="1:17" x14ac:dyDescent="0.25">
      <c r="A1211" s="2" t="s">
        <v>3394</v>
      </c>
      <c r="B1211" s="2" t="s">
        <v>3395</v>
      </c>
      <c r="C1211" s="2" t="s">
        <v>30</v>
      </c>
      <c r="D1211" s="2" t="s">
        <v>164</v>
      </c>
      <c r="E1211" s="2" t="s">
        <v>1002</v>
      </c>
      <c r="F1211" s="2">
        <v>5.9039999999999999</v>
      </c>
      <c r="G1211" s="2" t="s">
        <v>995</v>
      </c>
      <c r="H1211" s="2">
        <v>40</v>
      </c>
      <c r="I1211" s="2">
        <v>2.3616000000000001</v>
      </c>
      <c r="J1211" s="2" t="s">
        <v>1291</v>
      </c>
      <c r="K1211" s="20">
        <v>45256</v>
      </c>
      <c r="L1211" s="20">
        <v>45259</v>
      </c>
      <c r="M1211" s="20"/>
      <c r="O1211" s="2" t="s">
        <v>54</v>
      </c>
      <c r="P1211" s="2" t="s">
        <v>26</v>
      </c>
      <c r="Q1211" s="2">
        <f t="shared" si="18"/>
        <v>1</v>
      </c>
    </row>
    <row r="1212" spans="1:17" x14ac:dyDescent="0.25">
      <c r="A1212" s="2" t="s">
        <v>3397</v>
      </c>
      <c r="B1212" s="2" t="s">
        <v>3398</v>
      </c>
      <c r="C1212" s="2" t="s">
        <v>19</v>
      </c>
      <c r="D1212" s="2" t="s">
        <v>51</v>
      </c>
      <c r="E1212" s="2" t="s">
        <v>1006</v>
      </c>
      <c r="F1212" s="2">
        <v>133.12</v>
      </c>
      <c r="G1212" s="2" t="s">
        <v>995</v>
      </c>
      <c r="H1212" s="2">
        <v>0</v>
      </c>
      <c r="I1212" s="2">
        <v>0</v>
      </c>
      <c r="J1212" s="2" t="s">
        <v>1291</v>
      </c>
      <c r="K1212" s="20">
        <v>45257</v>
      </c>
      <c r="L1212" s="20">
        <v>45259</v>
      </c>
      <c r="M1212" s="20"/>
      <c r="O1212" s="2" t="s">
        <v>46</v>
      </c>
      <c r="P1212" s="2" t="s">
        <v>47</v>
      </c>
      <c r="Q1212" s="2">
        <f t="shared" si="18"/>
        <v>1</v>
      </c>
    </row>
    <row r="1213" spans="1:17" x14ac:dyDescent="0.25">
      <c r="A1213" s="2" t="s">
        <v>3399</v>
      </c>
      <c r="B1213" s="2" t="s">
        <v>3400</v>
      </c>
      <c r="C1213" s="2" t="s">
        <v>19</v>
      </c>
      <c r="D1213" s="2" t="s">
        <v>211</v>
      </c>
      <c r="E1213" s="2" t="s">
        <v>21</v>
      </c>
      <c r="F1213" s="2">
        <v>73.33</v>
      </c>
      <c r="G1213" s="2" t="s">
        <v>22</v>
      </c>
      <c r="H1213" s="2">
        <v>0</v>
      </c>
      <c r="I1213" s="2">
        <v>0</v>
      </c>
      <c r="J1213" s="2" t="s">
        <v>1291</v>
      </c>
      <c r="K1213" s="20">
        <v>45257</v>
      </c>
      <c r="L1213" s="20">
        <v>45259</v>
      </c>
      <c r="M1213" s="20">
        <v>45259</v>
      </c>
      <c r="N1213" s="2" t="s">
        <v>24</v>
      </c>
      <c r="O1213" s="2" t="s">
        <v>97</v>
      </c>
      <c r="P1213" s="2" t="s">
        <v>68</v>
      </c>
      <c r="Q1213" s="2">
        <f t="shared" si="18"/>
        <v>1</v>
      </c>
    </row>
    <row r="1214" spans="1:17" x14ac:dyDescent="0.25">
      <c r="A1214" s="2" t="s">
        <v>3401</v>
      </c>
      <c r="B1214" s="2" t="s">
        <v>3402</v>
      </c>
      <c r="C1214" s="2" t="s">
        <v>30</v>
      </c>
      <c r="D1214" s="2" t="s">
        <v>58</v>
      </c>
      <c r="E1214" s="2" t="s">
        <v>1006</v>
      </c>
      <c r="F1214" s="2">
        <v>15.552</v>
      </c>
      <c r="G1214" s="2" t="s">
        <v>995</v>
      </c>
      <c r="H1214" s="2">
        <v>0</v>
      </c>
      <c r="I1214" s="2">
        <v>0</v>
      </c>
      <c r="J1214" s="2" t="s">
        <v>1291</v>
      </c>
      <c r="K1214" s="20">
        <v>45258</v>
      </c>
      <c r="L1214" s="20">
        <v>45263</v>
      </c>
      <c r="M1214" s="20"/>
      <c r="O1214" s="2" t="s">
        <v>46</v>
      </c>
      <c r="P1214" s="2" t="s">
        <v>47</v>
      </c>
      <c r="Q1214" s="2">
        <f t="shared" si="18"/>
        <v>1</v>
      </c>
    </row>
    <row r="1215" spans="1:17" x14ac:dyDescent="0.25">
      <c r="A1215" s="2" t="s">
        <v>3404</v>
      </c>
      <c r="B1215" s="2" t="s">
        <v>3405</v>
      </c>
      <c r="C1215" s="2" t="s">
        <v>19</v>
      </c>
      <c r="D1215" s="2" t="s">
        <v>58</v>
      </c>
      <c r="E1215" s="2" t="s">
        <v>1002</v>
      </c>
      <c r="F1215" s="2">
        <v>6.24</v>
      </c>
      <c r="G1215" s="2" t="s">
        <v>995</v>
      </c>
      <c r="H1215" s="2">
        <v>40</v>
      </c>
      <c r="I1215" s="2">
        <v>2.4960000000000004</v>
      </c>
      <c r="J1215" s="2" t="s">
        <v>1291</v>
      </c>
      <c r="K1215" s="20">
        <v>45258</v>
      </c>
      <c r="L1215" s="20">
        <v>45261</v>
      </c>
      <c r="M1215" s="20"/>
      <c r="O1215" s="2" t="s">
        <v>82</v>
      </c>
      <c r="P1215" s="2" t="s">
        <v>47</v>
      </c>
      <c r="Q1215" s="2">
        <f t="shared" si="18"/>
        <v>1</v>
      </c>
    </row>
    <row r="1216" spans="1:17" x14ac:dyDescent="0.25">
      <c r="A1216" s="2" t="s">
        <v>3406</v>
      </c>
      <c r="B1216" s="2" t="s">
        <v>3407</v>
      </c>
      <c r="C1216" s="2" t="s">
        <v>30</v>
      </c>
      <c r="D1216" s="2" t="s">
        <v>86</v>
      </c>
      <c r="E1216" s="2" t="s">
        <v>1006</v>
      </c>
      <c r="F1216" s="2">
        <v>18.288</v>
      </c>
      <c r="G1216" s="2" t="s">
        <v>995</v>
      </c>
      <c r="H1216" s="2">
        <v>0</v>
      </c>
      <c r="I1216" s="2">
        <v>0</v>
      </c>
      <c r="J1216" s="2" t="s">
        <v>1291</v>
      </c>
      <c r="K1216" s="20">
        <v>45261</v>
      </c>
      <c r="L1216" s="20">
        <v>45261</v>
      </c>
      <c r="M1216" s="20"/>
      <c r="O1216" s="2" t="s">
        <v>67</v>
      </c>
      <c r="P1216" s="2" t="s">
        <v>68</v>
      </c>
      <c r="Q1216" s="2">
        <f t="shared" si="18"/>
        <v>1</v>
      </c>
    </row>
    <row r="1217" spans="1:17" x14ac:dyDescent="0.25">
      <c r="A1217" s="2" t="s">
        <v>3409</v>
      </c>
      <c r="B1217" s="2" t="s">
        <v>3410</v>
      </c>
      <c r="C1217" s="2" t="s">
        <v>30</v>
      </c>
      <c r="D1217" s="2" t="s">
        <v>115</v>
      </c>
      <c r="E1217" s="2" t="s">
        <v>994</v>
      </c>
      <c r="F1217" s="2">
        <v>5.1840000000000002</v>
      </c>
      <c r="G1217" s="2" t="s">
        <v>995</v>
      </c>
      <c r="H1217" s="2">
        <v>15</v>
      </c>
      <c r="I1217" s="2">
        <v>0.77759999999999996</v>
      </c>
      <c r="J1217" s="2" t="s">
        <v>1291</v>
      </c>
      <c r="K1217" s="20">
        <v>45263</v>
      </c>
      <c r="L1217" s="20">
        <v>45267</v>
      </c>
      <c r="M1217" s="20"/>
      <c r="O1217" s="2" t="s">
        <v>67</v>
      </c>
      <c r="P1217" s="2" t="s">
        <v>68</v>
      </c>
      <c r="Q1217" s="2">
        <f t="shared" si="18"/>
        <v>1</v>
      </c>
    </row>
    <row r="1218" spans="1:17" x14ac:dyDescent="0.25">
      <c r="A1218" s="2" t="s">
        <v>3412</v>
      </c>
      <c r="B1218" s="2" t="s">
        <v>3413</v>
      </c>
      <c r="C1218" s="2" t="s">
        <v>30</v>
      </c>
      <c r="D1218" s="2" t="s">
        <v>77</v>
      </c>
      <c r="E1218" s="2" t="s">
        <v>994</v>
      </c>
      <c r="F1218" s="2">
        <v>12.4199999999999</v>
      </c>
      <c r="G1218" s="2" t="s">
        <v>995</v>
      </c>
      <c r="H1218" s="2">
        <v>15</v>
      </c>
      <c r="I1218" s="2">
        <v>1.8629999999999849</v>
      </c>
      <c r="J1218" s="2" t="s">
        <v>1291</v>
      </c>
      <c r="K1218" s="20">
        <v>45265</v>
      </c>
      <c r="L1218" s="20">
        <v>45269</v>
      </c>
      <c r="M1218" s="20"/>
      <c r="O1218" s="2" t="s">
        <v>33</v>
      </c>
      <c r="P1218" s="2" t="s">
        <v>34</v>
      </c>
      <c r="Q1218" s="2">
        <f t="shared" ref="Q1218:Q1281" si="19">COUNTIF($A$2:$A$1778,A1218)</f>
        <v>1</v>
      </c>
    </row>
    <row r="1219" spans="1:17" x14ac:dyDescent="0.25">
      <c r="A1219" s="2" t="s">
        <v>3415</v>
      </c>
      <c r="B1219" s="2" t="s">
        <v>3416</v>
      </c>
      <c r="C1219" s="2" t="s">
        <v>30</v>
      </c>
      <c r="D1219" s="2" t="s">
        <v>62</v>
      </c>
      <c r="E1219" s="2" t="s">
        <v>1006</v>
      </c>
      <c r="F1219" s="2">
        <v>26.55</v>
      </c>
      <c r="G1219" s="2" t="s">
        <v>995</v>
      </c>
      <c r="H1219" s="2">
        <v>0</v>
      </c>
      <c r="I1219" s="2">
        <v>0</v>
      </c>
      <c r="J1219" s="2" t="s">
        <v>1291</v>
      </c>
      <c r="K1219" s="20">
        <v>45266</v>
      </c>
      <c r="L1219" s="20">
        <v>45268</v>
      </c>
      <c r="M1219" s="20"/>
      <c r="O1219" s="2" t="s">
        <v>67</v>
      </c>
      <c r="P1219" s="2" t="s">
        <v>68</v>
      </c>
      <c r="Q1219" s="2">
        <f t="shared" si="19"/>
        <v>1</v>
      </c>
    </row>
    <row r="1220" spans="1:17" x14ac:dyDescent="0.25">
      <c r="A1220" s="2" t="s">
        <v>3417</v>
      </c>
      <c r="B1220" s="2" t="s">
        <v>3418</v>
      </c>
      <c r="C1220" s="2" t="s">
        <v>19</v>
      </c>
      <c r="D1220" s="2" t="s">
        <v>115</v>
      </c>
      <c r="E1220" s="2" t="s">
        <v>1002</v>
      </c>
      <c r="F1220" s="2">
        <v>54.816000000000003</v>
      </c>
      <c r="G1220" s="2" t="s">
        <v>995</v>
      </c>
      <c r="H1220" s="2">
        <v>40</v>
      </c>
      <c r="I1220" s="2">
        <v>21.926400000000001</v>
      </c>
      <c r="J1220" s="2" t="s">
        <v>1291</v>
      </c>
      <c r="K1220" s="20">
        <v>45266</v>
      </c>
      <c r="L1220" s="20">
        <v>45268</v>
      </c>
      <c r="M1220" s="20"/>
      <c r="O1220" s="2" t="s">
        <v>46</v>
      </c>
      <c r="P1220" s="2" t="s">
        <v>47</v>
      </c>
      <c r="Q1220" s="2">
        <f t="shared" si="19"/>
        <v>1</v>
      </c>
    </row>
    <row r="1221" spans="1:17" x14ac:dyDescent="0.25">
      <c r="A1221" s="2" t="s">
        <v>3419</v>
      </c>
      <c r="B1221" s="2" t="s">
        <v>3420</v>
      </c>
      <c r="C1221" s="2" t="s">
        <v>19</v>
      </c>
      <c r="D1221" s="2" t="s">
        <v>154</v>
      </c>
      <c r="E1221" s="2" t="s">
        <v>1006</v>
      </c>
      <c r="F1221" s="2">
        <v>11.52</v>
      </c>
      <c r="G1221" s="2" t="s">
        <v>995</v>
      </c>
      <c r="H1221" s="2">
        <v>0</v>
      </c>
      <c r="I1221" s="2">
        <v>0</v>
      </c>
      <c r="J1221" s="2" t="s">
        <v>1291</v>
      </c>
      <c r="K1221" s="20">
        <v>45269</v>
      </c>
      <c r="L1221" s="20">
        <v>45273</v>
      </c>
      <c r="M1221" s="20"/>
      <c r="O1221" s="2" t="s">
        <v>146</v>
      </c>
      <c r="P1221" s="2" t="s">
        <v>73</v>
      </c>
      <c r="Q1221" s="2">
        <f t="shared" si="19"/>
        <v>1</v>
      </c>
    </row>
    <row r="1222" spans="1:17" x14ac:dyDescent="0.25">
      <c r="A1222" s="2" t="s">
        <v>3422</v>
      </c>
      <c r="B1222" s="2" t="s">
        <v>3423</v>
      </c>
      <c r="C1222" s="2" t="s">
        <v>19</v>
      </c>
      <c r="D1222" s="2" t="s">
        <v>324</v>
      </c>
      <c r="E1222" s="2" t="s">
        <v>1002</v>
      </c>
      <c r="F1222" s="2">
        <v>34.479999999999997</v>
      </c>
      <c r="G1222" s="2" t="s">
        <v>995</v>
      </c>
      <c r="H1222" s="2">
        <v>40</v>
      </c>
      <c r="I1222" s="2">
        <v>13.792</v>
      </c>
      <c r="J1222" s="2" t="s">
        <v>1291</v>
      </c>
      <c r="K1222" s="20">
        <v>45270</v>
      </c>
      <c r="L1222" s="20">
        <v>45273</v>
      </c>
      <c r="M1222" s="20"/>
      <c r="O1222" s="2" t="s">
        <v>72</v>
      </c>
      <c r="P1222" s="2" t="s">
        <v>73</v>
      </c>
      <c r="Q1222" s="2">
        <f t="shared" si="19"/>
        <v>1</v>
      </c>
    </row>
    <row r="1223" spans="1:17" x14ac:dyDescent="0.25">
      <c r="A1223" s="2" t="s">
        <v>3424</v>
      </c>
      <c r="B1223" s="2" t="s">
        <v>3425</v>
      </c>
      <c r="C1223" s="2" t="s">
        <v>30</v>
      </c>
      <c r="D1223" s="2" t="s">
        <v>44</v>
      </c>
      <c r="E1223" s="2" t="s">
        <v>21</v>
      </c>
      <c r="F1223" s="2">
        <v>442.5</v>
      </c>
      <c r="G1223" s="2" t="s">
        <v>22</v>
      </c>
      <c r="H1223" s="2">
        <v>0</v>
      </c>
      <c r="I1223" s="2">
        <v>0</v>
      </c>
      <c r="J1223" s="2" t="s">
        <v>1291</v>
      </c>
      <c r="K1223" s="20">
        <v>45271</v>
      </c>
      <c r="L1223" s="20">
        <v>45274</v>
      </c>
      <c r="M1223" s="20">
        <v>45274</v>
      </c>
      <c r="N1223" s="2" t="s">
        <v>24</v>
      </c>
      <c r="O1223" s="2" t="s">
        <v>146</v>
      </c>
      <c r="P1223" s="2" t="s">
        <v>73</v>
      </c>
      <c r="Q1223" s="2">
        <f t="shared" si="19"/>
        <v>1</v>
      </c>
    </row>
    <row r="1224" spans="1:17" x14ac:dyDescent="0.25">
      <c r="A1224" s="2" t="s">
        <v>3426</v>
      </c>
      <c r="B1224" s="2" t="s">
        <v>3427</v>
      </c>
      <c r="C1224" s="2" t="s">
        <v>19</v>
      </c>
      <c r="D1224" s="2" t="s">
        <v>154</v>
      </c>
      <c r="E1224" s="2" t="s">
        <v>1006</v>
      </c>
      <c r="F1224" s="2">
        <v>9.9120000000000008</v>
      </c>
      <c r="G1224" s="2" t="s">
        <v>995</v>
      </c>
      <c r="H1224" s="2">
        <v>0</v>
      </c>
      <c r="I1224" s="2">
        <v>0</v>
      </c>
      <c r="J1224" s="2" t="s">
        <v>1291</v>
      </c>
      <c r="K1224" s="20">
        <v>45271</v>
      </c>
      <c r="L1224" s="20">
        <v>45275</v>
      </c>
      <c r="M1224" s="20"/>
      <c r="O1224" s="2" t="s">
        <v>67</v>
      </c>
      <c r="P1224" s="2" t="s">
        <v>68</v>
      </c>
      <c r="Q1224" s="2">
        <f t="shared" si="19"/>
        <v>1</v>
      </c>
    </row>
    <row r="1225" spans="1:17" x14ac:dyDescent="0.25">
      <c r="A1225" s="2" t="s">
        <v>3428</v>
      </c>
      <c r="B1225" s="2" t="s">
        <v>3429</v>
      </c>
      <c r="C1225" s="2" t="s">
        <v>30</v>
      </c>
      <c r="D1225" s="2" t="s">
        <v>324</v>
      </c>
      <c r="E1225" s="2" t="s">
        <v>1006</v>
      </c>
      <c r="F1225" s="2">
        <v>149.94999999999999</v>
      </c>
      <c r="G1225" s="2" t="s">
        <v>995</v>
      </c>
      <c r="H1225" s="2">
        <v>0</v>
      </c>
      <c r="I1225" s="2">
        <v>0</v>
      </c>
      <c r="J1225" s="2" t="s">
        <v>1291</v>
      </c>
      <c r="K1225" s="20">
        <v>45272</v>
      </c>
      <c r="L1225" s="20">
        <v>45278</v>
      </c>
      <c r="M1225" s="20"/>
      <c r="O1225" s="2" t="s">
        <v>67</v>
      </c>
      <c r="P1225" s="2" t="s">
        <v>68</v>
      </c>
      <c r="Q1225" s="2">
        <f t="shared" si="19"/>
        <v>1</v>
      </c>
    </row>
    <row r="1226" spans="1:17" x14ac:dyDescent="0.25">
      <c r="A1226" s="2" t="s">
        <v>3430</v>
      </c>
      <c r="B1226" s="2" t="s">
        <v>3431</v>
      </c>
      <c r="C1226" s="2" t="s">
        <v>19</v>
      </c>
      <c r="D1226" s="2" t="s">
        <v>230</v>
      </c>
      <c r="E1226" s="2" t="s">
        <v>1002</v>
      </c>
      <c r="F1226" s="2">
        <v>27.72</v>
      </c>
      <c r="G1226" s="2" t="s">
        <v>995</v>
      </c>
      <c r="H1226" s="2">
        <v>40</v>
      </c>
      <c r="I1226" s="2">
        <v>11.088000000000001</v>
      </c>
      <c r="J1226" s="2" t="s">
        <v>1291</v>
      </c>
      <c r="K1226" s="20">
        <v>45272</v>
      </c>
      <c r="L1226" s="20">
        <v>45274</v>
      </c>
      <c r="M1226" s="20"/>
      <c r="O1226" s="2" t="s">
        <v>54</v>
      </c>
      <c r="P1226" s="2" t="s">
        <v>26</v>
      </c>
      <c r="Q1226" s="2">
        <f t="shared" si="19"/>
        <v>1</v>
      </c>
    </row>
    <row r="1227" spans="1:17" x14ac:dyDescent="0.25">
      <c r="A1227" s="2" t="s">
        <v>3433</v>
      </c>
      <c r="B1227" s="2" t="s">
        <v>3434</v>
      </c>
      <c r="C1227" s="2" t="s">
        <v>30</v>
      </c>
      <c r="D1227" s="2" t="s">
        <v>81</v>
      </c>
      <c r="E1227" s="2" t="s">
        <v>21</v>
      </c>
      <c r="F1227" s="2">
        <v>216.22400000000002</v>
      </c>
      <c r="G1227" s="2" t="s">
        <v>22</v>
      </c>
      <c r="H1227" s="2">
        <v>0</v>
      </c>
      <c r="I1227" s="2">
        <v>0</v>
      </c>
      <c r="J1227" s="2" t="s">
        <v>1291</v>
      </c>
      <c r="K1227" s="20">
        <v>45275</v>
      </c>
      <c r="L1227" s="20">
        <v>45278</v>
      </c>
      <c r="M1227" s="20">
        <v>45278</v>
      </c>
      <c r="N1227" s="2" t="s">
        <v>63</v>
      </c>
      <c r="O1227" s="2" t="s">
        <v>46</v>
      </c>
      <c r="P1227" s="2" t="s">
        <v>47</v>
      </c>
      <c r="Q1227" s="2">
        <f t="shared" si="19"/>
        <v>1</v>
      </c>
    </row>
    <row r="1228" spans="1:17" x14ac:dyDescent="0.25">
      <c r="A1228" s="2" t="s">
        <v>3435</v>
      </c>
      <c r="B1228" s="2" t="s">
        <v>3436</v>
      </c>
      <c r="C1228" s="2" t="s">
        <v>19</v>
      </c>
      <c r="D1228" s="2" t="s">
        <v>20</v>
      </c>
      <c r="E1228" s="2" t="s">
        <v>1006</v>
      </c>
      <c r="F1228" s="2">
        <v>21.96</v>
      </c>
      <c r="G1228" s="2" t="s">
        <v>995</v>
      </c>
      <c r="H1228" s="2">
        <v>0</v>
      </c>
      <c r="I1228" s="2">
        <v>0</v>
      </c>
      <c r="J1228" s="2" t="s">
        <v>1291</v>
      </c>
      <c r="K1228" s="20">
        <v>45277</v>
      </c>
      <c r="L1228" s="20">
        <v>45281</v>
      </c>
      <c r="M1228" s="20"/>
      <c r="O1228" s="2" t="s">
        <v>72</v>
      </c>
      <c r="P1228" s="2" t="s">
        <v>73</v>
      </c>
      <c r="Q1228" s="2">
        <f t="shared" si="19"/>
        <v>1</v>
      </c>
    </row>
    <row r="1229" spans="1:17" x14ac:dyDescent="0.25">
      <c r="A1229" s="2" t="s">
        <v>3438</v>
      </c>
      <c r="B1229" s="2" t="s">
        <v>3439</v>
      </c>
      <c r="C1229" s="2" t="s">
        <v>19</v>
      </c>
      <c r="D1229" s="2" t="s">
        <v>211</v>
      </c>
      <c r="E1229" s="2" t="s">
        <v>1002</v>
      </c>
      <c r="F1229" s="2">
        <v>2254.41</v>
      </c>
      <c r="G1229" s="2" t="s">
        <v>995</v>
      </c>
      <c r="H1229" s="2">
        <v>40</v>
      </c>
      <c r="I1229" s="2">
        <v>901.76400000000001</v>
      </c>
      <c r="J1229" s="2" t="s">
        <v>1291</v>
      </c>
      <c r="K1229" s="20">
        <v>45277</v>
      </c>
      <c r="L1229" s="20">
        <v>45280</v>
      </c>
      <c r="M1229" s="20"/>
      <c r="O1229" s="2" t="s">
        <v>46</v>
      </c>
      <c r="P1229" s="2" t="s">
        <v>47</v>
      </c>
      <c r="Q1229" s="2">
        <f t="shared" si="19"/>
        <v>1</v>
      </c>
    </row>
    <row r="1230" spans="1:17" x14ac:dyDescent="0.25">
      <c r="A1230" s="2" t="s">
        <v>3441</v>
      </c>
      <c r="B1230" s="2" t="s">
        <v>3442</v>
      </c>
      <c r="C1230" s="2" t="s">
        <v>19</v>
      </c>
      <c r="D1230" s="2" t="s">
        <v>186</v>
      </c>
      <c r="E1230" s="2" t="s">
        <v>1002</v>
      </c>
      <c r="F1230" s="2">
        <v>20.7</v>
      </c>
      <c r="G1230" s="2" t="s">
        <v>995</v>
      </c>
      <c r="H1230" s="2">
        <v>40</v>
      </c>
      <c r="I1230" s="2">
        <v>8.2799999999999994</v>
      </c>
      <c r="J1230" s="2" t="s">
        <v>1291</v>
      </c>
      <c r="K1230" s="20">
        <v>45278</v>
      </c>
      <c r="L1230" s="20">
        <v>45282</v>
      </c>
      <c r="M1230" s="20"/>
      <c r="O1230" s="2" t="s">
        <v>25</v>
      </c>
      <c r="P1230" s="2" t="s">
        <v>26</v>
      </c>
      <c r="Q1230" s="2">
        <f t="shared" si="19"/>
        <v>1</v>
      </c>
    </row>
    <row r="1231" spans="1:17" x14ac:dyDescent="0.25">
      <c r="A1231" s="2" t="s">
        <v>3444</v>
      </c>
      <c r="B1231" s="2" t="s">
        <v>3445</v>
      </c>
      <c r="C1231" s="2" t="s">
        <v>19</v>
      </c>
      <c r="D1231" s="2" t="s">
        <v>164</v>
      </c>
      <c r="E1231" s="2" t="s">
        <v>1002</v>
      </c>
      <c r="F1231" s="2">
        <v>54.384</v>
      </c>
      <c r="G1231" s="2" t="s">
        <v>995</v>
      </c>
      <c r="H1231" s="2">
        <v>40</v>
      </c>
      <c r="I1231" s="2">
        <v>21.753600000000002</v>
      </c>
      <c r="J1231" s="2" t="s">
        <v>1291</v>
      </c>
      <c r="K1231" s="20">
        <v>45278</v>
      </c>
      <c r="L1231" s="20">
        <v>45283</v>
      </c>
      <c r="M1231" s="20"/>
      <c r="O1231" s="2" t="s">
        <v>72</v>
      </c>
      <c r="P1231" s="2" t="s">
        <v>73</v>
      </c>
      <c r="Q1231" s="2">
        <f t="shared" si="19"/>
        <v>1</v>
      </c>
    </row>
    <row r="1232" spans="1:17" x14ac:dyDescent="0.25">
      <c r="A1232" s="2" t="s">
        <v>3446</v>
      </c>
      <c r="B1232" s="2" t="s">
        <v>3447</v>
      </c>
      <c r="C1232" s="2" t="s">
        <v>19</v>
      </c>
      <c r="D1232" s="2" t="s">
        <v>31</v>
      </c>
      <c r="E1232" s="2" t="s">
        <v>1006</v>
      </c>
      <c r="F1232" s="2">
        <v>23.34</v>
      </c>
      <c r="G1232" s="2" t="s">
        <v>995</v>
      </c>
      <c r="H1232" s="2">
        <v>0</v>
      </c>
      <c r="I1232" s="2">
        <v>0</v>
      </c>
      <c r="J1232" s="2" t="s">
        <v>1291</v>
      </c>
      <c r="K1232" s="20">
        <v>45280</v>
      </c>
      <c r="L1232" s="20">
        <v>45285</v>
      </c>
      <c r="M1232" s="20"/>
      <c r="O1232" s="2" t="s">
        <v>46</v>
      </c>
      <c r="P1232" s="2" t="s">
        <v>47</v>
      </c>
      <c r="Q1232" s="2">
        <f t="shared" si="19"/>
        <v>1</v>
      </c>
    </row>
    <row r="1233" spans="1:17" x14ac:dyDescent="0.25">
      <c r="A1233" s="2" t="s">
        <v>3449</v>
      </c>
      <c r="B1233" s="2" t="s">
        <v>3450</v>
      </c>
      <c r="C1233" s="2" t="s">
        <v>19</v>
      </c>
      <c r="D1233" s="2" t="s">
        <v>115</v>
      </c>
      <c r="E1233" s="2" t="s">
        <v>1002</v>
      </c>
      <c r="F1233" s="2">
        <v>51.55</v>
      </c>
      <c r="G1233" s="2" t="s">
        <v>995</v>
      </c>
      <c r="H1233" s="2">
        <v>40</v>
      </c>
      <c r="I1233" s="2">
        <v>20.62</v>
      </c>
      <c r="J1233" s="2" t="s">
        <v>1291</v>
      </c>
      <c r="K1233" s="20">
        <v>45280</v>
      </c>
      <c r="L1233" s="20">
        <v>45282</v>
      </c>
      <c r="M1233" s="20"/>
      <c r="O1233" s="2" t="s">
        <v>97</v>
      </c>
      <c r="P1233" s="2" t="s">
        <v>68</v>
      </c>
      <c r="Q1233" s="2">
        <f t="shared" si="19"/>
        <v>1</v>
      </c>
    </row>
    <row r="1234" spans="1:17" x14ac:dyDescent="0.25">
      <c r="A1234" s="2" t="s">
        <v>3452</v>
      </c>
      <c r="B1234" s="2" t="s">
        <v>3453</v>
      </c>
      <c r="C1234" s="2" t="s">
        <v>30</v>
      </c>
      <c r="D1234" s="2" t="s">
        <v>119</v>
      </c>
      <c r="E1234" s="2" t="s">
        <v>1002</v>
      </c>
      <c r="F1234" s="2">
        <v>65.989999999999995</v>
      </c>
      <c r="G1234" s="2" t="s">
        <v>995</v>
      </c>
      <c r="H1234" s="2">
        <v>40</v>
      </c>
      <c r="I1234" s="2">
        <v>26.396000000000001</v>
      </c>
      <c r="J1234" s="2" t="s">
        <v>1291</v>
      </c>
      <c r="K1234" s="20">
        <v>45286</v>
      </c>
      <c r="L1234" s="20">
        <v>45292</v>
      </c>
      <c r="M1234" s="20"/>
      <c r="O1234" s="2" t="s">
        <v>146</v>
      </c>
      <c r="P1234" s="2" t="s">
        <v>73</v>
      </c>
      <c r="Q1234" s="2">
        <f t="shared" si="19"/>
        <v>1</v>
      </c>
    </row>
    <row r="1235" spans="1:17" x14ac:dyDescent="0.25">
      <c r="A1235" s="2" t="s">
        <v>3455</v>
      </c>
      <c r="B1235" s="2" t="s">
        <v>3456</v>
      </c>
      <c r="C1235" s="2" t="s">
        <v>30</v>
      </c>
      <c r="D1235" s="2" t="s">
        <v>230</v>
      </c>
      <c r="E1235" s="2" t="s">
        <v>21</v>
      </c>
      <c r="F1235" s="2">
        <v>2875.5439999999999</v>
      </c>
      <c r="G1235" s="2" t="s">
        <v>22</v>
      </c>
      <c r="H1235" s="2">
        <v>0</v>
      </c>
      <c r="I1235" s="2">
        <v>0</v>
      </c>
      <c r="J1235" s="2" t="s">
        <v>1291</v>
      </c>
      <c r="K1235" s="20">
        <v>45286</v>
      </c>
      <c r="L1235" s="20">
        <v>45289</v>
      </c>
      <c r="M1235" s="20">
        <v>45289</v>
      </c>
      <c r="N1235" s="2" t="s">
        <v>24</v>
      </c>
      <c r="O1235" s="2" t="s">
        <v>72</v>
      </c>
      <c r="P1235" s="2" t="s">
        <v>73</v>
      </c>
      <c r="Q1235" s="2">
        <f t="shared" si="19"/>
        <v>1</v>
      </c>
    </row>
    <row r="1236" spans="1:17" x14ac:dyDescent="0.25">
      <c r="A1236" s="2" t="s">
        <v>3458</v>
      </c>
      <c r="B1236" s="2" t="s">
        <v>3459</v>
      </c>
      <c r="C1236" s="2" t="s">
        <v>19</v>
      </c>
      <c r="D1236" s="2" t="s">
        <v>86</v>
      </c>
      <c r="E1236" s="2" t="s">
        <v>994</v>
      </c>
      <c r="F1236" s="2">
        <v>55.36</v>
      </c>
      <c r="G1236" s="2" t="s">
        <v>995</v>
      </c>
      <c r="H1236" s="2">
        <v>40</v>
      </c>
      <c r="I1236" s="2">
        <v>22.144000000000002</v>
      </c>
      <c r="J1236" s="2" t="s">
        <v>1291</v>
      </c>
      <c r="K1236" s="20">
        <v>45287</v>
      </c>
      <c r="L1236" s="20">
        <v>45292</v>
      </c>
      <c r="M1236" s="20"/>
      <c r="O1236" s="2" t="s">
        <v>97</v>
      </c>
      <c r="P1236" s="2" t="s">
        <v>68</v>
      </c>
      <c r="Q1236" s="2">
        <f t="shared" si="19"/>
        <v>1</v>
      </c>
    </row>
    <row r="1237" spans="1:17" x14ac:dyDescent="0.25">
      <c r="A1237" s="2" t="s">
        <v>3461</v>
      </c>
      <c r="B1237" s="2" t="s">
        <v>3462</v>
      </c>
      <c r="C1237" s="2" t="s">
        <v>19</v>
      </c>
      <c r="D1237" s="2" t="s">
        <v>115</v>
      </c>
      <c r="E1237" s="2" t="s">
        <v>1006</v>
      </c>
      <c r="F1237" s="2">
        <v>36</v>
      </c>
      <c r="G1237" s="2" t="s">
        <v>995</v>
      </c>
      <c r="H1237" s="2">
        <v>0</v>
      </c>
      <c r="I1237" s="2">
        <v>0</v>
      </c>
      <c r="J1237" s="2" t="s">
        <v>1291</v>
      </c>
      <c r="K1237" s="20">
        <v>45288</v>
      </c>
      <c r="L1237" s="20">
        <v>45292</v>
      </c>
      <c r="M1237" s="20"/>
      <c r="O1237" s="2" t="s">
        <v>25</v>
      </c>
      <c r="P1237" s="2" t="s">
        <v>26</v>
      </c>
      <c r="Q1237" s="2">
        <f t="shared" si="19"/>
        <v>1</v>
      </c>
    </row>
    <row r="1238" spans="1:17" x14ac:dyDescent="0.25">
      <c r="A1238" s="2" t="s">
        <v>3464</v>
      </c>
      <c r="B1238" s="2" t="s">
        <v>3465</v>
      </c>
      <c r="C1238" s="2" t="s">
        <v>30</v>
      </c>
      <c r="D1238" s="2" t="s">
        <v>150</v>
      </c>
      <c r="E1238" s="2" t="s">
        <v>994</v>
      </c>
      <c r="F1238" s="2">
        <v>437.85</v>
      </c>
      <c r="G1238" s="2" t="s">
        <v>995</v>
      </c>
      <c r="H1238" s="2">
        <v>40</v>
      </c>
      <c r="I1238" s="2">
        <v>175.14000000000001</v>
      </c>
      <c r="J1238" s="2" t="s">
        <v>1291</v>
      </c>
      <c r="K1238" s="20">
        <v>45295</v>
      </c>
      <c r="L1238" s="20">
        <v>45300</v>
      </c>
      <c r="M1238" s="20"/>
      <c r="O1238" s="2" t="s">
        <v>54</v>
      </c>
      <c r="P1238" s="2" t="s">
        <v>26</v>
      </c>
      <c r="Q1238" s="2">
        <f t="shared" si="19"/>
        <v>1</v>
      </c>
    </row>
    <row r="1239" spans="1:17" x14ac:dyDescent="0.25">
      <c r="A1239" s="2" t="s">
        <v>3467</v>
      </c>
      <c r="B1239" s="2" t="s">
        <v>3468</v>
      </c>
      <c r="C1239" s="2" t="s">
        <v>19</v>
      </c>
      <c r="D1239" s="2" t="s">
        <v>31</v>
      </c>
      <c r="E1239" s="2" t="s">
        <v>1002</v>
      </c>
      <c r="F1239" s="2">
        <v>3.75</v>
      </c>
      <c r="G1239" s="2" t="s">
        <v>995</v>
      </c>
      <c r="H1239" s="2">
        <v>40</v>
      </c>
      <c r="I1239" s="2">
        <v>1.5</v>
      </c>
      <c r="J1239" s="2" t="s">
        <v>1291</v>
      </c>
      <c r="K1239" s="20">
        <v>45299</v>
      </c>
      <c r="L1239" s="20">
        <v>45305</v>
      </c>
      <c r="M1239" s="20"/>
      <c r="O1239" s="2" t="s">
        <v>33</v>
      </c>
      <c r="P1239" s="2" t="s">
        <v>34</v>
      </c>
      <c r="Q1239" s="2">
        <f t="shared" si="19"/>
        <v>1</v>
      </c>
    </row>
    <row r="1240" spans="1:17" x14ac:dyDescent="0.25">
      <c r="A1240" s="2" t="s">
        <v>3470</v>
      </c>
      <c r="B1240" s="2" t="s">
        <v>3471</v>
      </c>
      <c r="C1240" s="2" t="s">
        <v>19</v>
      </c>
      <c r="D1240" s="2" t="s">
        <v>31</v>
      </c>
      <c r="E1240" s="2" t="s">
        <v>1002</v>
      </c>
      <c r="F1240" s="2">
        <v>35</v>
      </c>
      <c r="G1240" s="2" t="s">
        <v>995</v>
      </c>
      <c r="H1240" s="2">
        <v>40</v>
      </c>
      <c r="I1240" s="2">
        <v>14</v>
      </c>
      <c r="J1240" s="2" t="s">
        <v>1291</v>
      </c>
      <c r="K1240" s="20">
        <v>45304</v>
      </c>
      <c r="L1240" s="20">
        <v>45308</v>
      </c>
      <c r="M1240" s="20"/>
      <c r="O1240" s="2" t="s">
        <v>25</v>
      </c>
      <c r="P1240" s="2" t="s">
        <v>26</v>
      </c>
      <c r="Q1240" s="2">
        <f t="shared" si="19"/>
        <v>1</v>
      </c>
    </row>
    <row r="1241" spans="1:17" x14ac:dyDescent="0.25">
      <c r="A1241" s="2" t="s">
        <v>3472</v>
      </c>
      <c r="B1241" s="2" t="s">
        <v>3473</v>
      </c>
      <c r="C1241" s="2" t="s">
        <v>19</v>
      </c>
      <c r="D1241" s="2" t="s">
        <v>139</v>
      </c>
      <c r="E1241" s="2" t="s">
        <v>21</v>
      </c>
      <c r="F1241" s="2">
        <v>337.68799999999999</v>
      </c>
      <c r="G1241" s="2" t="s">
        <v>22</v>
      </c>
      <c r="H1241" s="2">
        <v>0</v>
      </c>
      <c r="I1241" s="2">
        <v>0</v>
      </c>
      <c r="J1241" s="2" t="s">
        <v>1291</v>
      </c>
      <c r="K1241" s="20">
        <v>45306</v>
      </c>
      <c r="L1241" s="20">
        <v>45308</v>
      </c>
      <c r="M1241" s="20">
        <v>45308</v>
      </c>
      <c r="N1241" s="2" t="s">
        <v>32</v>
      </c>
      <c r="O1241" s="2" t="s">
        <v>146</v>
      </c>
      <c r="P1241" s="2" t="s">
        <v>73</v>
      </c>
      <c r="Q1241" s="2">
        <f t="shared" si="19"/>
        <v>1</v>
      </c>
    </row>
    <row r="1242" spans="1:17" x14ac:dyDescent="0.25">
      <c r="A1242" s="2" t="s">
        <v>3475</v>
      </c>
      <c r="B1242" s="2" t="s">
        <v>3476</v>
      </c>
      <c r="C1242" s="2" t="s">
        <v>19</v>
      </c>
      <c r="D1242" s="2" t="s">
        <v>150</v>
      </c>
      <c r="E1242" s="2" t="s">
        <v>21</v>
      </c>
      <c r="F1242" s="2">
        <v>29.664000000000001</v>
      </c>
      <c r="G1242" s="2" t="s">
        <v>22</v>
      </c>
      <c r="H1242" s="2">
        <v>0</v>
      </c>
      <c r="I1242" s="2">
        <v>0</v>
      </c>
      <c r="J1242" s="2" t="s">
        <v>1291</v>
      </c>
      <c r="K1242" s="20">
        <v>45306</v>
      </c>
      <c r="L1242" s="20">
        <v>45307</v>
      </c>
      <c r="M1242" s="20">
        <v>45307</v>
      </c>
      <c r="N1242" s="2" t="s">
        <v>24</v>
      </c>
      <c r="O1242" s="2" t="s">
        <v>25</v>
      </c>
      <c r="P1242" s="2" t="s">
        <v>26</v>
      </c>
      <c r="Q1242" s="2">
        <f t="shared" si="19"/>
        <v>1</v>
      </c>
    </row>
    <row r="1243" spans="1:17" x14ac:dyDescent="0.25">
      <c r="A1243" s="12" t="s">
        <v>4774</v>
      </c>
      <c r="B1243" s="2" t="s">
        <v>3473</v>
      </c>
      <c r="C1243" s="2" t="s">
        <v>19</v>
      </c>
      <c r="D1243" s="2" t="s">
        <v>139</v>
      </c>
      <c r="E1243" s="2" t="s">
        <v>21</v>
      </c>
      <c r="F1243" s="2">
        <v>337.68799999999999</v>
      </c>
      <c r="G1243" s="2" t="s">
        <v>22</v>
      </c>
      <c r="H1243" s="2">
        <v>0</v>
      </c>
      <c r="I1243" s="2">
        <v>0</v>
      </c>
      <c r="J1243" s="2" t="s">
        <v>1291</v>
      </c>
      <c r="K1243" s="20">
        <v>45306</v>
      </c>
      <c r="L1243" s="20">
        <v>45308</v>
      </c>
      <c r="M1243" s="20">
        <v>45308</v>
      </c>
      <c r="N1243" s="2" t="s">
        <v>32</v>
      </c>
      <c r="O1243" s="2" t="s">
        <v>146</v>
      </c>
      <c r="P1243" s="2" t="s">
        <v>73</v>
      </c>
      <c r="Q1243" s="2">
        <f t="shared" si="19"/>
        <v>8</v>
      </c>
    </row>
    <row r="1244" spans="1:17" x14ac:dyDescent="0.25">
      <c r="A1244" s="12" t="s">
        <v>4774</v>
      </c>
      <c r="B1244" s="2" t="s">
        <v>3476</v>
      </c>
      <c r="C1244" s="2" t="s">
        <v>19</v>
      </c>
      <c r="D1244" s="2" t="s">
        <v>150</v>
      </c>
      <c r="E1244" s="2" t="s">
        <v>21</v>
      </c>
      <c r="F1244" s="2">
        <v>29.664000000000001</v>
      </c>
      <c r="G1244" s="2" t="s">
        <v>22</v>
      </c>
      <c r="H1244" s="2">
        <v>0</v>
      </c>
      <c r="I1244" s="2">
        <v>0</v>
      </c>
      <c r="J1244" s="2" t="s">
        <v>1291</v>
      </c>
      <c r="K1244" s="20">
        <v>45306</v>
      </c>
      <c r="L1244" s="20">
        <v>45307</v>
      </c>
      <c r="M1244" s="20">
        <v>45307</v>
      </c>
      <c r="N1244" s="2" t="s">
        <v>24</v>
      </c>
      <c r="O1244" s="2" t="s">
        <v>25</v>
      </c>
      <c r="P1244" s="2" t="s">
        <v>26</v>
      </c>
      <c r="Q1244" s="2">
        <f t="shared" si="19"/>
        <v>8</v>
      </c>
    </row>
    <row r="1245" spans="1:17" x14ac:dyDescent="0.25">
      <c r="A1245" s="2" t="s">
        <v>3477</v>
      </c>
      <c r="B1245" s="2" t="s">
        <v>3478</v>
      </c>
      <c r="C1245" s="2" t="s">
        <v>19</v>
      </c>
      <c r="D1245" s="2" t="s">
        <v>31</v>
      </c>
      <c r="E1245" s="2" t="s">
        <v>1006</v>
      </c>
      <c r="F1245" s="2">
        <v>517.40499999999997</v>
      </c>
      <c r="G1245" s="2" t="s">
        <v>995</v>
      </c>
      <c r="H1245" s="2">
        <v>0</v>
      </c>
      <c r="I1245" s="2">
        <v>0</v>
      </c>
      <c r="J1245" s="2" t="s">
        <v>1291</v>
      </c>
      <c r="K1245" s="20">
        <v>45307</v>
      </c>
      <c r="L1245" s="20">
        <v>45311</v>
      </c>
      <c r="M1245" s="20"/>
      <c r="O1245" s="2" t="s">
        <v>54</v>
      </c>
      <c r="P1245" s="2" t="s">
        <v>26</v>
      </c>
      <c r="Q1245" s="2">
        <f t="shared" si="19"/>
        <v>1</v>
      </c>
    </row>
    <row r="1246" spans="1:17" x14ac:dyDescent="0.25">
      <c r="A1246" s="2" t="s">
        <v>3480</v>
      </c>
      <c r="B1246" s="2" t="s">
        <v>3481</v>
      </c>
      <c r="C1246" s="2" t="s">
        <v>19</v>
      </c>
      <c r="D1246" s="2" t="s">
        <v>230</v>
      </c>
      <c r="E1246" s="2" t="s">
        <v>1002</v>
      </c>
      <c r="F1246" s="2">
        <v>26.4</v>
      </c>
      <c r="G1246" s="2" t="s">
        <v>995</v>
      </c>
      <c r="H1246" s="2">
        <v>40</v>
      </c>
      <c r="I1246" s="2">
        <v>10.56</v>
      </c>
      <c r="J1246" s="2" t="s">
        <v>1291</v>
      </c>
      <c r="K1246" s="20">
        <v>45312</v>
      </c>
      <c r="L1246" s="20">
        <v>45313</v>
      </c>
      <c r="M1246" s="20"/>
      <c r="O1246" s="2" t="s">
        <v>67</v>
      </c>
      <c r="P1246" s="2" t="s">
        <v>68</v>
      </c>
      <c r="Q1246" s="2">
        <f t="shared" si="19"/>
        <v>1</v>
      </c>
    </row>
    <row r="1247" spans="1:17" x14ac:dyDescent="0.25">
      <c r="A1247" s="2" t="s">
        <v>3483</v>
      </c>
      <c r="B1247" s="2" t="s">
        <v>3484</v>
      </c>
      <c r="C1247" s="2" t="s">
        <v>19</v>
      </c>
      <c r="D1247" s="2" t="s">
        <v>154</v>
      </c>
      <c r="E1247" s="2" t="s">
        <v>1002</v>
      </c>
      <c r="F1247" s="2">
        <v>33.94</v>
      </c>
      <c r="G1247" s="2" t="s">
        <v>995</v>
      </c>
      <c r="H1247" s="2">
        <v>40</v>
      </c>
      <c r="I1247" s="2">
        <v>13.576000000000001</v>
      </c>
      <c r="J1247" s="2" t="s">
        <v>1291</v>
      </c>
      <c r="K1247" s="20">
        <v>45315</v>
      </c>
      <c r="L1247" s="20">
        <v>45317</v>
      </c>
      <c r="M1247" s="20"/>
      <c r="O1247" s="2" t="s">
        <v>25</v>
      </c>
      <c r="P1247" s="2" t="s">
        <v>26</v>
      </c>
      <c r="Q1247" s="2">
        <f t="shared" si="19"/>
        <v>1</v>
      </c>
    </row>
    <row r="1248" spans="1:17" x14ac:dyDescent="0.25">
      <c r="A1248" s="2" t="s">
        <v>3485</v>
      </c>
      <c r="B1248" s="2" t="s">
        <v>3486</v>
      </c>
      <c r="C1248" s="2" t="s">
        <v>19</v>
      </c>
      <c r="D1248" s="2" t="s">
        <v>324</v>
      </c>
      <c r="E1248" s="2" t="s">
        <v>1002</v>
      </c>
      <c r="F1248" s="2">
        <v>8.8559999999999999</v>
      </c>
      <c r="G1248" s="2" t="s">
        <v>995</v>
      </c>
      <c r="H1248" s="2">
        <v>40</v>
      </c>
      <c r="I1248" s="2">
        <v>3.5424000000000002</v>
      </c>
      <c r="J1248" s="2" t="s">
        <v>1291</v>
      </c>
      <c r="K1248" s="20">
        <v>45322</v>
      </c>
      <c r="L1248" s="20">
        <v>45322</v>
      </c>
      <c r="M1248" s="20"/>
      <c r="O1248" s="2" t="s">
        <v>72</v>
      </c>
      <c r="P1248" s="2" t="s">
        <v>73</v>
      </c>
      <c r="Q1248" s="2">
        <f t="shared" si="19"/>
        <v>1</v>
      </c>
    </row>
    <row r="1249" spans="1:17" x14ac:dyDescent="0.25">
      <c r="A1249" s="2" t="s">
        <v>3487</v>
      </c>
      <c r="B1249" s="2" t="s">
        <v>3488</v>
      </c>
      <c r="C1249" s="2" t="s">
        <v>19</v>
      </c>
      <c r="D1249" s="2" t="s">
        <v>154</v>
      </c>
      <c r="E1249" s="2" t="s">
        <v>21</v>
      </c>
      <c r="F1249" s="2">
        <v>159.72999999999988</v>
      </c>
      <c r="G1249" s="2" t="s">
        <v>22</v>
      </c>
      <c r="H1249" s="2">
        <v>0</v>
      </c>
      <c r="I1249" s="2">
        <v>0</v>
      </c>
      <c r="J1249" s="2" t="s">
        <v>1291</v>
      </c>
      <c r="K1249" s="20">
        <v>45325</v>
      </c>
      <c r="L1249" s="20">
        <v>45328</v>
      </c>
      <c r="M1249" s="20">
        <v>45328</v>
      </c>
      <c r="N1249" s="2" t="s">
        <v>32</v>
      </c>
      <c r="O1249" s="2" t="s">
        <v>33</v>
      </c>
      <c r="P1249" s="2" t="s">
        <v>34</v>
      </c>
      <c r="Q1249" s="2">
        <f t="shared" si="19"/>
        <v>1</v>
      </c>
    </row>
    <row r="1250" spans="1:17" x14ac:dyDescent="0.25">
      <c r="A1250" s="2" t="s">
        <v>3489</v>
      </c>
      <c r="B1250" s="2" t="s">
        <v>3490</v>
      </c>
      <c r="C1250" s="2" t="s">
        <v>19</v>
      </c>
      <c r="D1250" s="2" t="s">
        <v>164</v>
      </c>
      <c r="E1250" s="2" t="s">
        <v>1006</v>
      </c>
      <c r="F1250" s="2">
        <v>41.4</v>
      </c>
      <c r="G1250" s="2" t="s">
        <v>995</v>
      </c>
      <c r="H1250" s="2">
        <v>0</v>
      </c>
      <c r="I1250" s="2">
        <v>0</v>
      </c>
      <c r="J1250" s="2" t="s">
        <v>1291</v>
      </c>
      <c r="K1250" s="20">
        <v>45327</v>
      </c>
      <c r="L1250" s="20">
        <v>45332</v>
      </c>
      <c r="M1250" s="20"/>
      <c r="O1250" s="2" t="s">
        <v>54</v>
      </c>
      <c r="P1250" s="2" t="s">
        <v>26</v>
      </c>
      <c r="Q1250" s="2">
        <f t="shared" si="19"/>
        <v>1</v>
      </c>
    </row>
    <row r="1251" spans="1:17" x14ac:dyDescent="0.25">
      <c r="A1251" s="2" t="s">
        <v>3492</v>
      </c>
      <c r="B1251" s="2" t="s">
        <v>3493</v>
      </c>
      <c r="C1251" s="2" t="s">
        <v>19</v>
      </c>
      <c r="D1251" s="2" t="s">
        <v>77</v>
      </c>
      <c r="E1251" s="2" t="s">
        <v>21</v>
      </c>
      <c r="F1251" s="2">
        <v>57.510000000000005</v>
      </c>
      <c r="G1251" s="2" t="s">
        <v>22</v>
      </c>
      <c r="H1251" s="2">
        <v>0</v>
      </c>
      <c r="I1251" s="2">
        <v>0</v>
      </c>
      <c r="J1251" s="2" t="s">
        <v>1291</v>
      </c>
      <c r="K1251" s="20">
        <v>45342</v>
      </c>
      <c r="L1251" s="20">
        <v>45343</v>
      </c>
      <c r="M1251" s="20">
        <v>45343</v>
      </c>
      <c r="N1251" s="2" t="s">
        <v>53</v>
      </c>
      <c r="O1251" s="2" t="s">
        <v>33</v>
      </c>
      <c r="P1251" s="2" t="s">
        <v>34</v>
      </c>
      <c r="Q1251" s="2">
        <f t="shared" si="19"/>
        <v>1</v>
      </c>
    </row>
    <row r="1252" spans="1:17" x14ac:dyDescent="0.25">
      <c r="A1252" s="2" t="s">
        <v>3494</v>
      </c>
      <c r="B1252" s="2" t="s">
        <v>3495</v>
      </c>
      <c r="C1252" s="2" t="s">
        <v>19</v>
      </c>
      <c r="D1252" s="2" t="s">
        <v>186</v>
      </c>
      <c r="E1252" s="2" t="s">
        <v>994</v>
      </c>
      <c r="F1252" s="2">
        <v>499.584</v>
      </c>
      <c r="G1252" s="2" t="s">
        <v>995</v>
      </c>
      <c r="H1252" s="2">
        <v>40</v>
      </c>
      <c r="I1252" s="2">
        <v>199.83360000000002</v>
      </c>
      <c r="J1252" s="2" t="s">
        <v>1291</v>
      </c>
      <c r="K1252" s="20">
        <v>45343</v>
      </c>
      <c r="L1252" s="20">
        <v>45348</v>
      </c>
      <c r="M1252" s="20"/>
      <c r="O1252" s="2" t="s">
        <v>33</v>
      </c>
      <c r="P1252" s="2" t="s">
        <v>34</v>
      </c>
      <c r="Q1252" s="2">
        <f t="shared" si="19"/>
        <v>1</v>
      </c>
    </row>
    <row r="1253" spans="1:17" x14ac:dyDescent="0.25">
      <c r="A1253" s="2" t="s">
        <v>3497</v>
      </c>
      <c r="B1253" s="2" t="s">
        <v>3498</v>
      </c>
      <c r="C1253" s="2" t="s">
        <v>19</v>
      </c>
      <c r="D1253" s="2" t="s">
        <v>115</v>
      </c>
      <c r="E1253" s="2" t="s">
        <v>994</v>
      </c>
      <c r="F1253" s="2">
        <v>2504.7399999999998</v>
      </c>
      <c r="G1253" s="2" t="s">
        <v>995</v>
      </c>
      <c r="H1253" s="2">
        <v>40</v>
      </c>
      <c r="I1253" s="2">
        <v>1001.896</v>
      </c>
      <c r="J1253" s="2" t="s">
        <v>1291</v>
      </c>
      <c r="K1253" s="20">
        <v>45354</v>
      </c>
      <c r="L1253" s="20">
        <v>45358</v>
      </c>
      <c r="M1253" s="20"/>
      <c r="O1253" s="2" t="s">
        <v>46</v>
      </c>
      <c r="P1253" s="2" t="s">
        <v>47</v>
      </c>
      <c r="Q1253" s="2">
        <f t="shared" si="19"/>
        <v>1</v>
      </c>
    </row>
    <row r="1254" spans="1:17" x14ac:dyDescent="0.25">
      <c r="A1254" s="2" t="s">
        <v>3500</v>
      </c>
      <c r="B1254" s="2" t="s">
        <v>3501</v>
      </c>
      <c r="C1254" s="2" t="s">
        <v>19</v>
      </c>
      <c r="D1254" s="2" t="s">
        <v>164</v>
      </c>
      <c r="E1254" s="2" t="s">
        <v>1006</v>
      </c>
      <c r="F1254" s="2">
        <v>35.183999999999997</v>
      </c>
      <c r="G1254" s="2" t="s">
        <v>995</v>
      </c>
      <c r="H1254" s="2">
        <v>0</v>
      </c>
      <c r="I1254" s="2">
        <v>0</v>
      </c>
      <c r="J1254" s="2" t="s">
        <v>1291</v>
      </c>
      <c r="K1254" s="20">
        <v>45355</v>
      </c>
      <c r="L1254" s="20">
        <v>45359</v>
      </c>
      <c r="M1254" s="20"/>
      <c r="O1254" s="2" t="s">
        <v>146</v>
      </c>
      <c r="P1254" s="2" t="s">
        <v>73</v>
      </c>
      <c r="Q1254" s="2">
        <f t="shared" si="19"/>
        <v>1</v>
      </c>
    </row>
    <row r="1255" spans="1:17" x14ac:dyDescent="0.25">
      <c r="A1255" s="2" t="s">
        <v>3502</v>
      </c>
      <c r="B1255" s="2" t="s">
        <v>3503</v>
      </c>
      <c r="C1255" s="2" t="s">
        <v>19</v>
      </c>
      <c r="D1255" s="2" t="s">
        <v>115</v>
      </c>
      <c r="E1255" s="2" t="s">
        <v>1002</v>
      </c>
      <c r="F1255" s="2">
        <v>449.56799999999998</v>
      </c>
      <c r="G1255" s="2" t="s">
        <v>995</v>
      </c>
      <c r="H1255" s="2">
        <v>40</v>
      </c>
      <c r="I1255" s="2">
        <v>179.8272</v>
      </c>
      <c r="J1255" s="2" t="s">
        <v>1291</v>
      </c>
      <c r="K1255" s="20">
        <v>45355</v>
      </c>
      <c r="L1255" s="20">
        <v>45360</v>
      </c>
      <c r="M1255" s="20"/>
      <c r="O1255" s="2" t="s">
        <v>46</v>
      </c>
      <c r="P1255" s="2" t="s">
        <v>47</v>
      </c>
      <c r="Q1255" s="2">
        <f t="shared" si="19"/>
        <v>1</v>
      </c>
    </row>
    <row r="1256" spans="1:17" x14ac:dyDescent="0.25">
      <c r="A1256" s="2" t="s">
        <v>3504</v>
      </c>
      <c r="B1256" s="2" t="s">
        <v>3505</v>
      </c>
      <c r="C1256" s="2" t="s">
        <v>19</v>
      </c>
      <c r="D1256" s="2" t="s">
        <v>44</v>
      </c>
      <c r="E1256" s="2" t="s">
        <v>994</v>
      </c>
      <c r="F1256" s="2">
        <v>9.9600000000000009</v>
      </c>
      <c r="G1256" s="2" t="s">
        <v>995</v>
      </c>
      <c r="H1256" s="2">
        <v>40</v>
      </c>
      <c r="I1256" s="2">
        <v>3.9840000000000004</v>
      </c>
      <c r="J1256" s="2" t="s">
        <v>1291</v>
      </c>
      <c r="K1256" s="20">
        <v>45356</v>
      </c>
      <c r="L1256" s="20">
        <v>45361</v>
      </c>
      <c r="M1256" s="20"/>
      <c r="O1256" s="2" t="s">
        <v>146</v>
      </c>
      <c r="P1256" s="2" t="s">
        <v>73</v>
      </c>
      <c r="Q1256" s="2">
        <f t="shared" si="19"/>
        <v>1</v>
      </c>
    </row>
    <row r="1257" spans="1:17" x14ac:dyDescent="0.25">
      <c r="A1257" s="2" t="s">
        <v>3506</v>
      </c>
      <c r="B1257" s="2" t="s">
        <v>3507</v>
      </c>
      <c r="C1257" s="2" t="s">
        <v>19</v>
      </c>
      <c r="D1257" s="2" t="s">
        <v>31</v>
      </c>
      <c r="E1257" s="2" t="s">
        <v>1006</v>
      </c>
      <c r="F1257" s="2">
        <v>11.22</v>
      </c>
      <c r="G1257" s="2" t="s">
        <v>995</v>
      </c>
      <c r="H1257" s="2">
        <v>0</v>
      </c>
      <c r="I1257" s="2">
        <v>0</v>
      </c>
      <c r="J1257" s="2" t="s">
        <v>1291</v>
      </c>
      <c r="K1257" s="20">
        <v>45358</v>
      </c>
      <c r="L1257" s="20">
        <v>45362</v>
      </c>
      <c r="M1257" s="20"/>
      <c r="O1257" s="2" t="s">
        <v>72</v>
      </c>
      <c r="P1257" s="2" t="s">
        <v>73</v>
      </c>
      <c r="Q1257" s="2">
        <f t="shared" si="19"/>
        <v>1</v>
      </c>
    </row>
    <row r="1258" spans="1:17" x14ac:dyDescent="0.25">
      <c r="A1258" s="2" t="s">
        <v>3508</v>
      </c>
      <c r="B1258" s="2" t="s">
        <v>3509</v>
      </c>
      <c r="C1258" s="2" t="s">
        <v>30</v>
      </c>
      <c r="D1258" s="2" t="s">
        <v>31</v>
      </c>
      <c r="E1258" s="2" t="s">
        <v>994</v>
      </c>
      <c r="F1258" s="2">
        <v>20.23</v>
      </c>
      <c r="G1258" s="2" t="s">
        <v>995</v>
      </c>
      <c r="H1258" s="2">
        <v>15</v>
      </c>
      <c r="I1258" s="2">
        <v>3.0345</v>
      </c>
      <c r="J1258" s="2" t="s">
        <v>1291</v>
      </c>
      <c r="K1258" s="20">
        <v>45359</v>
      </c>
      <c r="L1258" s="20">
        <v>45364</v>
      </c>
      <c r="M1258" s="20"/>
      <c r="O1258" s="2" t="s">
        <v>25</v>
      </c>
      <c r="P1258" s="2" t="s">
        <v>26</v>
      </c>
      <c r="Q1258" s="2">
        <f t="shared" si="19"/>
        <v>1</v>
      </c>
    </row>
    <row r="1259" spans="1:17" x14ac:dyDescent="0.25">
      <c r="A1259" s="2" t="s">
        <v>3511</v>
      </c>
      <c r="B1259" s="2" t="s">
        <v>3512</v>
      </c>
      <c r="C1259" s="2" t="s">
        <v>19</v>
      </c>
      <c r="D1259" s="2" t="s">
        <v>211</v>
      </c>
      <c r="E1259" s="2" t="s">
        <v>1002</v>
      </c>
      <c r="F1259" s="2">
        <v>45.92</v>
      </c>
      <c r="G1259" s="2" t="s">
        <v>995</v>
      </c>
      <c r="H1259" s="2">
        <v>40</v>
      </c>
      <c r="I1259" s="2">
        <v>18.368000000000002</v>
      </c>
      <c r="J1259" s="2" t="s">
        <v>1291</v>
      </c>
      <c r="K1259" s="20">
        <v>45362</v>
      </c>
      <c r="L1259" s="20">
        <v>45366</v>
      </c>
      <c r="M1259" s="20"/>
      <c r="O1259" s="2" t="s">
        <v>72</v>
      </c>
      <c r="P1259" s="2" t="s">
        <v>73</v>
      </c>
      <c r="Q1259" s="2">
        <f t="shared" si="19"/>
        <v>1</v>
      </c>
    </row>
    <row r="1260" spans="1:17" x14ac:dyDescent="0.25">
      <c r="A1260" s="2" t="s">
        <v>3514</v>
      </c>
      <c r="B1260" s="2" t="s">
        <v>3515</v>
      </c>
      <c r="C1260" s="2" t="s">
        <v>19</v>
      </c>
      <c r="D1260" s="2" t="s">
        <v>86</v>
      </c>
      <c r="E1260" s="2" t="s">
        <v>1006</v>
      </c>
      <c r="F1260" s="2">
        <v>1158.1199999999999</v>
      </c>
      <c r="G1260" s="2" t="s">
        <v>995</v>
      </c>
      <c r="H1260" s="2">
        <v>0</v>
      </c>
      <c r="I1260" s="2">
        <v>0</v>
      </c>
      <c r="J1260" s="2" t="s">
        <v>1291</v>
      </c>
      <c r="K1260" s="20">
        <v>45363</v>
      </c>
      <c r="L1260" s="20">
        <v>45369</v>
      </c>
      <c r="M1260" s="20"/>
      <c r="O1260" s="2" t="s">
        <v>54</v>
      </c>
      <c r="P1260" s="2" t="s">
        <v>26</v>
      </c>
      <c r="Q1260" s="2">
        <f t="shared" si="19"/>
        <v>1</v>
      </c>
    </row>
    <row r="1261" spans="1:17" x14ac:dyDescent="0.25">
      <c r="A1261" s="2" t="s">
        <v>3516</v>
      </c>
      <c r="B1261" s="2" t="s">
        <v>3517</v>
      </c>
      <c r="C1261" s="2" t="s">
        <v>30</v>
      </c>
      <c r="D1261" s="2" t="s">
        <v>77</v>
      </c>
      <c r="E1261" s="2" t="s">
        <v>1006</v>
      </c>
      <c r="F1261" s="2">
        <v>10.848000000000001</v>
      </c>
      <c r="G1261" s="2" t="s">
        <v>995</v>
      </c>
      <c r="H1261" s="2">
        <v>0</v>
      </c>
      <c r="I1261" s="2">
        <v>0</v>
      </c>
      <c r="J1261" s="2" t="s">
        <v>1291</v>
      </c>
      <c r="K1261" s="20">
        <v>45364</v>
      </c>
      <c r="L1261" s="20">
        <v>45369</v>
      </c>
      <c r="M1261" s="20"/>
      <c r="O1261" s="2" t="s">
        <v>67</v>
      </c>
      <c r="P1261" s="2" t="s">
        <v>68</v>
      </c>
      <c r="Q1261" s="2">
        <f t="shared" si="19"/>
        <v>1</v>
      </c>
    </row>
    <row r="1262" spans="1:17" x14ac:dyDescent="0.25">
      <c r="A1262" s="2" t="s">
        <v>3519</v>
      </c>
      <c r="B1262" s="2" t="s">
        <v>3520</v>
      </c>
      <c r="C1262" s="2" t="s">
        <v>30</v>
      </c>
      <c r="D1262" s="2" t="s">
        <v>96</v>
      </c>
      <c r="E1262" s="2" t="s">
        <v>1006</v>
      </c>
      <c r="F1262" s="2">
        <v>43.6</v>
      </c>
      <c r="G1262" s="2" t="s">
        <v>995</v>
      </c>
      <c r="H1262" s="2">
        <v>0</v>
      </c>
      <c r="I1262" s="2">
        <v>0</v>
      </c>
      <c r="J1262" s="2" t="s">
        <v>1291</v>
      </c>
      <c r="K1262" s="20">
        <v>45364</v>
      </c>
      <c r="L1262" s="20">
        <v>45369</v>
      </c>
      <c r="M1262" s="20"/>
      <c r="O1262" s="2" t="s">
        <v>33</v>
      </c>
      <c r="P1262" s="2" t="s">
        <v>34</v>
      </c>
      <c r="Q1262" s="2">
        <f t="shared" si="19"/>
        <v>1</v>
      </c>
    </row>
    <row r="1263" spans="1:17" x14ac:dyDescent="0.25">
      <c r="A1263" s="2" t="s">
        <v>3522</v>
      </c>
      <c r="B1263" s="2" t="s">
        <v>3523</v>
      </c>
      <c r="C1263" s="2" t="s">
        <v>19</v>
      </c>
      <c r="D1263" s="2" t="s">
        <v>115</v>
      </c>
      <c r="E1263" s="2" t="s">
        <v>1002</v>
      </c>
      <c r="F1263" s="2">
        <v>82.95</v>
      </c>
      <c r="G1263" s="2" t="s">
        <v>995</v>
      </c>
      <c r="H1263" s="2">
        <v>40</v>
      </c>
      <c r="I1263" s="2">
        <v>33.18</v>
      </c>
      <c r="J1263" s="2" t="s">
        <v>1291</v>
      </c>
      <c r="K1263" s="20">
        <v>45365</v>
      </c>
      <c r="L1263" s="20">
        <v>45369</v>
      </c>
      <c r="M1263" s="20"/>
      <c r="O1263" s="2" t="s">
        <v>97</v>
      </c>
      <c r="P1263" s="2" t="s">
        <v>68</v>
      </c>
      <c r="Q1263" s="2">
        <f t="shared" si="19"/>
        <v>1</v>
      </c>
    </row>
    <row r="1264" spans="1:17" x14ac:dyDescent="0.25">
      <c r="A1264" s="2" t="s">
        <v>3525</v>
      </c>
      <c r="B1264" s="2" t="s">
        <v>3526</v>
      </c>
      <c r="C1264" s="2" t="s">
        <v>30</v>
      </c>
      <c r="D1264" s="2" t="s">
        <v>51</v>
      </c>
      <c r="E1264" s="2" t="s">
        <v>21</v>
      </c>
      <c r="F1264" s="2">
        <v>1358.866</v>
      </c>
      <c r="G1264" s="2" t="s">
        <v>22</v>
      </c>
      <c r="H1264" s="2">
        <v>0</v>
      </c>
      <c r="I1264" s="2">
        <v>0</v>
      </c>
      <c r="J1264" s="2" t="s">
        <v>1291</v>
      </c>
      <c r="K1264" s="20">
        <v>45365</v>
      </c>
      <c r="L1264" s="20">
        <v>45365</v>
      </c>
      <c r="M1264" s="20">
        <v>45365</v>
      </c>
      <c r="N1264" s="2" t="s">
        <v>63</v>
      </c>
      <c r="O1264" s="2" t="s">
        <v>146</v>
      </c>
      <c r="P1264" s="2" t="s">
        <v>73</v>
      </c>
      <c r="Q1264" s="2">
        <f t="shared" si="19"/>
        <v>1</v>
      </c>
    </row>
    <row r="1265" spans="1:17" x14ac:dyDescent="0.25">
      <c r="A1265" s="2" t="s">
        <v>3528</v>
      </c>
      <c r="B1265" s="2" t="s">
        <v>3529</v>
      </c>
      <c r="C1265" s="2" t="s">
        <v>30</v>
      </c>
      <c r="D1265" s="2" t="s">
        <v>186</v>
      </c>
      <c r="E1265" s="2" t="s">
        <v>21</v>
      </c>
      <c r="F1265" s="2">
        <v>315.041</v>
      </c>
      <c r="G1265" s="2" t="s">
        <v>22</v>
      </c>
      <c r="H1265" s="2">
        <v>0</v>
      </c>
      <c r="I1265" s="2">
        <v>0</v>
      </c>
      <c r="J1265" s="2" t="s">
        <v>1291</v>
      </c>
      <c r="K1265" s="20">
        <v>45368</v>
      </c>
      <c r="L1265" s="20">
        <v>45368</v>
      </c>
      <c r="M1265" s="20">
        <v>45368</v>
      </c>
      <c r="N1265" s="2" t="s">
        <v>53</v>
      </c>
      <c r="O1265" s="2" t="s">
        <v>40</v>
      </c>
      <c r="P1265" s="2" t="s">
        <v>34</v>
      </c>
      <c r="Q1265" s="2">
        <f t="shared" si="19"/>
        <v>1</v>
      </c>
    </row>
    <row r="1266" spans="1:17" x14ac:dyDescent="0.25">
      <c r="A1266" s="2" t="s">
        <v>3531</v>
      </c>
      <c r="B1266" s="2" t="s">
        <v>3532</v>
      </c>
      <c r="C1266" s="2" t="s">
        <v>19</v>
      </c>
      <c r="D1266" s="2" t="s">
        <v>58</v>
      </c>
      <c r="E1266" s="2" t="s">
        <v>1006</v>
      </c>
      <c r="F1266" s="2">
        <v>321.56799999999998</v>
      </c>
      <c r="G1266" s="2" t="s">
        <v>995</v>
      </c>
      <c r="H1266" s="2">
        <v>0</v>
      </c>
      <c r="I1266" s="2">
        <v>0</v>
      </c>
      <c r="J1266" s="2" t="s">
        <v>1291</v>
      </c>
      <c r="K1266" s="20">
        <v>45369</v>
      </c>
      <c r="L1266" s="20">
        <v>45373</v>
      </c>
      <c r="M1266" s="20"/>
      <c r="O1266" s="2" t="s">
        <v>67</v>
      </c>
      <c r="P1266" s="2" t="s">
        <v>68</v>
      </c>
      <c r="Q1266" s="2">
        <f t="shared" si="19"/>
        <v>1</v>
      </c>
    </row>
    <row r="1267" spans="1:17" x14ac:dyDescent="0.25">
      <c r="A1267" s="2" t="s">
        <v>3534</v>
      </c>
      <c r="B1267" s="2" t="s">
        <v>3535</v>
      </c>
      <c r="C1267" s="2" t="s">
        <v>19</v>
      </c>
      <c r="D1267" s="2" t="s">
        <v>20</v>
      </c>
      <c r="E1267" s="2" t="s">
        <v>1006</v>
      </c>
      <c r="F1267" s="2">
        <v>61.792000000000002</v>
      </c>
      <c r="G1267" s="2" t="s">
        <v>995</v>
      </c>
      <c r="H1267" s="2">
        <v>0</v>
      </c>
      <c r="I1267" s="2">
        <v>0</v>
      </c>
      <c r="J1267" s="2" t="s">
        <v>1291</v>
      </c>
      <c r="K1267" s="20">
        <v>45370</v>
      </c>
      <c r="L1267" s="20">
        <v>45372</v>
      </c>
      <c r="M1267" s="20"/>
      <c r="O1267" s="2" t="s">
        <v>146</v>
      </c>
      <c r="P1267" s="2" t="s">
        <v>73</v>
      </c>
      <c r="Q1267" s="2">
        <f t="shared" si="19"/>
        <v>1</v>
      </c>
    </row>
    <row r="1268" spans="1:17" x14ac:dyDescent="0.25">
      <c r="A1268" s="2" t="s">
        <v>3537</v>
      </c>
      <c r="B1268" s="2" t="s">
        <v>3538</v>
      </c>
      <c r="C1268" s="2" t="s">
        <v>19</v>
      </c>
      <c r="D1268" s="2" t="s">
        <v>51</v>
      </c>
      <c r="E1268" s="2" t="s">
        <v>1006</v>
      </c>
      <c r="F1268" s="2">
        <v>139.91999999999999</v>
      </c>
      <c r="G1268" s="2" t="s">
        <v>995</v>
      </c>
      <c r="H1268" s="2">
        <v>0</v>
      </c>
      <c r="I1268" s="2">
        <v>0</v>
      </c>
      <c r="J1268" s="2" t="s">
        <v>1291</v>
      </c>
      <c r="K1268" s="20">
        <v>45370</v>
      </c>
      <c r="L1268" s="20">
        <v>45376</v>
      </c>
      <c r="M1268" s="20"/>
      <c r="O1268" s="2" t="s">
        <v>97</v>
      </c>
      <c r="P1268" s="2" t="s">
        <v>68</v>
      </c>
      <c r="Q1268" s="2">
        <f t="shared" si="19"/>
        <v>1</v>
      </c>
    </row>
    <row r="1269" spans="1:17" x14ac:dyDescent="0.25">
      <c r="A1269" s="2" t="s">
        <v>3540</v>
      </c>
      <c r="B1269" s="2" t="s">
        <v>3541</v>
      </c>
      <c r="C1269" s="2" t="s">
        <v>30</v>
      </c>
      <c r="D1269" s="2" t="s">
        <v>20</v>
      </c>
      <c r="E1269" s="2" t="s">
        <v>1002</v>
      </c>
      <c r="F1269" s="2">
        <v>119.94</v>
      </c>
      <c r="G1269" s="2" t="s">
        <v>995</v>
      </c>
      <c r="H1269" s="2">
        <v>40</v>
      </c>
      <c r="I1269" s="2">
        <v>47.975999999999999</v>
      </c>
      <c r="J1269" s="2" t="s">
        <v>1291</v>
      </c>
      <c r="K1269" s="20">
        <v>45371</v>
      </c>
      <c r="L1269" s="20">
        <v>45376</v>
      </c>
      <c r="M1269" s="20"/>
      <c r="O1269" s="2" t="s">
        <v>54</v>
      </c>
      <c r="P1269" s="2" t="s">
        <v>26</v>
      </c>
      <c r="Q1269" s="2">
        <f t="shared" si="19"/>
        <v>1</v>
      </c>
    </row>
    <row r="1270" spans="1:17" x14ac:dyDescent="0.25">
      <c r="A1270" s="2" t="s">
        <v>3543</v>
      </c>
      <c r="B1270" s="2" t="s">
        <v>3544</v>
      </c>
      <c r="C1270" s="2" t="s">
        <v>30</v>
      </c>
      <c r="D1270" s="2" t="s">
        <v>20</v>
      </c>
      <c r="E1270" s="2" t="s">
        <v>994</v>
      </c>
      <c r="F1270" s="2">
        <v>279.95999999999998</v>
      </c>
      <c r="G1270" s="2" t="s">
        <v>995</v>
      </c>
      <c r="H1270" s="2">
        <v>15</v>
      </c>
      <c r="I1270" s="2">
        <v>41.993999999999993</v>
      </c>
      <c r="J1270" s="2" t="s">
        <v>1291</v>
      </c>
      <c r="K1270" s="20">
        <v>45372</v>
      </c>
      <c r="L1270" s="20">
        <v>45376</v>
      </c>
      <c r="M1270" s="20"/>
      <c r="O1270" s="2" t="s">
        <v>82</v>
      </c>
      <c r="P1270" s="2" t="s">
        <v>47</v>
      </c>
      <c r="Q1270" s="2">
        <f t="shared" si="19"/>
        <v>1</v>
      </c>
    </row>
    <row r="1271" spans="1:17" x14ac:dyDescent="0.25">
      <c r="A1271" s="2" t="s">
        <v>3545</v>
      </c>
      <c r="B1271" s="2" t="s">
        <v>3546</v>
      </c>
      <c r="C1271" s="2" t="s">
        <v>30</v>
      </c>
      <c r="D1271" s="2" t="s">
        <v>370</v>
      </c>
      <c r="E1271" s="2" t="s">
        <v>1006</v>
      </c>
      <c r="F1271" s="2">
        <v>95.94</v>
      </c>
      <c r="G1271" s="2" t="s">
        <v>995</v>
      </c>
      <c r="H1271" s="2">
        <v>0</v>
      </c>
      <c r="I1271" s="2">
        <v>0</v>
      </c>
      <c r="J1271" s="2" t="s">
        <v>1291</v>
      </c>
      <c r="K1271" s="20">
        <v>45375</v>
      </c>
      <c r="L1271" s="20">
        <v>45379</v>
      </c>
      <c r="M1271" s="20"/>
      <c r="O1271" s="2" t="s">
        <v>146</v>
      </c>
      <c r="P1271" s="2" t="s">
        <v>73</v>
      </c>
      <c r="Q1271" s="2">
        <f t="shared" si="19"/>
        <v>1</v>
      </c>
    </row>
    <row r="1272" spans="1:17" x14ac:dyDescent="0.25">
      <c r="A1272" s="2" t="s">
        <v>3547</v>
      </c>
      <c r="B1272" s="2" t="s">
        <v>3548</v>
      </c>
      <c r="C1272" s="2" t="s">
        <v>30</v>
      </c>
      <c r="D1272" s="2" t="s">
        <v>186</v>
      </c>
      <c r="E1272" s="2" t="s">
        <v>1006</v>
      </c>
      <c r="F1272" s="2">
        <v>8.4480000000000004</v>
      </c>
      <c r="G1272" s="2" t="s">
        <v>995</v>
      </c>
      <c r="H1272" s="2">
        <v>0</v>
      </c>
      <c r="I1272" s="2">
        <v>0</v>
      </c>
      <c r="J1272" s="2" t="s">
        <v>1291</v>
      </c>
      <c r="K1272" s="20">
        <v>45375</v>
      </c>
      <c r="L1272" s="20">
        <v>45378</v>
      </c>
      <c r="M1272" s="20"/>
      <c r="O1272" s="2" t="s">
        <v>72</v>
      </c>
      <c r="P1272" s="2" t="s">
        <v>73</v>
      </c>
      <c r="Q1272" s="2">
        <f t="shared" si="19"/>
        <v>1</v>
      </c>
    </row>
    <row r="1273" spans="1:17" x14ac:dyDescent="0.25">
      <c r="A1273" s="2" t="s">
        <v>3549</v>
      </c>
      <c r="B1273" s="2" t="s">
        <v>3550</v>
      </c>
      <c r="C1273" s="2" t="s">
        <v>19</v>
      </c>
      <c r="D1273" s="2" t="s">
        <v>58</v>
      </c>
      <c r="E1273" s="2" t="s">
        <v>1002</v>
      </c>
      <c r="F1273" s="2">
        <v>718.11599999999896</v>
      </c>
      <c r="G1273" s="2" t="s">
        <v>995</v>
      </c>
      <c r="H1273" s="2">
        <v>40</v>
      </c>
      <c r="I1273" s="2">
        <v>287.2463999999996</v>
      </c>
      <c r="J1273" s="2" t="s">
        <v>1291</v>
      </c>
      <c r="K1273" s="20">
        <v>45375</v>
      </c>
      <c r="L1273" s="20">
        <v>45377</v>
      </c>
      <c r="M1273" s="20"/>
      <c r="O1273" s="2" t="s">
        <v>82</v>
      </c>
      <c r="P1273" s="2" t="s">
        <v>47</v>
      </c>
      <c r="Q1273" s="2">
        <f t="shared" si="19"/>
        <v>1</v>
      </c>
    </row>
    <row r="1274" spans="1:17" x14ac:dyDescent="0.25">
      <c r="A1274" s="2" t="s">
        <v>3551</v>
      </c>
      <c r="B1274" s="2" t="s">
        <v>3552</v>
      </c>
      <c r="C1274" s="2" t="s">
        <v>19</v>
      </c>
      <c r="D1274" s="2" t="s">
        <v>150</v>
      </c>
      <c r="E1274" s="2" t="s">
        <v>21</v>
      </c>
      <c r="F1274" s="2">
        <v>14052.48</v>
      </c>
      <c r="G1274" s="2" t="s">
        <v>22</v>
      </c>
      <c r="H1274" s="2">
        <v>0</v>
      </c>
      <c r="I1274" s="2">
        <v>0</v>
      </c>
      <c r="J1274" s="2" t="s">
        <v>1291</v>
      </c>
      <c r="K1274" s="20">
        <v>45375</v>
      </c>
      <c r="L1274" s="20">
        <v>45377</v>
      </c>
      <c r="M1274" s="20">
        <v>45377</v>
      </c>
      <c r="N1274" s="2" t="s">
        <v>24</v>
      </c>
      <c r="O1274" s="2" t="s">
        <v>82</v>
      </c>
      <c r="P1274" s="2" t="s">
        <v>47</v>
      </c>
      <c r="Q1274" s="2">
        <f t="shared" si="19"/>
        <v>1</v>
      </c>
    </row>
    <row r="1275" spans="1:17" x14ac:dyDescent="0.25">
      <c r="A1275" s="2" t="s">
        <v>3553</v>
      </c>
      <c r="B1275" s="2" t="s">
        <v>3554</v>
      </c>
      <c r="C1275" s="2" t="s">
        <v>30</v>
      </c>
      <c r="D1275" s="2" t="s">
        <v>164</v>
      </c>
      <c r="E1275" s="2" t="s">
        <v>994</v>
      </c>
      <c r="F1275" s="2">
        <v>11.087999999999999</v>
      </c>
      <c r="G1275" s="2" t="s">
        <v>995</v>
      </c>
      <c r="H1275" s="2">
        <v>40</v>
      </c>
      <c r="I1275" s="2">
        <v>4.4352</v>
      </c>
      <c r="J1275" s="2" t="s">
        <v>1291</v>
      </c>
      <c r="K1275" s="20">
        <v>45378</v>
      </c>
      <c r="L1275" s="20">
        <v>45385</v>
      </c>
      <c r="M1275" s="20"/>
      <c r="O1275" s="2" t="s">
        <v>97</v>
      </c>
      <c r="P1275" s="2" t="s">
        <v>68</v>
      </c>
      <c r="Q1275" s="2">
        <f t="shared" si="19"/>
        <v>1</v>
      </c>
    </row>
    <row r="1276" spans="1:17" x14ac:dyDescent="0.25">
      <c r="A1276" s="2" t="s">
        <v>3555</v>
      </c>
      <c r="B1276" s="2" t="s">
        <v>3556</v>
      </c>
      <c r="C1276" s="2" t="s">
        <v>30</v>
      </c>
      <c r="D1276" s="2" t="s">
        <v>51</v>
      </c>
      <c r="E1276" s="2" t="s">
        <v>1002</v>
      </c>
      <c r="F1276" s="2">
        <v>54.9</v>
      </c>
      <c r="G1276" s="2" t="s">
        <v>995</v>
      </c>
      <c r="H1276" s="2">
        <v>40</v>
      </c>
      <c r="I1276" s="2">
        <v>21.96</v>
      </c>
      <c r="J1276" s="2" t="s">
        <v>1291</v>
      </c>
      <c r="K1276" s="20">
        <v>45378</v>
      </c>
      <c r="L1276" s="20">
        <v>45380</v>
      </c>
      <c r="M1276" s="20"/>
      <c r="O1276" s="2" t="s">
        <v>72</v>
      </c>
      <c r="P1276" s="2" t="s">
        <v>73</v>
      </c>
      <c r="Q1276" s="2">
        <f t="shared" si="19"/>
        <v>1</v>
      </c>
    </row>
    <row r="1277" spans="1:17" x14ac:dyDescent="0.25">
      <c r="A1277" s="2" t="s">
        <v>3557</v>
      </c>
      <c r="B1277" s="2" t="s">
        <v>3558</v>
      </c>
      <c r="C1277" s="2" t="s">
        <v>30</v>
      </c>
      <c r="D1277" s="2" t="s">
        <v>150</v>
      </c>
      <c r="E1277" s="2" t="s">
        <v>994</v>
      </c>
      <c r="F1277" s="2">
        <v>11.3639999999999</v>
      </c>
      <c r="G1277" s="2" t="s">
        <v>995</v>
      </c>
      <c r="H1277" s="2">
        <v>15</v>
      </c>
      <c r="I1277" s="2">
        <v>1.7045999999999848</v>
      </c>
      <c r="J1277" s="2" t="s">
        <v>1291</v>
      </c>
      <c r="K1277" s="20">
        <v>45380</v>
      </c>
      <c r="L1277" s="20">
        <v>45385</v>
      </c>
      <c r="M1277" s="20"/>
      <c r="O1277" s="2" t="s">
        <v>54</v>
      </c>
      <c r="P1277" s="2" t="s">
        <v>26</v>
      </c>
      <c r="Q1277" s="2">
        <f t="shared" si="19"/>
        <v>1</v>
      </c>
    </row>
    <row r="1278" spans="1:17" x14ac:dyDescent="0.25">
      <c r="A1278" s="2" t="s">
        <v>3560</v>
      </c>
      <c r="B1278" s="2" t="s">
        <v>3561</v>
      </c>
      <c r="C1278" s="2" t="s">
        <v>19</v>
      </c>
      <c r="D1278" s="2" t="s">
        <v>81</v>
      </c>
      <c r="E1278" s="2" t="s">
        <v>994</v>
      </c>
      <c r="F1278" s="2">
        <v>24</v>
      </c>
      <c r="G1278" s="2" t="s">
        <v>995</v>
      </c>
      <c r="H1278" s="2">
        <v>40</v>
      </c>
      <c r="I1278" s="2">
        <v>9.6000000000000014</v>
      </c>
      <c r="J1278" s="2" t="s">
        <v>1291</v>
      </c>
      <c r="K1278" s="20">
        <v>45382</v>
      </c>
      <c r="L1278" s="20">
        <v>45386</v>
      </c>
      <c r="M1278" s="20"/>
      <c r="O1278" s="2" t="s">
        <v>97</v>
      </c>
      <c r="P1278" s="2" t="s">
        <v>68</v>
      </c>
      <c r="Q1278" s="2">
        <f t="shared" si="19"/>
        <v>1</v>
      </c>
    </row>
    <row r="1279" spans="1:17" x14ac:dyDescent="0.25">
      <c r="A1279" s="2" t="s">
        <v>3563</v>
      </c>
      <c r="B1279" s="2" t="s">
        <v>3564</v>
      </c>
      <c r="C1279" s="2" t="s">
        <v>19</v>
      </c>
      <c r="D1279" s="2" t="s">
        <v>96</v>
      </c>
      <c r="E1279" s="2" t="s">
        <v>1002</v>
      </c>
      <c r="F1279" s="2">
        <v>50.351999999999997</v>
      </c>
      <c r="G1279" s="2" t="s">
        <v>995</v>
      </c>
      <c r="H1279" s="2">
        <v>40</v>
      </c>
      <c r="I1279" s="2">
        <v>20.140799999999999</v>
      </c>
      <c r="J1279" s="2" t="s">
        <v>1291</v>
      </c>
      <c r="K1279" s="20">
        <v>45382</v>
      </c>
      <c r="L1279" s="20">
        <v>45383</v>
      </c>
      <c r="M1279" s="20"/>
      <c r="O1279" s="2" t="s">
        <v>54</v>
      </c>
      <c r="P1279" s="2" t="s">
        <v>26</v>
      </c>
      <c r="Q1279" s="2">
        <f t="shared" si="19"/>
        <v>1</v>
      </c>
    </row>
    <row r="1280" spans="1:17" x14ac:dyDescent="0.25">
      <c r="A1280" s="2" t="s">
        <v>3565</v>
      </c>
      <c r="B1280" s="2" t="s">
        <v>3566</v>
      </c>
      <c r="C1280" s="2" t="s">
        <v>19</v>
      </c>
      <c r="D1280" s="2" t="s">
        <v>139</v>
      </c>
      <c r="E1280" s="2" t="s">
        <v>21</v>
      </c>
      <c r="F1280" s="2">
        <v>33.619999999999898</v>
      </c>
      <c r="G1280" s="2" t="s">
        <v>22</v>
      </c>
      <c r="H1280" s="2">
        <v>0</v>
      </c>
      <c r="I1280" s="2">
        <v>0</v>
      </c>
      <c r="J1280" s="2" t="s">
        <v>1291</v>
      </c>
      <c r="K1280" s="20">
        <v>45383</v>
      </c>
      <c r="L1280" s="20">
        <v>45385</v>
      </c>
      <c r="M1280" s="20">
        <v>45385</v>
      </c>
      <c r="N1280" s="2" t="s">
        <v>53</v>
      </c>
      <c r="O1280" s="2" t="s">
        <v>146</v>
      </c>
      <c r="P1280" s="2" t="s">
        <v>73</v>
      </c>
      <c r="Q1280" s="2">
        <f t="shared" si="19"/>
        <v>1</v>
      </c>
    </row>
    <row r="1281" spans="1:17" x14ac:dyDescent="0.25">
      <c r="A1281" s="2" t="s">
        <v>3568</v>
      </c>
      <c r="B1281" s="2" t="s">
        <v>3569</v>
      </c>
      <c r="C1281" s="2" t="s">
        <v>30</v>
      </c>
      <c r="D1281" s="2" t="s">
        <v>81</v>
      </c>
      <c r="E1281" s="2" t="s">
        <v>21</v>
      </c>
      <c r="F1281" s="2">
        <v>127.95</v>
      </c>
      <c r="G1281" s="2" t="s">
        <v>22</v>
      </c>
      <c r="H1281" s="2">
        <v>0</v>
      </c>
      <c r="I1281" s="2">
        <v>0</v>
      </c>
      <c r="J1281" s="2" t="s">
        <v>1291</v>
      </c>
      <c r="K1281" s="20">
        <v>45384</v>
      </c>
      <c r="L1281" s="20">
        <v>45386</v>
      </c>
      <c r="M1281" s="20">
        <v>45386</v>
      </c>
      <c r="N1281" s="2" t="s">
        <v>24</v>
      </c>
      <c r="O1281" s="2" t="s">
        <v>97</v>
      </c>
      <c r="P1281" s="2" t="s">
        <v>68</v>
      </c>
      <c r="Q1281" s="2">
        <f t="shared" si="19"/>
        <v>1</v>
      </c>
    </row>
    <row r="1282" spans="1:17" x14ac:dyDescent="0.25">
      <c r="A1282" s="2" t="s">
        <v>3570</v>
      </c>
      <c r="B1282" s="2" t="s">
        <v>3571</v>
      </c>
      <c r="C1282" s="2" t="s">
        <v>19</v>
      </c>
      <c r="D1282" s="2" t="s">
        <v>115</v>
      </c>
      <c r="E1282" s="2" t="s">
        <v>21</v>
      </c>
      <c r="F1282" s="2">
        <v>901.19999999999902</v>
      </c>
      <c r="G1282" s="2" t="s">
        <v>22</v>
      </c>
      <c r="H1282" s="2">
        <v>0</v>
      </c>
      <c r="I1282" s="2">
        <v>0</v>
      </c>
      <c r="J1282" s="2" t="s">
        <v>1291</v>
      </c>
      <c r="K1282" s="20">
        <v>45396</v>
      </c>
      <c r="L1282" s="20">
        <v>45398</v>
      </c>
      <c r="M1282" s="20">
        <v>45398</v>
      </c>
      <c r="N1282" s="2" t="s">
        <v>63</v>
      </c>
      <c r="O1282" s="2" t="s">
        <v>33</v>
      </c>
      <c r="P1282" s="2" t="s">
        <v>34</v>
      </c>
      <c r="Q1282" s="2">
        <f t="shared" ref="Q1282:Q1345" si="20">COUNTIF($A$2:$A$1778,A1282)</f>
        <v>1</v>
      </c>
    </row>
    <row r="1283" spans="1:17" x14ac:dyDescent="0.25">
      <c r="A1283" s="2" t="s">
        <v>3572</v>
      </c>
      <c r="B1283" s="2" t="s">
        <v>3573</v>
      </c>
      <c r="C1283" s="2" t="s">
        <v>19</v>
      </c>
      <c r="D1283" s="2" t="s">
        <v>62</v>
      </c>
      <c r="E1283" s="2" t="s">
        <v>21</v>
      </c>
      <c r="F1283" s="2">
        <v>210.17599999999999</v>
      </c>
      <c r="G1283" s="2" t="s">
        <v>22</v>
      </c>
      <c r="H1283" s="2">
        <v>0</v>
      </c>
      <c r="I1283" s="2">
        <v>0</v>
      </c>
      <c r="J1283" s="2" t="s">
        <v>1291</v>
      </c>
      <c r="K1283" s="20">
        <v>43986</v>
      </c>
      <c r="L1283" s="20">
        <v>43989</v>
      </c>
      <c r="M1283" s="20">
        <v>43989</v>
      </c>
      <c r="N1283" s="2" t="s">
        <v>39</v>
      </c>
      <c r="O1283" s="2" t="s">
        <v>40</v>
      </c>
      <c r="P1283" s="2" t="s">
        <v>34</v>
      </c>
      <c r="Q1283" s="2">
        <f t="shared" si="20"/>
        <v>1</v>
      </c>
    </row>
    <row r="1284" spans="1:17" x14ac:dyDescent="0.25">
      <c r="A1284" s="2" t="s">
        <v>3574</v>
      </c>
      <c r="B1284" s="2" t="s">
        <v>3575</v>
      </c>
      <c r="C1284" s="2" t="s">
        <v>30</v>
      </c>
      <c r="D1284" s="2" t="s">
        <v>126</v>
      </c>
      <c r="E1284" s="2" t="s">
        <v>21</v>
      </c>
      <c r="F1284" s="2">
        <v>589.41</v>
      </c>
      <c r="G1284" s="2" t="s">
        <v>22</v>
      </c>
      <c r="H1284" s="2">
        <v>0</v>
      </c>
      <c r="I1284" s="2">
        <v>0</v>
      </c>
      <c r="J1284" s="2" t="s">
        <v>1291</v>
      </c>
      <c r="K1284" s="20">
        <v>44109</v>
      </c>
      <c r="L1284" s="20">
        <v>44111</v>
      </c>
      <c r="M1284" s="20">
        <v>44111</v>
      </c>
      <c r="N1284" s="2" t="s">
        <v>39</v>
      </c>
      <c r="O1284" s="2" t="s">
        <v>46</v>
      </c>
      <c r="P1284" s="2" t="s">
        <v>47</v>
      </c>
      <c r="Q1284" s="2">
        <f t="shared" si="20"/>
        <v>1</v>
      </c>
    </row>
    <row r="1285" spans="1:17" x14ac:dyDescent="0.25">
      <c r="A1285" s="2" t="s">
        <v>3577</v>
      </c>
      <c r="B1285" s="2" t="s">
        <v>3578</v>
      </c>
      <c r="C1285" s="2" t="s">
        <v>30</v>
      </c>
      <c r="D1285" s="2" t="s">
        <v>150</v>
      </c>
      <c r="E1285" s="2" t="s">
        <v>21</v>
      </c>
      <c r="F1285" s="2">
        <v>426.94200000000001</v>
      </c>
      <c r="G1285" s="2" t="s">
        <v>22</v>
      </c>
      <c r="H1285" s="2">
        <v>0</v>
      </c>
      <c r="I1285" s="2">
        <v>0</v>
      </c>
      <c r="J1285" s="2" t="s">
        <v>52</v>
      </c>
      <c r="K1285" s="20">
        <v>44125</v>
      </c>
      <c r="L1285" s="20">
        <v>44128</v>
      </c>
      <c r="M1285" s="20">
        <v>44128</v>
      </c>
      <c r="N1285" s="2" t="s">
        <v>63</v>
      </c>
      <c r="O1285" s="2" t="s">
        <v>54</v>
      </c>
      <c r="P1285" s="2" t="s">
        <v>26</v>
      </c>
      <c r="Q1285" s="2">
        <f t="shared" si="20"/>
        <v>1</v>
      </c>
    </row>
    <row r="1286" spans="1:17" x14ac:dyDescent="0.25">
      <c r="A1286" s="12" t="s">
        <v>4774</v>
      </c>
      <c r="C1286" s="2" t="s">
        <v>30</v>
      </c>
      <c r="D1286" s="2" t="s">
        <v>58</v>
      </c>
      <c r="G1286" s="2" t="s">
        <v>22</v>
      </c>
      <c r="H1286" s="2">
        <v>0</v>
      </c>
      <c r="I1286" s="2">
        <v>0</v>
      </c>
      <c r="J1286" s="2" t="s">
        <v>1291</v>
      </c>
      <c r="K1286" s="20">
        <v>44120</v>
      </c>
      <c r="L1286" s="20">
        <v>44122</v>
      </c>
      <c r="M1286" s="20">
        <v>44122</v>
      </c>
      <c r="N1286" s="2" t="s">
        <v>63</v>
      </c>
      <c r="O1286" s="2" t="s">
        <v>33</v>
      </c>
      <c r="P1286" s="2" t="s">
        <v>34</v>
      </c>
      <c r="Q1286" s="2">
        <f t="shared" si="20"/>
        <v>8</v>
      </c>
    </row>
    <row r="1287" spans="1:17" x14ac:dyDescent="0.25">
      <c r="A1287" s="2" t="s">
        <v>3579</v>
      </c>
      <c r="B1287" s="2" t="s">
        <v>3580</v>
      </c>
      <c r="C1287" s="2" t="s">
        <v>30</v>
      </c>
      <c r="D1287" s="2" t="s">
        <v>186</v>
      </c>
      <c r="E1287" s="2" t="s">
        <v>21</v>
      </c>
      <c r="F1287" s="2">
        <v>12.78</v>
      </c>
      <c r="G1287" s="2" t="s">
        <v>22</v>
      </c>
      <c r="H1287" s="2">
        <v>0</v>
      </c>
      <c r="I1287" s="2">
        <v>0</v>
      </c>
      <c r="J1287" s="2" t="s">
        <v>101</v>
      </c>
      <c r="K1287" s="20">
        <v>43837</v>
      </c>
      <c r="L1287" s="20">
        <v>43838</v>
      </c>
      <c r="M1287" s="20">
        <v>43838</v>
      </c>
      <c r="N1287" s="2" t="s">
        <v>39</v>
      </c>
      <c r="O1287" s="2" t="s">
        <v>97</v>
      </c>
      <c r="P1287" s="2" t="s">
        <v>68</v>
      </c>
      <c r="Q1287" s="2">
        <f t="shared" si="20"/>
        <v>1</v>
      </c>
    </row>
    <row r="1288" spans="1:17" x14ac:dyDescent="0.25">
      <c r="A1288" s="2" t="s">
        <v>3582</v>
      </c>
      <c r="B1288" s="2" t="s">
        <v>3583</v>
      </c>
      <c r="C1288" s="2" t="s">
        <v>30</v>
      </c>
      <c r="D1288" s="2" t="s">
        <v>105</v>
      </c>
      <c r="E1288" s="2" t="s">
        <v>21</v>
      </c>
      <c r="F1288" s="2">
        <v>9.94</v>
      </c>
      <c r="G1288" s="2" t="s">
        <v>22</v>
      </c>
      <c r="H1288" s="2">
        <v>0</v>
      </c>
      <c r="I1288" s="2">
        <v>0</v>
      </c>
      <c r="J1288" s="2" t="s">
        <v>101</v>
      </c>
      <c r="K1288" s="20">
        <v>43842</v>
      </c>
      <c r="L1288" s="20">
        <v>43845</v>
      </c>
      <c r="M1288" s="20">
        <v>43845</v>
      </c>
      <c r="N1288" s="2" t="s">
        <v>53</v>
      </c>
      <c r="O1288" s="2" t="s">
        <v>82</v>
      </c>
      <c r="P1288" s="2" t="s">
        <v>47</v>
      </c>
      <c r="Q1288" s="2">
        <f t="shared" si="20"/>
        <v>1</v>
      </c>
    </row>
    <row r="1289" spans="1:17" x14ac:dyDescent="0.25">
      <c r="A1289" s="2" t="s">
        <v>3584</v>
      </c>
      <c r="B1289" s="2" t="s">
        <v>3585</v>
      </c>
      <c r="C1289" s="2" t="s">
        <v>30</v>
      </c>
      <c r="D1289" s="2" t="s">
        <v>115</v>
      </c>
      <c r="E1289" s="2" t="s">
        <v>21</v>
      </c>
      <c r="F1289" s="2">
        <v>290.666</v>
      </c>
      <c r="G1289" s="2" t="s">
        <v>22</v>
      </c>
      <c r="H1289" s="2">
        <v>0</v>
      </c>
      <c r="I1289" s="2">
        <v>0</v>
      </c>
      <c r="J1289" s="2" t="s">
        <v>101</v>
      </c>
      <c r="K1289" s="20">
        <v>43862</v>
      </c>
      <c r="L1289" s="20">
        <v>43864</v>
      </c>
      <c r="M1289" s="20">
        <v>43864</v>
      </c>
      <c r="N1289" s="2" t="s">
        <v>32</v>
      </c>
      <c r="O1289" s="2" t="s">
        <v>72</v>
      </c>
      <c r="P1289" s="2" t="s">
        <v>73</v>
      </c>
      <c r="Q1289" s="2">
        <f t="shared" si="20"/>
        <v>1</v>
      </c>
    </row>
    <row r="1290" spans="1:17" x14ac:dyDescent="0.25">
      <c r="A1290" s="2" t="s">
        <v>3587</v>
      </c>
      <c r="B1290" s="2" t="s">
        <v>3588</v>
      </c>
      <c r="C1290" s="2" t="s">
        <v>19</v>
      </c>
      <c r="D1290" s="2" t="s">
        <v>154</v>
      </c>
      <c r="E1290" s="2" t="s">
        <v>21</v>
      </c>
      <c r="F1290" s="2">
        <v>19.440000000000001</v>
      </c>
      <c r="G1290" s="2" t="s">
        <v>22</v>
      </c>
      <c r="H1290" s="2">
        <v>0</v>
      </c>
      <c r="I1290" s="2">
        <v>0</v>
      </c>
      <c r="J1290" s="2" t="s">
        <v>101</v>
      </c>
      <c r="K1290" s="20">
        <v>43884</v>
      </c>
      <c r="L1290" s="20">
        <v>43886</v>
      </c>
      <c r="M1290" s="20">
        <v>43886</v>
      </c>
      <c r="N1290" s="2" t="s">
        <v>53</v>
      </c>
      <c r="O1290" s="2" t="s">
        <v>82</v>
      </c>
      <c r="P1290" s="2" t="s">
        <v>47</v>
      </c>
      <c r="Q1290" s="2">
        <f t="shared" si="20"/>
        <v>1</v>
      </c>
    </row>
    <row r="1291" spans="1:17" x14ac:dyDescent="0.25">
      <c r="A1291" s="2" t="s">
        <v>3589</v>
      </c>
      <c r="B1291" s="2" t="s">
        <v>3590</v>
      </c>
      <c r="C1291" s="2" t="s">
        <v>19</v>
      </c>
      <c r="D1291" s="2" t="s">
        <v>44</v>
      </c>
      <c r="E1291" s="2" t="s">
        <v>21</v>
      </c>
      <c r="F1291" s="2">
        <v>309.59199999999998</v>
      </c>
      <c r="G1291" s="2" t="s">
        <v>22</v>
      </c>
      <c r="H1291" s="2">
        <v>0</v>
      </c>
      <c r="I1291" s="2">
        <v>0</v>
      </c>
      <c r="J1291" s="2" t="s">
        <v>101</v>
      </c>
      <c r="K1291" s="20">
        <v>43898</v>
      </c>
      <c r="L1291" s="20">
        <v>43899</v>
      </c>
      <c r="M1291" s="20">
        <v>43899</v>
      </c>
      <c r="N1291" s="2" t="s">
        <v>63</v>
      </c>
      <c r="O1291" s="2" t="s">
        <v>40</v>
      </c>
      <c r="P1291" s="2" t="s">
        <v>34</v>
      </c>
      <c r="Q1291" s="2">
        <f t="shared" si="20"/>
        <v>1</v>
      </c>
    </row>
    <row r="1292" spans="1:17" x14ac:dyDescent="0.25">
      <c r="A1292" s="2" t="s">
        <v>3592</v>
      </c>
      <c r="B1292" s="2" t="s">
        <v>3593</v>
      </c>
      <c r="C1292" s="2" t="s">
        <v>19</v>
      </c>
      <c r="D1292" s="2" t="s">
        <v>86</v>
      </c>
      <c r="E1292" s="2" t="s">
        <v>21</v>
      </c>
      <c r="F1292" s="2">
        <v>9.9120000000000008</v>
      </c>
      <c r="G1292" s="2" t="s">
        <v>22</v>
      </c>
      <c r="H1292" s="2">
        <v>0</v>
      </c>
      <c r="I1292" s="2">
        <v>0</v>
      </c>
      <c r="J1292" s="2" t="s">
        <v>101</v>
      </c>
      <c r="K1292" s="20">
        <v>43914</v>
      </c>
      <c r="L1292" s="20">
        <v>43917</v>
      </c>
      <c r="M1292" s="20">
        <v>43917</v>
      </c>
      <c r="N1292" s="2" t="s">
        <v>53</v>
      </c>
      <c r="O1292" s="2" t="s">
        <v>82</v>
      </c>
      <c r="P1292" s="2" t="s">
        <v>47</v>
      </c>
      <c r="Q1292" s="2">
        <f t="shared" si="20"/>
        <v>1</v>
      </c>
    </row>
    <row r="1293" spans="1:17" x14ac:dyDescent="0.25">
      <c r="A1293" s="2" t="s">
        <v>3594</v>
      </c>
      <c r="B1293" s="2" t="s">
        <v>3595</v>
      </c>
      <c r="C1293" s="2" t="s">
        <v>30</v>
      </c>
      <c r="D1293" s="2" t="s">
        <v>150</v>
      </c>
      <c r="E1293" s="2" t="s">
        <v>21</v>
      </c>
      <c r="F1293" s="2">
        <v>714.96600000000001</v>
      </c>
      <c r="G1293" s="2" t="s">
        <v>22</v>
      </c>
      <c r="H1293" s="2">
        <v>0</v>
      </c>
      <c r="I1293" s="2">
        <v>0</v>
      </c>
      <c r="J1293" s="2" t="s">
        <v>101</v>
      </c>
      <c r="K1293" s="20">
        <v>43921</v>
      </c>
      <c r="L1293" s="20">
        <v>43923</v>
      </c>
      <c r="M1293" s="20">
        <v>43923</v>
      </c>
      <c r="N1293" s="2" t="s">
        <v>39</v>
      </c>
      <c r="O1293" s="2" t="s">
        <v>46</v>
      </c>
      <c r="P1293" s="2" t="s">
        <v>47</v>
      </c>
      <c r="Q1293" s="2">
        <f t="shared" si="20"/>
        <v>1</v>
      </c>
    </row>
    <row r="1294" spans="1:17" x14ac:dyDescent="0.25">
      <c r="A1294" s="2" t="s">
        <v>3596</v>
      </c>
      <c r="B1294" s="2" t="s">
        <v>3597</v>
      </c>
      <c r="C1294" s="2" t="s">
        <v>19</v>
      </c>
      <c r="D1294" s="2" t="s">
        <v>51</v>
      </c>
      <c r="E1294" s="2" t="s">
        <v>21</v>
      </c>
      <c r="F1294" s="2">
        <v>281.85200000000003</v>
      </c>
      <c r="G1294" s="2" t="s">
        <v>22</v>
      </c>
      <c r="H1294" s="2">
        <v>0</v>
      </c>
      <c r="I1294" s="2">
        <v>0</v>
      </c>
      <c r="J1294" s="2" t="s">
        <v>101</v>
      </c>
      <c r="K1294" s="20">
        <v>43928</v>
      </c>
      <c r="L1294" s="20">
        <v>43930</v>
      </c>
      <c r="M1294" s="20">
        <v>43930</v>
      </c>
      <c r="N1294" s="2" t="s">
        <v>45</v>
      </c>
      <c r="O1294" s="2" t="s">
        <v>146</v>
      </c>
      <c r="P1294" s="2" t="s">
        <v>73</v>
      </c>
      <c r="Q1294" s="2">
        <f t="shared" si="20"/>
        <v>1</v>
      </c>
    </row>
    <row r="1295" spans="1:17" x14ac:dyDescent="0.25">
      <c r="A1295" s="2" t="s">
        <v>3599</v>
      </c>
      <c r="B1295" s="2" t="s">
        <v>3600</v>
      </c>
      <c r="C1295" s="2" t="s">
        <v>30</v>
      </c>
      <c r="D1295" s="2" t="s">
        <v>186</v>
      </c>
      <c r="E1295" s="2" t="s">
        <v>21</v>
      </c>
      <c r="F1295" s="2">
        <v>8.9600000000000009</v>
      </c>
      <c r="G1295" s="2" t="s">
        <v>22</v>
      </c>
      <c r="H1295" s="2">
        <v>0</v>
      </c>
      <c r="I1295" s="2">
        <v>0</v>
      </c>
      <c r="J1295" s="2" t="s">
        <v>101</v>
      </c>
      <c r="K1295" s="20">
        <v>43929</v>
      </c>
      <c r="L1295" s="20">
        <v>43932</v>
      </c>
      <c r="M1295" s="20">
        <v>43932</v>
      </c>
      <c r="N1295" s="2" t="s">
        <v>39</v>
      </c>
      <c r="O1295" s="2" t="s">
        <v>33</v>
      </c>
      <c r="P1295" s="2" t="s">
        <v>34</v>
      </c>
      <c r="Q1295" s="2">
        <f t="shared" si="20"/>
        <v>1</v>
      </c>
    </row>
    <row r="1296" spans="1:17" x14ac:dyDescent="0.25">
      <c r="A1296" s="2" t="s">
        <v>3601</v>
      </c>
      <c r="B1296" s="2" t="s">
        <v>3602</v>
      </c>
      <c r="C1296" s="2" t="s">
        <v>30</v>
      </c>
      <c r="D1296" s="2" t="s">
        <v>81</v>
      </c>
      <c r="E1296" s="2" t="s">
        <v>21</v>
      </c>
      <c r="F1296" s="2">
        <v>1679.96</v>
      </c>
      <c r="G1296" s="2" t="s">
        <v>22</v>
      </c>
      <c r="H1296" s="2">
        <v>0</v>
      </c>
      <c r="I1296" s="2">
        <v>0</v>
      </c>
      <c r="J1296" s="2" t="s">
        <v>101</v>
      </c>
      <c r="K1296" s="20">
        <v>43950</v>
      </c>
      <c r="L1296" s="20">
        <v>43952</v>
      </c>
      <c r="M1296" s="20">
        <v>43952</v>
      </c>
      <c r="N1296" s="2" t="s">
        <v>45</v>
      </c>
      <c r="O1296" s="2" t="s">
        <v>67</v>
      </c>
      <c r="P1296" s="2" t="s">
        <v>68</v>
      </c>
      <c r="Q1296" s="2">
        <f t="shared" si="20"/>
        <v>1</v>
      </c>
    </row>
    <row r="1297" spans="1:17" x14ac:dyDescent="0.25">
      <c r="A1297" s="2" t="s">
        <v>3604</v>
      </c>
      <c r="B1297" s="2" t="s">
        <v>3605</v>
      </c>
      <c r="C1297" s="2" t="s">
        <v>30</v>
      </c>
      <c r="D1297" s="2" t="s">
        <v>38</v>
      </c>
      <c r="E1297" s="2" t="s">
        <v>21</v>
      </c>
      <c r="F1297" s="2">
        <v>17.459999999999901</v>
      </c>
      <c r="G1297" s="2" t="s">
        <v>22</v>
      </c>
      <c r="H1297" s="2">
        <v>0</v>
      </c>
      <c r="I1297" s="2">
        <v>0</v>
      </c>
      <c r="J1297" s="2" t="s">
        <v>101</v>
      </c>
      <c r="K1297" s="20">
        <v>43979</v>
      </c>
      <c r="L1297" s="20">
        <v>43982</v>
      </c>
      <c r="M1297" s="20">
        <v>43982</v>
      </c>
      <c r="N1297" s="2" t="s">
        <v>53</v>
      </c>
      <c r="O1297" s="2" t="s">
        <v>97</v>
      </c>
      <c r="P1297" s="2" t="s">
        <v>68</v>
      </c>
      <c r="Q1297" s="2">
        <f t="shared" si="20"/>
        <v>1</v>
      </c>
    </row>
    <row r="1298" spans="1:17" x14ac:dyDescent="0.25">
      <c r="A1298" s="2" t="s">
        <v>3607</v>
      </c>
      <c r="B1298" s="2" t="s">
        <v>3608</v>
      </c>
      <c r="C1298" s="2" t="s">
        <v>19</v>
      </c>
      <c r="D1298" s="2" t="s">
        <v>139</v>
      </c>
      <c r="E1298" s="2" t="s">
        <v>21</v>
      </c>
      <c r="F1298" s="2">
        <v>5.2480000000000002</v>
      </c>
      <c r="G1298" s="2" t="s">
        <v>22</v>
      </c>
      <c r="H1298" s="2">
        <v>0</v>
      </c>
      <c r="I1298" s="2">
        <v>0</v>
      </c>
      <c r="J1298" s="2" t="s">
        <v>101</v>
      </c>
      <c r="K1298" s="20">
        <v>44013</v>
      </c>
      <c r="L1298" s="20">
        <v>44015</v>
      </c>
      <c r="M1298" s="20">
        <v>44015</v>
      </c>
      <c r="N1298" s="2" t="s">
        <v>45</v>
      </c>
      <c r="O1298" s="2" t="s">
        <v>67</v>
      </c>
      <c r="P1298" s="2" t="s">
        <v>68</v>
      </c>
      <c r="Q1298" s="2">
        <f t="shared" si="20"/>
        <v>1</v>
      </c>
    </row>
    <row r="1299" spans="1:17" x14ac:dyDescent="0.25">
      <c r="A1299" s="2" t="s">
        <v>3610</v>
      </c>
      <c r="B1299" s="2" t="s">
        <v>3611</v>
      </c>
      <c r="C1299" s="2" t="s">
        <v>19</v>
      </c>
      <c r="D1299" s="2" t="s">
        <v>58</v>
      </c>
      <c r="E1299" s="2" t="s">
        <v>21</v>
      </c>
      <c r="F1299" s="2">
        <v>209.96800000000002</v>
      </c>
      <c r="G1299" s="2" t="s">
        <v>22</v>
      </c>
      <c r="H1299" s="2">
        <v>0</v>
      </c>
      <c r="I1299" s="2">
        <v>0</v>
      </c>
      <c r="J1299" s="2" t="s">
        <v>101</v>
      </c>
      <c r="K1299" s="20">
        <v>44017</v>
      </c>
      <c r="L1299" s="20">
        <v>44020</v>
      </c>
      <c r="M1299" s="20">
        <v>44020</v>
      </c>
      <c r="N1299" s="2" t="s">
        <v>63</v>
      </c>
      <c r="O1299" s="2" t="s">
        <v>72</v>
      </c>
      <c r="P1299" s="2" t="s">
        <v>73</v>
      </c>
      <c r="Q1299" s="2">
        <f t="shared" si="20"/>
        <v>1</v>
      </c>
    </row>
    <row r="1300" spans="1:17" x14ac:dyDescent="0.25">
      <c r="A1300" s="2" t="s">
        <v>3613</v>
      </c>
      <c r="B1300" s="2" t="s">
        <v>3614</v>
      </c>
      <c r="C1300" s="2" t="s">
        <v>19</v>
      </c>
      <c r="D1300" s="2" t="s">
        <v>126</v>
      </c>
      <c r="E1300" s="2" t="s">
        <v>21</v>
      </c>
      <c r="F1300" s="2">
        <v>63.881999999999998</v>
      </c>
      <c r="G1300" s="2" t="s">
        <v>22</v>
      </c>
      <c r="H1300" s="2">
        <v>0</v>
      </c>
      <c r="I1300" s="2">
        <v>0</v>
      </c>
      <c r="J1300" s="2" t="s">
        <v>101</v>
      </c>
      <c r="K1300" s="20">
        <v>44021</v>
      </c>
      <c r="L1300" s="20">
        <v>44023</v>
      </c>
      <c r="M1300" s="20">
        <v>44023</v>
      </c>
      <c r="N1300" s="2" t="s">
        <v>32</v>
      </c>
      <c r="O1300" s="2" t="s">
        <v>25</v>
      </c>
      <c r="P1300" s="2" t="s">
        <v>26</v>
      </c>
      <c r="Q1300" s="2">
        <f t="shared" si="20"/>
        <v>1</v>
      </c>
    </row>
    <row r="1301" spans="1:17" x14ac:dyDescent="0.25">
      <c r="A1301" s="2" t="s">
        <v>3616</v>
      </c>
      <c r="B1301" s="2" t="s">
        <v>3617</v>
      </c>
      <c r="C1301" s="2" t="s">
        <v>19</v>
      </c>
      <c r="D1301" s="2" t="s">
        <v>139</v>
      </c>
      <c r="E1301" s="2" t="s">
        <v>21</v>
      </c>
      <c r="F1301" s="2">
        <v>164.85</v>
      </c>
      <c r="G1301" s="2" t="s">
        <v>22</v>
      </c>
      <c r="H1301" s="2">
        <v>0</v>
      </c>
      <c r="I1301" s="2">
        <v>0</v>
      </c>
      <c r="J1301" s="2" t="s">
        <v>101</v>
      </c>
      <c r="K1301" s="20">
        <v>44024</v>
      </c>
      <c r="L1301" s="20">
        <v>44027</v>
      </c>
      <c r="M1301" s="20">
        <v>44027</v>
      </c>
      <c r="N1301" s="2" t="s">
        <v>39</v>
      </c>
      <c r="O1301" s="2" t="s">
        <v>82</v>
      </c>
      <c r="P1301" s="2" t="s">
        <v>47</v>
      </c>
      <c r="Q1301" s="2">
        <f t="shared" si="20"/>
        <v>1</v>
      </c>
    </row>
    <row r="1302" spans="1:17" x14ac:dyDescent="0.25">
      <c r="A1302" s="2" t="s">
        <v>3619</v>
      </c>
      <c r="B1302" s="2" t="s">
        <v>3620</v>
      </c>
      <c r="C1302" s="2" t="s">
        <v>30</v>
      </c>
      <c r="D1302" s="2" t="s">
        <v>44</v>
      </c>
      <c r="E1302" s="2" t="s">
        <v>21</v>
      </c>
      <c r="F1302" s="2">
        <v>99.98</v>
      </c>
      <c r="G1302" s="2" t="s">
        <v>22</v>
      </c>
      <c r="H1302" s="2">
        <v>0</v>
      </c>
      <c r="I1302" s="2">
        <v>0</v>
      </c>
      <c r="J1302" s="2" t="s">
        <v>101</v>
      </c>
      <c r="K1302" s="20">
        <v>44036</v>
      </c>
      <c r="L1302" s="20">
        <v>44037</v>
      </c>
      <c r="M1302" s="20">
        <v>44037</v>
      </c>
      <c r="N1302" s="2" t="s">
        <v>53</v>
      </c>
      <c r="O1302" s="2" t="s">
        <v>46</v>
      </c>
      <c r="P1302" s="2" t="s">
        <v>47</v>
      </c>
      <c r="Q1302" s="2">
        <f t="shared" si="20"/>
        <v>1</v>
      </c>
    </row>
    <row r="1303" spans="1:17" x14ac:dyDescent="0.25">
      <c r="A1303" s="2" t="s">
        <v>3622</v>
      </c>
      <c r="B1303" s="2" t="s">
        <v>3623</v>
      </c>
      <c r="C1303" s="2" t="s">
        <v>19</v>
      </c>
      <c r="D1303" s="2" t="s">
        <v>139</v>
      </c>
      <c r="E1303" s="2" t="s">
        <v>21</v>
      </c>
      <c r="F1303" s="2">
        <v>23.119999999999997</v>
      </c>
      <c r="G1303" s="2" t="s">
        <v>22</v>
      </c>
      <c r="H1303" s="2">
        <v>0</v>
      </c>
      <c r="I1303" s="2">
        <v>0</v>
      </c>
      <c r="J1303" s="2" t="s">
        <v>1291</v>
      </c>
      <c r="K1303" s="20">
        <v>44006</v>
      </c>
      <c r="L1303" s="20">
        <v>44009</v>
      </c>
      <c r="M1303" s="20">
        <v>44009</v>
      </c>
      <c r="N1303" s="2" t="s">
        <v>63</v>
      </c>
      <c r="O1303" s="2" t="s">
        <v>82</v>
      </c>
      <c r="P1303" s="2" t="s">
        <v>47</v>
      </c>
      <c r="Q1303" s="2">
        <f t="shared" si="20"/>
        <v>1</v>
      </c>
    </row>
    <row r="1304" spans="1:17" x14ac:dyDescent="0.25">
      <c r="A1304" s="2" t="s">
        <v>3624</v>
      </c>
      <c r="B1304" s="2" t="s">
        <v>3625</v>
      </c>
      <c r="C1304" s="2" t="s">
        <v>19</v>
      </c>
      <c r="D1304" s="2" t="s">
        <v>211</v>
      </c>
      <c r="E1304" s="2" t="s">
        <v>21</v>
      </c>
      <c r="F1304" s="2">
        <v>116.84999999999989</v>
      </c>
      <c r="G1304" s="2" t="s">
        <v>22</v>
      </c>
      <c r="H1304" s="2">
        <v>0</v>
      </c>
      <c r="I1304" s="2">
        <v>0</v>
      </c>
      <c r="J1304" s="2" t="s">
        <v>101</v>
      </c>
      <c r="K1304" s="20">
        <v>44083</v>
      </c>
      <c r="L1304" s="20">
        <v>44086</v>
      </c>
      <c r="M1304" s="20">
        <v>44086</v>
      </c>
      <c r="N1304" s="2" t="s">
        <v>63</v>
      </c>
      <c r="O1304" s="2" t="s">
        <v>46</v>
      </c>
      <c r="P1304" s="2" t="s">
        <v>47</v>
      </c>
      <c r="Q1304" s="2">
        <f t="shared" si="20"/>
        <v>1</v>
      </c>
    </row>
    <row r="1305" spans="1:17" x14ac:dyDescent="0.25">
      <c r="A1305" s="2" t="s">
        <v>3627</v>
      </c>
      <c r="B1305" s="2" t="s">
        <v>3628</v>
      </c>
      <c r="C1305" s="2" t="s">
        <v>30</v>
      </c>
      <c r="D1305" s="2" t="s">
        <v>150</v>
      </c>
      <c r="E1305" s="2" t="s">
        <v>21</v>
      </c>
      <c r="F1305" s="2">
        <v>6.57</v>
      </c>
      <c r="G1305" s="2" t="s">
        <v>22</v>
      </c>
      <c r="H1305" s="2">
        <v>0</v>
      </c>
      <c r="I1305" s="2">
        <v>0</v>
      </c>
      <c r="J1305" s="2" t="s">
        <v>101</v>
      </c>
      <c r="K1305" s="20">
        <v>44096</v>
      </c>
      <c r="L1305" s="20">
        <v>44099</v>
      </c>
      <c r="M1305" s="20">
        <v>44099</v>
      </c>
      <c r="N1305" s="2" t="s">
        <v>63</v>
      </c>
      <c r="O1305" s="2" t="s">
        <v>40</v>
      </c>
      <c r="P1305" s="2" t="s">
        <v>34</v>
      </c>
      <c r="Q1305" s="2">
        <f t="shared" si="20"/>
        <v>1</v>
      </c>
    </row>
    <row r="1306" spans="1:17" x14ac:dyDescent="0.25">
      <c r="A1306" s="2" t="s">
        <v>3629</v>
      </c>
      <c r="B1306" s="2" t="s">
        <v>3630</v>
      </c>
      <c r="C1306" s="2" t="s">
        <v>19</v>
      </c>
      <c r="D1306" s="2" t="s">
        <v>51</v>
      </c>
      <c r="E1306" s="2" t="s">
        <v>21</v>
      </c>
      <c r="F1306" s="2">
        <v>68.710000000000008</v>
      </c>
      <c r="G1306" s="2" t="s">
        <v>22</v>
      </c>
      <c r="H1306" s="2">
        <v>0</v>
      </c>
      <c r="I1306" s="2">
        <v>0</v>
      </c>
      <c r="J1306" s="2" t="s">
        <v>101</v>
      </c>
      <c r="K1306" s="20">
        <v>44096</v>
      </c>
      <c r="L1306" s="20">
        <v>44097</v>
      </c>
      <c r="M1306" s="20">
        <v>44097</v>
      </c>
      <c r="N1306" s="2" t="s">
        <v>39</v>
      </c>
      <c r="O1306" s="2" t="s">
        <v>146</v>
      </c>
      <c r="P1306" s="2" t="s">
        <v>73</v>
      </c>
      <c r="Q1306" s="2">
        <f t="shared" si="20"/>
        <v>1</v>
      </c>
    </row>
    <row r="1307" spans="1:17" x14ac:dyDescent="0.25">
      <c r="A1307" s="2" t="s">
        <v>3632</v>
      </c>
      <c r="B1307" s="2" t="s">
        <v>3633</v>
      </c>
      <c r="C1307" s="2" t="s">
        <v>19</v>
      </c>
      <c r="D1307" s="2" t="s">
        <v>370</v>
      </c>
      <c r="E1307" s="2" t="s">
        <v>21</v>
      </c>
      <c r="F1307" s="2">
        <v>36.1</v>
      </c>
      <c r="G1307" s="2" t="s">
        <v>22</v>
      </c>
      <c r="H1307" s="2">
        <v>0</v>
      </c>
      <c r="I1307" s="2">
        <v>0</v>
      </c>
      <c r="J1307" s="2" t="s">
        <v>101</v>
      </c>
      <c r="K1307" s="20">
        <v>44143</v>
      </c>
      <c r="L1307" s="20">
        <v>44144</v>
      </c>
      <c r="M1307" s="20">
        <v>44144</v>
      </c>
      <c r="N1307" s="2" t="s">
        <v>45</v>
      </c>
      <c r="O1307" s="2" t="s">
        <v>46</v>
      </c>
      <c r="P1307" s="2" t="s">
        <v>47</v>
      </c>
      <c r="Q1307" s="2">
        <f t="shared" si="20"/>
        <v>1</v>
      </c>
    </row>
    <row r="1308" spans="1:17" x14ac:dyDescent="0.25">
      <c r="A1308" s="2" t="s">
        <v>3634</v>
      </c>
      <c r="B1308" s="2" t="s">
        <v>3635</v>
      </c>
      <c r="C1308" s="2" t="s">
        <v>30</v>
      </c>
      <c r="D1308" s="2" t="s">
        <v>154</v>
      </c>
      <c r="E1308" s="2" t="s">
        <v>21</v>
      </c>
      <c r="F1308" s="2">
        <v>2158.694</v>
      </c>
      <c r="G1308" s="2" t="s">
        <v>22</v>
      </c>
      <c r="H1308" s="2">
        <v>0</v>
      </c>
      <c r="I1308" s="2">
        <v>0</v>
      </c>
      <c r="J1308" s="2" t="s">
        <v>101</v>
      </c>
      <c r="K1308" s="20">
        <v>44147</v>
      </c>
      <c r="L1308" s="20">
        <v>44149</v>
      </c>
      <c r="M1308" s="20">
        <v>44149</v>
      </c>
      <c r="N1308" s="2" t="s">
        <v>53</v>
      </c>
      <c r="O1308" s="2" t="s">
        <v>67</v>
      </c>
      <c r="P1308" s="2" t="s">
        <v>68</v>
      </c>
      <c r="Q1308" s="2">
        <f t="shared" si="20"/>
        <v>1</v>
      </c>
    </row>
    <row r="1309" spans="1:17" x14ac:dyDescent="0.25">
      <c r="A1309" s="2" t="s">
        <v>3637</v>
      </c>
      <c r="B1309" s="2" t="s">
        <v>3638</v>
      </c>
      <c r="C1309" s="2" t="s">
        <v>19</v>
      </c>
      <c r="D1309" s="2" t="s">
        <v>86</v>
      </c>
      <c r="E1309" s="2" t="s">
        <v>21</v>
      </c>
      <c r="F1309" s="2">
        <v>730.85249999999996</v>
      </c>
      <c r="G1309" s="2" t="s">
        <v>22</v>
      </c>
      <c r="H1309" s="2">
        <v>0</v>
      </c>
      <c r="I1309" s="2">
        <v>0</v>
      </c>
      <c r="J1309" s="2" t="s">
        <v>101</v>
      </c>
      <c r="K1309" s="20">
        <v>44152</v>
      </c>
      <c r="L1309" s="20">
        <v>44154</v>
      </c>
      <c r="M1309" s="20">
        <v>44154</v>
      </c>
      <c r="N1309" s="2" t="s">
        <v>63</v>
      </c>
      <c r="O1309" s="2" t="s">
        <v>46</v>
      </c>
      <c r="P1309" s="2" t="s">
        <v>47</v>
      </c>
      <c r="Q1309" s="2">
        <f t="shared" si="20"/>
        <v>1</v>
      </c>
    </row>
    <row r="1310" spans="1:17" x14ac:dyDescent="0.25">
      <c r="A1310" s="2" t="s">
        <v>3640</v>
      </c>
      <c r="B1310" s="2" t="s">
        <v>3641</v>
      </c>
      <c r="C1310" s="2" t="s">
        <v>30</v>
      </c>
      <c r="D1310" s="2" t="s">
        <v>96</v>
      </c>
      <c r="E1310" s="2" t="s">
        <v>21</v>
      </c>
      <c r="F1310" s="2">
        <v>1075.369999999999</v>
      </c>
      <c r="G1310" s="2" t="s">
        <v>22</v>
      </c>
      <c r="H1310" s="2">
        <v>0</v>
      </c>
      <c r="I1310" s="2">
        <v>0</v>
      </c>
      <c r="J1310" s="2" t="s">
        <v>101</v>
      </c>
      <c r="K1310" s="20">
        <v>44153</v>
      </c>
      <c r="L1310" s="20">
        <v>44155</v>
      </c>
      <c r="M1310" s="20">
        <v>44155</v>
      </c>
      <c r="N1310" s="2" t="s">
        <v>24</v>
      </c>
      <c r="O1310" s="2" t="s">
        <v>146</v>
      </c>
      <c r="P1310" s="2" t="s">
        <v>73</v>
      </c>
      <c r="Q1310" s="2">
        <f t="shared" si="20"/>
        <v>1</v>
      </c>
    </row>
    <row r="1311" spans="1:17" x14ac:dyDescent="0.25">
      <c r="A1311" s="2" t="s">
        <v>3642</v>
      </c>
      <c r="B1311" s="2" t="s">
        <v>3643</v>
      </c>
      <c r="C1311" s="2" t="s">
        <v>30</v>
      </c>
      <c r="D1311" s="2" t="s">
        <v>186</v>
      </c>
      <c r="E1311" s="2" t="s">
        <v>21</v>
      </c>
      <c r="F1311" s="2">
        <v>47.496000000000002</v>
      </c>
      <c r="G1311" s="2" t="s">
        <v>22</v>
      </c>
      <c r="H1311" s="2">
        <v>0</v>
      </c>
      <c r="I1311" s="2">
        <v>0</v>
      </c>
      <c r="J1311" s="2" t="s">
        <v>101</v>
      </c>
      <c r="K1311" s="20">
        <v>44155</v>
      </c>
      <c r="L1311" s="20">
        <v>44157</v>
      </c>
      <c r="M1311" s="20">
        <v>44157</v>
      </c>
      <c r="N1311" s="2" t="s">
        <v>32</v>
      </c>
      <c r="O1311" s="2" t="s">
        <v>54</v>
      </c>
      <c r="P1311" s="2" t="s">
        <v>26</v>
      </c>
      <c r="Q1311" s="2">
        <f t="shared" si="20"/>
        <v>1</v>
      </c>
    </row>
    <row r="1312" spans="1:17" x14ac:dyDescent="0.25">
      <c r="A1312" s="2" t="s">
        <v>3645</v>
      </c>
      <c r="B1312" s="2" t="s">
        <v>3646</v>
      </c>
      <c r="C1312" s="2" t="s">
        <v>30</v>
      </c>
      <c r="D1312" s="2" t="s">
        <v>62</v>
      </c>
      <c r="E1312" s="2" t="s">
        <v>21</v>
      </c>
      <c r="F1312" s="2">
        <v>2.3940000000000001</v>
      </c>
      <c r="G1312" s="2" t="s">
        <v>22</v>
      </c>
      <c r="H1312" s="2">
        <v>0</v>
      </c>
      <c r="I1312" s="2">
        <v>0</v>
      </c>
      <c r="J1312" s="2" t="s">
        <v>101</v>
      </c>
      <c r="K1312" s="20">
        <v>44168</v>
      </c>
      <c r="L1312" s="20">
        <v>44170</v>
      </c>
      <c r="M1312" s="20">
        <v>44170</v>
      </c>
      <c r="N1312" s="2" t="s">
        <v>24</v>
      </c>
      <c r="O1312" s="2" t="s">
        <v>46</v>
      </c>
      <c r="P1312" s="2" t="s">
        <v>47</v>
      </c>
      <c r="Q1312" s="2">
        <f t="shared" si="20"/>
        <v>1</v>
      </c>
    </row>
    <row r="1313" spans="1:17" x14ac:dyDescent="0.25">
      <c r="A1313" s="2" t="s">
        <v>3647</v>
      </c>
      <c r="B1313" s="2" t="s">
        <v>3648</v>
      </c>
      <c r="C1313" s="2" t="s">
        <v>30</v>
      </c>
      <c r="D1313" s="2" t="s">
        <v>58</v>
      </c>
      <c r="E1313" s="2" t="s">
        <v>21</v>
      </c>
      <c r="F1313" s="2">
        <v>1261.33</v>
      </c>
      <c r="G1313" s="2" t="s">
        <v>22</v>
      </c>
      <c r="H1313" s="2">
        <v>0</v>
      </c>
      <c r="I1313" s="2">
        <v>0</v>
      </c>
      <c r="J1313" s="2" t="s">
        <v>101</v>
      </c>
      <c r="K1313" s="20">
        <v>44172</v>
      </c>
      <c r="L1313" s="20">
        <v>44174</v>
      </c>
      <c r="M1313" s="20">
        <v>44174</v>
      </c>
      <c r="N1313" s="2" t="s">
        <v>24</v>
      </c>
      <c r="O1313" s="2" t="s">
        <v>97</v>
      </c>
      <c r="P1313" s="2" t="s">
        <v>68</v>
      </c>
      <c r="Q1313" s="2">
        <f t="shared" si="20"/>
        <v>1</v>
      </c>
    </row>
    <row r="1314" spans="1:17" x14ac:dyDescent="0.25">
      <c r="A1314" s="2" t="s">
        <v>3649</v>
      </c>
      <c r="B1314" s="2" t="s">
        <v>3650</v>
      </c>
      <c r="C1314" s="2" t="s">
        <v>19</v>
      </c>
      <c r="D1314" s="2" t="s">
        <v>139</v>
      </c>
      <c r="E1314" s="2" t="s">
        <v>21</v>
      </c>
      <c r="F1314" s="2">
        <v>9.2639999999999905</v>
      </c>
      <c r="G1314" s="2" t="s">
        <v>22</v>
      </c>
      <c r="H1314" s="2">
        <v>0</v>
      </c>
      <c r="I1314" s="2">
        <v>0</v>
      </c>
      <c r="J1314" s="2" t="s">
        <v>101</v>
      </c>
      <c r="K1314" s="20">
        <v>44180</v>
      </c>
      <c r="L1314" s="20">
        <v>44182</v>
      </c>
      <c r="M1314" s="20">
        <v>44182</v>
      </c>
      <c r="N1314" s="2" t="s">
        <v>45</v>
      </c>
      <c r="O1314" s="2" t="s">
        <v>46</v>
      </c>
      <c r="P1314" s="2" t="s">
        <v>47</v>
      </c>
      <c r="Q1314" s="2">
        <f t="shared" si="20"/>
        <v>1</v>
      </c>
    </row>
    <row r="1315" spans="1:17" x14ac:dyDescent="0.25">
      <c r="A1315" s="2" t="s">
        <v>3652</v>
      </c>
      <c r="B1315" s="2" t="s">
        <v>3653</v>
      </c>
      <c r="C1315" s="2" t="s">
        <v>30</v>
      </c>
      <c r="D1315" s="2" t="s">
        <v>58</v>
      </c>
      <c r="E1315" s="2" t="s">
        <v>21</v>
      </c>
      <c r="F1315" s="2">
        <v>2884.37</v>
      </c>
      <c r="G1315" s="2" t="s">
        <v>22</v>
      </c>
      <c r="H1315" s="2">
        <v>0</v>
      </c>
      <c r="I1315" s="2">
        <v>0</v>
      </c>
      <c r="J1315" s="2" t="s">
        <v>101</v>
      </c>
      <c r="K1315" s="20">
        <v>44186</v>
      </c>
      <c r="L1315" s="20">
        <v>44187</v>
      </c>
      <c r="M1315" s="20">
        <v>44187</v>
      </c>
      <c r="N1315" s="2" t="s">
        <v>32</v>
      </c>
      <c r="O1315" s="2" t="s">
        <v>46</v>
      </c>
      <c r="P1315" s="2" t="s">
        <v>47</v>
      </c>
      <c r="Q1315" s="2">
        <f t="shared" si="20"/>
        <v>1</v>
      </c>
    </row>
    <row r="1316" spans="1:17" x14ac:dyDescent="0.25">
      <c r="A1316" s="2" t="s">
        <v>3655</v>
      </c>
      <c r="B1316" s="2" t="s">
        <v>3656</v>
      </c>
      <c r="C1316" s="2" t="s">
        <v>19</v>
      </c>
      <c r="D1316" s="2" t="s">
        <v>105</v>
      </c>
      <c r="E1316" s="2" t="s">
        <v>21</v>
      </c>
      <c r="F1316" s="2">
        <v>855.27200000000005</v>
      </c>
      <c r="G1316" s="2" t="s">
        <v>22</v>
      </c>
      <c r="H1316" s="2">
        <v>0</v>
      </c>
      <c r="I1316" s="2">
        <v>0</v>
      </c>
      <c r="J1316" s="2" t="s">
        <v>101</v>
      </c>
      <c r="K1316" s="20">
        <v>44192</v>
      </c>
      <c r="L1316" s="20">
        <v>44194</v>
      </c>
      <c r="M1316" s="20">
        <v>44194</v>
      </c>
      <c r="N1316" s="2" t="s">
        <v>24</v>
      </c>
      <c r="O1316" s="2" t="s">
        <v>146</v>
      </c>
      <c r="P1316" s="2" t="s">
        <v>73</v>
      </c>
      <c r="Q1316" s="2">
        <f t="shared" si="20"/>
        <v>1</v>
      </c>
    </row>
    <row r="1317" spans="1:17" x14ac:dyDescent="0.25">
      <c r="A1317" s="2" t="s">
        <v>3658</v>
      </c>
      <c r="B1317" s="2" t="s">
        <v>3659</v>
      </c>
      <c r="C1317" s="2" t="s">
        <v>30</v>
      </c>
      <c r="D1317" s="2" t="s">
        <v>154</v>
      </c>
      <c r="E1317" s="2" t="s">
        <v>21</v>
      </c>
      <c r="F1317" s="2">
        <v>39.128</v>
      </c>
      <c r="G1317" s="2" t="s">
        <v>22</v>
      </c>
      <c r="H1317" s="2">
        <v>0</v>
      </c>
      <c r="I1317" s="2">
        <v>0</v>
      </c>
      <c r="J1317" s="2" t="s">
        <v>101</v>
      </c>
      <c r="K1317" s="20">
        <v>44196</v>
      </c>
      <c r="L1317" s="20">
        <v>44198</v>
      </c>
      <c r="M1317" s="20">
        <v>44198</v>
      </c>
      <c r="N1317" s="2" t="s">
        <v>53</v>
      </c>
      <c r="O1317" s="2" t="s">
        <v>46</v>
      </c>
      <c r="P1317" s="2" t="s">
        <v>47</v>
      </c>
      <c r="Q1317" s="2">
        <f t="shared" si="20"/>
        <v>1</v>
      </c>
    </row>
    <row r="1318" spans="1:17" x14ac:dyDescent="0.25">
      <c r="A1318" s="2" t="s">
        <v>3660</v>
      </c>
      <c r="B1318" s="2" t="s">
        <v>3661</v>
      </c>
      <c r="C1318" s="2" t="s">
        <v>30</v>
      </c>
      <c r="D1318" s="2" t="s">
        <v>230</v>
      </c>
      <c r="E1318" s="2" t="s">
        <v>21</v>
      </c>
      <c r="F1318" s="2">
        <v>21.11</v>
      </c>
      <c r="G1318" s="2" t="s">
        <v>22</v>
      </c>
      <c r="H1318" s="2">
        <v>0</v>
      </c>
      <c r="I1318" s="2">
        <v>0</v>
      </c>
      <c r="J1318" s="2" t="s">
        <v>101</v>
      </c>
      <c r="K1318" s="20">
        <v>44236</v>
      </c>
      <c r="L1318" s="20">
        <v>44239</v>
      </c>
      <c r="M1318" s="20">
        <v>44239</v>
      </c>
      <c r="N1318" s="2" t="s">
        <v>53</v>
      </c>
      <c r="O1318" s="2" t="s">
        <v>97</v>
      </c>
      <c r="P1318" s="2" t="s">
        <v>68</v>
      </c>
      <c r="Q1318" s="2">
        <f t="shared" si="20"/>
        <v>1</v>
      </c>
    </row>
    <row r="1319" spans="1:17" x14ac:dyDescent="0.25">
      <c r="A1319" s="2" t="s">
        <v>3662</v>
      </c>
      <c r="B1319" s="2" t="s">
        <v>3663</v>
      </c>
      <c r="C1319" s="2" t="s">
        <v>30</v>
      </c>
      <c r="D1319" s="2" t="s">
        <v>31</v>
      </c>
      <c r="E1319" s="2" t="s">
        <v>21</v>
      </c>
      <c r="F1319" s="2">
        <v>807.54</v>
      </c>
      <c r="G1319" s="2" t="s">
        <v>22</v>
      </c>
      <c r="H1319" s="2">
        <v>0</v>
      </c>
      <c r="I1319" s="2">
        <v>0</v>
      </c>
      <c r="J1319" s="2" t="s">
        <v>101</v>
      </c>
      <c r="K1319" s="20">
        <v>44263</v>
      </c>
      <c r="L1319" s="20">
        <v>44266</v>
      </c>
      <c r="M1319" s="20">
        <v>44266</v>
      </c>
      <c r="N1319" s="2" t="s">
        <v>24</v>
      </c>
      <c r="O1319" s="2" t="s">
        <v>33</v>
      </c>
      <c r="P1319" s="2" t="s">
        <v>34</v>
      </c>
      <c r="Q1319" s="2">
        <f t="shared" si="20"/>
        <v>1</v>
      </c>
    </row>
    <row r="1320" spans="1:17" x14ac:dyDescent="0.25">
      <c r="A1320" s="2" t="s">
        <v>3664</v>
      </c>
      <c r="B1320" s="2" t="s">
        <v>3665</v>
      </c>
      <c r="C1320" s="2" t="s">
        <v>30</v>
      </c>
      <c r="D1320" s="2" t="s">
        <v>58</v>
      </c>
      <c r="E1320" s="2" t="s">
        <v>21</v>
      </c>
      <c r="F1320" s="2">
        <v>473.4</v>
      </c>
      <c r="G1320" s="2" t="s">
        <v>22</v>
      </c>
      <c r="H1320" s="2">
        <v>0</v>
      </c>
      <c r="I1320" s="2">
        <v>0</v>
      </c>
      <c r="J1320" s="2" t="s">
        <v>101</v>
      </c>
      <c r="K1320" s="20">
        <v>44265</v>
      </c>
      <c r="L1320" s="20">
        <v>44268</v>
      </c>
      <c r="M1320" s="20">
        <v>44268</v>
      </c>
      <c r="N1320" s="2" t="s">
        <v>24</v>
      </c>
      <c r="O1320" s="2" t="s">
        <v>67</v>
      </c>
      <c r="P1320" s="2" t="s">
        <v>68</v>
      </c>
      <c r="Q1320" s="2">
        <f t="shared" si="20"/>
        <v>1</v>
      </c>
    </row>
    <row r="1321" spans="1:17" x14ac:dyDescent="0.25">
      <c r="A1321" s="2" t="s">
        <v>3666</v>
      </c>
      <c r="B1321" s="2" t="s">
        <v>3667</v>
      </c>
      <c r="C1321" s="2" t="s">
        <v>30</v>
      </c>
      <c r="D1321" s="2" t="s">
        <v>164</v>
      </c>
      <c r="E1321" s="2" t="s">
        <v>21</v>
      </c>
      <c r="F1321" s="2">
        <v>59.480000000000004</v>
      </c>
      <c r="G1321" s="2" t="s">
        <v>22</v>
      </c>
      <c r="H1321" s="2">
        <v>0</v>
      </c>
      <c r="I1321" s="2">
        <v>0</v>
      </c>
      <c r="J1321" s="2" t="s">
        <v>101</v>
      </c>
      <c r="K1321" s="20">
        <v>44279</v>
      </c>
      <c r="L1321" s="20">
        <v>44282</v>
      </c>
      <c r="M1321" s="20">
        <v>44282</v>
      </c>
      <c r="N1321" s="2" t="s">
        <v>39</v>
      </c>
      <c r="O1321" s="2" t="s">
        <v>146</v>
      </c>
      <c r="P1321" s="2" t="s">
        <v>73</v>
      </c>
      <c r="Q1321" s="2">
        <f t="shared" si="20"/>
        <v>1</v>
      </c>
    </row>
    <row r="1322" spans="1:17" x14ac:dyDescent="0.25">
      <c r="A1322" s="2" t="s">
        <v>3668</v>
      </c>
      <c r="B1322" s="2" t="s">
        <v>3669</v>
      </c>
      <c r="C1322" s="2" t="s">
        <v>30</v>
      </c>
      <c r="D1322" s="2" t="s">
        <v>51</v>
      </c>
      <c r="E1322" s="2" t="s">
        <v>21</v>
      </c>
      <c r="F1322" s="2">
        <v>48.5</v>
      </c>
      <c r="G1322" s="2" t="s">
        <v>22</v>
      </c>
      <c r="H1322" s="2">
        <v>0</v>
      </c>
      <c r="I1322" s="2">
        <v>0</v>
      </c>
      <c r="J1322" s="2" t="s">
        <v>101</v>
      </c>
      <c r="K1322" s="20">
        <v>44294</v>
      </c>
      <c r="L1322" s="20">
        <v>44297</v>
      </c>
      <c r="M1322" s="20">
        <v>44297</v>
      </c>
      <c r="N1322" s="2" t="s">
        <v>45</v>
      </c>
      <c r="O1322" s="2" t="s">
        <v>97</v>
      </c>
      <c r="P1322" s="2" t="s">
        <v>68</v>
      </c>
      <c r="Q1322" s="2">
        <f t="shared" si="20"/>
        <v>1</v>
      </c>
    </row>
    <row r="1323" spans="1:17" x14ac:dyDescent="0.25">
      <c r="A1323" s="2" t="s">
        <v>3670</v>
      </c>
      <c r="B1323" s="2" t="s">
        <v>3671</v>
      </c>
      <c r="C1323" s="2" t="s">
        <v>19</v>
      </c>
      <c r="D1323" s="2" t="s">
        <v>77</v>
      </c>
      <c r="E1323" s="2" t="s">
        <v>21</v>
      </c>
      <c r="F1323" s="2">
        <v>676.73399999999913</v>
      </c>
      <c r="G1323" s="2" t="s">
        <v>22</v>
      </c>
      <c r="H1323" s="2">
        <v>0</v>
      </c>
      <c r="I1323" s="2">
        <v>0</v>
      </c>
      <c r="J1323" s="2" t="s">
        <v>101</v>
      </c>
      <c r="K1323" s="20">
        <v>44389</v>
      </c>
      <c r="L1323" s="20">
        <v>44391</v>
      </c>
      <c r="M1323" s="20">
        <v>44391</v>
      </c>
      <c r="N1323" s="2" t="s">
        <v>45</v>
      </c>
      <c r="O1323" s="2" t="s">
        <v>67</v>
      </c>
      <c r="P1323" s="2" t="s">
        <v>68</v>
      </c>
      <c r="Q1323" s="2">
        <f t="shared" si="20"/>
        <v>1</v>
      </c>
    </row>
    <row r="1324" spans="1:17" x14ac:dyDescent="0.25">
      <c r="A1324" s="2" t="s">
        <v>3672</v>
      </c>
      <c r="B1324" s="2" t="s">
        <v>3673</v>
      </c>
      <c r="C1324" s="2" t="s">
        <v>19</v>
      </c>
      <c r="D1324" s="2" t="s">
        <v>139</v>
      </c>
      <c r="E1324" s="2" t="s">
        <v>21</v>
      </c>
      <c r="F1324" s="2">
        <v>632.14800000000002</v>
      </c>
      <c r="G1324" s="2" t="s">
        <v>22</v>
      </c>
      <c r="H1324" s="2">
        <v>0</v>
      </c>
      <c r="I1324" s="2">
        <v>0</v>
      </c>
      <c r="J1324" s="2" t="s">
        <v>101</v>
      </c>
      <c r="K1324" s="20">
        <v>44430</v>
      </c>
      <c r="L1324" s="20">
        <v>44432</v>
      </c>
      <c r="M1324" s="20">
        <v>44432</v>
      </c>
      <c r="N1324" s="2" t="s">
        <v>45</v>
      </c>
      <c r="O1324" s="2" t="s">
        <v>33</v>
      </c>
      <c r="P1324" s="2" t="s">
        <v>34</v>
      </c>
      <c r="Q1324" s="2">
        <f t="shared" si="20"/>
        <v>1</v>
      </c>
    </row>
    <row r="1325" spans="1:17" x14ac:dyDescent="0.25">
      <c r="A1325" s="2" t="s">
        <v>3674</v>
      </c>
      <c r="B1325" s="2" t="s">
        <v>3675</v>
      </c>
      <c r="C1325" s="2" t="s">
        <v>30</v>
      </c>
      <c r="D1325" s="2" t="s">
        <v>105</v>
      </c>
      <c r="E1325" s="2" t="s">
        <v>21</v>
      </c>
      <c r="F1325" s="2">
        <v>1966.5569999999998</v>
      </c>
      <c r="G1325" s="2" t="s">
        <v>22</v>
      </c>
      <c r="H1325" s="2">
        <v>0</v>
      </c>
      <c r="I1325" s="2">
        <v>0</v>
      </c>
      <c r="J1325" s="2" t="s">
        <v>101</v>
      </c>
      <c r="K1325" s="20">
        <v>44440</v>
      </c>
      <c r="L1325" s="20">
        <v>44442</v>
      </c>
      <c r="M1325" s="20">
        <v>44442</v>
      </c>
      <c r="N1325" s="2" t="s">
        <v>39</v>
      </c>
      <c r="O1325" s="2" t="s">
        <v>25</v>
      </c>
      <c r="P1325" s="2" t="s">
        <v>26</v>
      </c>
      <c r="Q1325" s="2">
        <f t="shared" si="20"/>
        <v>1</v>
      </c>
    </row>
    <row r="1326" spans="1:17" x14ac:dyDescent="0.25">
      <c r="A1326" s="2" t="s">
        <v>3676</v>
      </c>
      <c r="B1326" s="2" t="s">
        <v>3677</v>
      </c>
      <c r="C1326" s="2" t="s">
        <v>19</v>
      </c>
      <c r="D1326" s="2" t="s">
        <v>20</v>
      </c>
      <c r="E1326" s="2" t="s">
        <v>21</v>
      </c>
      <c r="F1326" s="2">
        <v>569.33600000000001</v>
      </c>
      <c r="G1326" s="2" t="s">
        <v>22</v>
      </c>
      <c r="H1326" s="2">
        <v>0</v>
      </c>
      <c r="I1326" s="2">
        <v>0</v>
      </c>
      <c r="J1326" s="2" t="s">
        <v>101</v>
      </c>
      <c r="K1326" s="20">
        <v>44472</v>
      </c>
      <c r="L1326" s="20">
        <v>44473</v>
      </c>
      <c r="M1326" s="20">
        <v>44473</v>
      </c>
      <c r="N1326" s="2" t="s">
        <v>39</v>
      </c>
      <c r="O1326" s="2" t="s">
        <v>67</v>
      </c>
      <c r="P1326" s="2" t="s">
        <v>68</v>
      </c>
      <c r="Q1326" s="2">
        <f t="shared" si="20"/>
        <v>1</v>
      </c>
    </row>
    <row r="1327" spans="1:17" x14ac:dyDescent="0.25">
      <c r="A1327" s="2" t="s">
        <v>3678</v>
      </c>
      <c r="B1327" s="2" t="s">
        <v>3679</v>
      </c>
      <c r="C1327" s="2" t="s">
        <v>19</v>
      </c>
      <c r="D1327" s="2" t="s">
        <v>126</v>
      </c>
      <c r="E1327" s="2" t="s">
        <v>21</v>
      </c>
      <c r="F1327" s="2">
        <v>1668.9880000000001</v>
      </c>
      <c r="G1327" s="2" t="s">
        <v>22</v>
      </c>
      <c r="H1327" s="2">
        <v>0</v>
      </c>
      <c r="I1327" s="2">
        <v>0</v>
      </c>
      <c r="J1327" s="2" t="s">
        <v>101</v>
      </c>
      <c r="K1327" s="20">
        <v>44482</v>
      </c>
      <c r="L1327" s="20">
        <v>44484</v>
      </c>
      <c r="M1327" s="20">
        <v>44484</v>
      </c>
      <c r="N1327" s="2" t="s">
        <v>32</v>
      </c>
      <c r="O1327" s="2" t="s">
        <v>72</v>
      </c>
      <c r="P1327" s="2" t="s">
        <v>73</v>
      </c>
      <c r="Q1327" s="2">
        <f t="shared" si="20"/>
        <v>1</v>
      </c>
    </row>
    <row r="1328" spans="1:17" x14ac:dyDescent="0.25">
      <c r="A1328" s="2" t="s">
        <v>3681</v>
      </c>
      <c r="B1328" s="2" t="s">
        <v>3682</v>
      </c>
      <c r="C1328" s="2" t="s">
        <v>30</v>
      </c>
      <c r="D1328" s="2" t="s">
        <v>139</v>
      </c>
      <c r="E1328" s="2" t="s">
        <v>21</v>
      </c>
      <c r="F1328" s="2">
        <v>38.527999999999999</v>
      </c>
      <c r="G1328" s="2" t="s">
        <v>22</v>
      </c>
      <c r="H1328" s="2">
        <v>0</v>
      </c>
      <c r="I1328" s="2">
        <v>0</v>
      </c>
      <c r="J1328" s="2" t="s">
        <v>101</v>
      </c>
      <c r="K1328" s="20">
        <v>44502</v>
      </c>
      <c r="L1328" s="20">
        <v>44504</v>
      </c>
      <c r="M1328" s="20">
        <v>44504</v>
      </c>
      <c r="N1328" s="2" t="s">
        <v>39</v>
      </c>
      <c r="O1328" s="2" t="s">
        <v>97</v>
      </c>
      <c r="P1328" s="2" t="s">
        <v>68</v>
      </c>
      <c r="Q1328" s="2">
        <f t="shared" si="20"/>
        <v>1</v>
      </c>
    </row>
    <row r="1329" spans="1:17" x14ac:dyDescent="0.25">
      <c r="A1329" s="2" t="s">
        <v>3684</v>
      </c>
      <c r="B1329" s="2" t="s">
        <v>3685</v>
      </c>
      <c r="C1329" s="2" t="s">
        <v>30</v>
      </c>
      <c r="D1329" s="2" t="s">
        <v>211</v>
      </c>
      <c r="E1329" s="2" t="s">
        <v>21</v>
      </c>
      <c r="F1329" s="2">
        <v>34.417999999999999</v>
      </c>
      <c r="G1329" s="2" t="s">
        <v>22</v>
      </c>
      <c r="H1329" s="2">
        <v>0</v>
      </c>
      <c r="I1329" s="2">
        <v>0</v>
      </c>
      <c r="J1329" s="2" t="s">
        <v>101</v>
      </c>
      <c r="K1329" s="20">
        <v>44506</v>
      </c>
      <c r="L1329" s="20">
        <v>44509</v>
      </c>
      <c r="M1329" s="20">
        <v>44509</v>
      </c>
      <c r="N1329" s="2" t="s">
        <v>63</v>
      </c>
      <c r="O1329" s="2" t="s">
        <v>40</v>
      </c>
      <c r="P1329" s="2" t="s">
        <v>34</v>
      </c>
      <c r="Q1329" s="2">
        <f t="shared" si="20"/>
        <v>1</v>
      </c>
    </row>
    <row r="1330" spans="1:17" x14ac:dyDescent="0.25">
      <c r="A1330" s="2" t="s">
        <v>3687</v>
      </c>
      <c r="B1330" s="2" t="s">
        <v>3688</v>
      </c>
      <c r="C1330" s="2" t="s">
        <v>19</v>
      </c>
      <c r="D1330" s="2" t="s">
        <v>77</v>
      </c>
      <c r="E1330" s="2" t="s">
        <v>21</v>
      </c>
      <c r="F1330" s="2">
        <v>11.481</v>
      </c>
      <c r="G1330" s="2" t="s">
        <v>22</v>
      </c>
      <c r="H1330" s="2">
        <v>0</v>
      </c>
      <c r="I1330" s="2">
        <v>0</v>
      </c>
      <c r="J1330" s="2" t="s">
        <v>101</v>
      </c>
      <c r="K1330" s="20">
        <v>44507</v>
      </c>
      <c r="L1330" s="20">
        <v>44510</v>
      </c>
      <c r="M1330" s="20">
        <v>44510</v>
      </c>
      <c r="N1330" s="2" t="s">
        <v>39</v>
      </c>
      <c r="O1330" s="2" t="s">
        <v>46</v>
      </c>
      <c r="P1330" s="2" t="s">
        <v>47</v>
      </c>
      <c r="Q1330" s="2">
        <f t="shared" si="20"/>
        <v>1</v>
      </c>
    </row>
    <row r="1331" spans="1:17" x14ac:dyDescent="0.25">
      <c r="A1331" s="2" t="s">
        <v>3690</v>
      </c>
      <c r="B1331" s="2" t="s">
        <v>3691</v>
      </c>
      <c r="C1331" s="2" t="s">
        <v>19</v>
      </c>
      <c r="D1331" s="2" t="s">
        <v>77</v>
      </c>
      <c r="E1331" s="2" t="s">
        <v>21</v>
      </c>
      <c r="F1331" s="2">
        <v>188.94</v>
      </c>
      <c r="G1331" s="2" t="s">
        <v>22</v>
      </c>
      <c r="H1331" s="2">
        <v>0</v>
      </c>
      <c r="I1331" s="2">
        <v>0</v>
      </c>
      <c r="J1331" s="2" t="s">
        <v>101</v>
      </c>
      <c r="K1331" s="20">
        <v>44528</v>
      </c>
      <c r="L1331" s="20">
        <v>44530</v>
      </c>
      <c r="M1331" s="20">
        <v>44530</v>
      </c>
      <c r="N1331" s="2" t="s">
        <v>45</v>
      </c>
      <c r="O1331" s="2" t="s">
        <v>46</v>
      </c>
      <c r="P1331" s="2" t="s">
        <v>47</v>
      </c>
      <c r="Q1331" s="2">
        <f t="shared" si="20"/>
        <v>1</v>
      </c>
    </row>
    <row r="1332" spans="1:17" x14ac:dyDescent="0.25">
      <c r="A1332" s="2" t="s">
        <v>3692</v>
      </c>
      <c r="B1332" s="2" t="s">
        <v>3693</v>
      </c>
      <c r="C1332" s="2" t="s">
        <v>30</v>
      </c>
      <c r="D1332" s="2" t="s">
        <v>62</v>
      </c>
      <c r="E1332" s="2" t="s">
        <v>21</v>
      </c>
      <c r="F1332" s="2">
        <v>30.264000000000003</v>
      </c>
      <c r="G1332" s="2" t="s">
        <v>22</v>
      </c>
      <c r="H1332" s="2">
        <v>0</v>
      </c>
      <c r="I1332" s="2">
        <v>0</v>
      </c>
      <c r="J1332" s="2" t="s">
        <v>101</v>
      </c>
      <c r="K1332" s="20">
        <v>44530</v>
      </c>
      <c r="L1332" s="20">
        <v>44531</v>
      </c>
      <c r="M1332" s="20">
        <v>44531</v>
      </c>
      <c r="N1332" s="2" t="s">
        <v>24</v>
      </c>
      <c r="O1332" s="2" t="s">
        <v>40</v>
      </c>
      <c r="P1332" s="2" t="s">
        <v>34</v>
      </c>
      <c r="Q1332" s="2">
        <f t="shared" si="20"/>
        <v>1</v>
      </c>
    </row>
    <row r="1333" spans="1:17" x14ac:dyDescent="0.25">
      <c r="A1333" s="2" t="s">
        <v>3694</v>
      </c>
      <c r="B1333" s="2" t="s">
        <v>3695</v>
      </c>
      <c r="C1333" s="2" t="s">
        <v>19</v>
      </c>
      <c r="D1333" s="2" t="s">
        <v>154</v>
      </c>
      <c r="E1333" s="2" t="s">
        <v>21</v>
      </c>
      <c r="F1333" s="2">
        <v>440.14400000000001</v>
      </c>
      <c r="G1333" s="2" t="s">
        <v>22</v>
      </c>
      <c r="H1333" s="2">
        <v>0</v>
      </c>
      <c r="I1333" s="2">
        <v>0</v>
      </c>
      <c r="J1333" s="2" t="s">
        <v>101</v>
      </c>
      <c r="K1333" s="20">
        <v>44531</v>
      </c>
      <c r="L1333" s="20">
        <v>44534</v>
      </c>
      <c r="M1333" s="20">
        <v>44534</v>
      </c>
      <c r="N1333" s="2" t="s">
        <v>45</v>
      </c>
      <c r="O1333" s="2" t="s">
        <v>67</v>
      </c>
      <c r="P1333" s="2" t="s">
        <v>68</v>
      </c>
      <c r="Q1333" s="2">
        <f t="shared" si="20"/>
        <v>1</v>
      </c>
    </row>
    <row r="1334" spans="1:17" x14ac:dyDescent="0.25">
      <c r="A1334" s="2" t="s">
        <v>3696</v>
      </c>
      <c r="B1334" s="2" t="s">
        <v>3697</v>
      </c>
      <c r="C1334" s="2" t="s">
        <v>19</v>
      </c>
      <c r="D1334" s="2" t="s">
        <v>105</v>
      </c>
      <c r="E1334" s="2" t="s">
        <v>21</v>
      </c>
      <c r="F1334" s="2">
        <v>325.7</v>
      </c>
      <c r="G1334" s="2" t="s">
        <v>22</v>
      </c>
      <c r="H1334" s="2">
        <v>0</v>
      </c>
      <c r="I1334" s="2">
        <v>0</v>
      </c>
      <c r="J1334" s="2" t="s">
        <v>101</v>
      </c>
      <c r="K1334" s="20">
        <v>44543</v>
      </c>
      <c r="L1334" s="20">
        <v>44546</v>
      </c>
      <c r="M1334" s="20">
        <v>44546</v>
      </c>
      <c r="N1334" s="2" t="s">
        <v>63</v>
      </c>
      <c r="O1334" s="2" t="s">
        <v>72</v>
      </c>
      <c r="P1334" s="2" t="s">
        <v>73</v>
      </c>
      <c r="Q1334" s="2">
        <f t="shared" si="20"/>
        <v>1</v>
      </c>
    </row>
    <row r="1335" spans="1:17" x14ac:dyDescent="0.25">
      <c r="A1335" s="2" t="s">
        <v>3698</v>
      </c>
      <c r="B1335" s="2" t="s">
        <v>3699</v>
      </c>
      <c r="C1335" s="2" t="s">
        <v>19</v>
      </c>
      <c r="D1335" s="2" t="s">
        <v>96</v>
      </c>
      <c r="E1335" s="2" t="s">
        <v>21</v>
      </c>
      <c r="F1335" s="2">
        <v>435.53999999999996</v>
      </c>
      <c r="G1335" s="2" t="s">
        <v>22</v>
      </c>
      <c r="H1335" s="2">
        <v>0</v>
      </c>
      <c r="I1335" s="2">
        <v>0</v>
      </c>
      <c r="J1335" s="2" t="s">
        <v>101</v>
      </c>
      <c r="K1335" s="20">
        <v>44558</v>
      </c>
      <c r="L1335" s="20">
        <v>44561</v>
      </c>
      <c r="M1335" s="20">
        <v>44561</v>
      </c>
      <c r="N1335" s="2" t="s">
        <v>53</v>
      </c>
      <c r="O1335" s="2" t="s">
        <v>25</v>
      </c>
      <c r="P1335" s="2" t="s">
        <v>26</v>
      </c>
      <c r="Q1335" s="2">
        <f t="shared" si="20"/>
        <v>1</v>
      </c>
    </row>
    <row r="1336" spans="1:17" x14ac:dyDescent="0.25">
      <c r="A1336" s="2" t="s">
        <v>3700</v>
      </c>
      <c r="B1336" s="2" t="s">
        <v>3701</v>
      </c>
      <c r="C1336" s="2" t="s">
        <v>19</v>
      </c>
      <c r="D1336" s="2" t="s">
        <v>77</v>
      </c>
      <c r="E1336" s="2" t="s">
        <v>205</v>
      </c>
      <c r="F1336" s="2">
        <v>114.2</v>
      </c>
      <c r="G1336" s="2" t="s">
        <v>206</v>
      </c>
      <c r="H1336" s="2">
        <v>80</v>
      </c>
      <c r="I1336" s="2">
        <v>91.360000000000014</v>
      </c>
      <c r="J1336" s="2" t="s">
        <v>101</v>
      </c>
      <c r="K1336" s="20">
        <v>44562</v>
      </c>
      <c r="L1336" s="20">
        <v>44931</v>
      </c>
      <c r="M1336" s="20">
        <v>44931</v>
      </c>
      <c r="N1336" s="2" t="s">
        <v>213</v>
      </c>
      <c r="O1336" s="2" t="s">
        <v>54</v>
      </c>
      <c r="P1336" s="2" t="s">
        <v>26</v>
      </c>
      <c r="Q1336" s="2">
        <f t="shared" si="20"/>
        <v>1</v>
      </c>
    </row>
    <row r="1337" spans="1:17" x14ac:dyDescent="0.25">
      <c r="A1337" s="2" t="s">
        <v>3702</v>
      </c>
      <c r="B1337" s="2" t="s">
        <v>3703</v>
      </c>
      <c r="C1337" s="2" t="s">
        <v>30</v>
      </c>
      <c r="D1337" s="2" t="s">
        <v>115</v>
      </c>
      <c r="E1337" s="2" t="s">
        <v>205</v>
      </c>
      <c r="F1337" s="2">
        <v>23.744</v>
      </c>
      <c r="G1337" s="2" t="s">
        <v>206</v>
      </c>
      <c r="H1337" s="2">
        <v>80</v>
      </c>
      <c r="I1337" s="2">
        <v>18.995200000000001</v>
      </c>
      <c r="J1337" s="2" t="s">
        <v>101</v>
      </c>
      <c r="K1337" s="20">
        <v>44579</v>
      </c>
      <c r="L1337" s="20">
        <v>44221</v>
      </c>
      <c r="M1337" s="20">
        <v>44221</v>
      </c>
      <c r="N1337" s="2" t="s">
        <v>207</v>
      </c>
      <c r="O1337" s="2" t="s">
        <v>67</v>
      </c>
      <c r="P1337" s="2" t="s">
        <v>68</v>
      </c>
      <c r="Q1337" s="2">
        <f t="shared" si="20"/>
        <v>1</v>
      </c>
    </row>
    <row r="1338" spans="1:17" x14ac:dyDescent="0.25">
      <c r="A1338" s="2" t="s">
        <v>3705</v>
      </c>
      <c r="B1338" s="2" t="s">
        <v>3706</v>
      </c>
      <c r="C1338" s="2" t="s">
        <v>19</v>
      </c>
      <c r="D1338" s="2" t="s">
        <v>164</v>
      </c>
      <c r="E1338" s="2" t="s">
        <v>212</v>
      </c>
      <c r="F1338" s="2">
        <v>182.11199999999999</v>
      </c>
      <c r="G1338" s="2" t="s">
        <v>206</v>
      </c>
      <c r="H1338" s="2">
        <v>100</v>
      </c>
      <c r="I1338" s="2">
        <v>182.11199999999999</v>
      </c>
      <c r="J1338" s="2" t="s">
        <v>101</v>
      </c>
      <c r="K1338" s="20">
        <v>44596</v>
      </c>
      <c r="L1338" s="20">
        <v>44233</v>
      </c>
      <c r="M1338" s="20">
        <v>44233</v>
      </c>
      <c r="N1338" s="2" t="s">
        <v>238</v>
      </c>
      <c r="O1338" s="2" t="s">
        <v>40</v>
      </c>
      <c r="P1338" s="2" t="s">
        <v>34</v>
      </c>
      <c r="Q1338" s="2">
        <f t="shared" si="20"/>
        <v>1</v>
      </c>
    </row>
    <row r="1339" spans="1:17" x14ac:dyDescent="0.25">
      <c r="A1339" s="2" t="s">
        <v>3707</v>
      </c>
      <c r="B1339" s="2" t="s">
        <v>3708</v>
      </c>
      <c r="C1339" s="2" t="s">
        <v>19</v>
      </c>
      <c r="D1339" s="2" t="s">
        <v>96</v>
      </c>
      <c r="E1339" s="2" t="s">
        <v>212</v>
      </c>
      <c r="F1339" s="2">
        <v>79.400000000000006</v>
      </c>
      <c r="G1339" s="2" t="s">
        <v>206</v>
      </c>
      <c r="H1339" s="2">
        <v>100</v>
      </c>
      <c r="I1339" s="2">
        <v>79.400000000000006</v>
      </c>
      <c r="J1339" s="2" t="s">
        <v>101</v>
      </c>
      <c r="K1339" s="20">
        <v>44599</v>
      </c>
      <c r="L1339" s="20">
        <v>44241</v>
      </c>
      <c r="M1339" s="20">
        <v>44241</v>
      </c>
      <c r="N1339" s="2" t="s">
        <v>207</v>
      </c>
      <c r="O1339" s="2" t="s">
        <v>67</v>
      </c>
      <c r="P1339" s="2" t="s">
        <v>68</v>
      </c>
      <c r="Q1339" s="2">
        <f t="shared" si="20"/>
        <v>1</v>
      </c>
    </row>
    <row r="1340" spans="1:17" x14ac:dyDescent="0.25">
      <c r="A1340" s="2" t="s">
        <v>3710</v>
      </c>
      <c r="B1340" s="2" t="s">
        <v>3711</v>
      </c>
      <c r="C1340" s="2" t="s">
        <v>30</v>
      </c>
      <c r="D1340" s="2" t="s">
        <v>164</v>
      </c>
      <c r="E1340" s="2" t="s">
        <v>212</v>
      </c>
      <c r="F1340" s="2">
        <v>449.15</v>
      </c>
      <c r="G1340" s="2" t="s">
        <v>206</v>
      </c>
      <c r="H1340" s="2">
        <v>100</v>
      </c>
      <c r="I1340" s="2">
        <v>449.15</v>
      </c>
      <c r="J1340" s="2" t="s">
        <v>101</v>
      </c>
      <c r="K1340" s="20">
        <v>44602</v>
      </c>
      <c r="L1340" s="20">
        <v>44241</v>
      </c>
      <c r="M1340" s="20">
        <v>44241</v>
      </c>
      <c r="N1340" s="2" t="s">
        <v>248</v>
      </c>
      <c r="O1340" s="2" t="s">
        <v>33</v>
      </c>
      <c r="P1340" s="2" t="s">
        <v>34</v>
      </c>
      <c r="Q1340" s="2">
        <f t="shared" si="20"/>
        <v>1</v>
      </c>
    </row>
    <row r="1341" spans="1:17" x14ac:dyDescent="0.25">
      <c r="A1341" s="2" t="s">
        <v>3712</v>
      </c>
      <c r="B1341" s="2" t="s">
        <v>3713</v>
      </c>
      <c r="C1341" s="2" t="s">
        <v>19</v>
      </c>
      <c r="D1341" s="2" t="s">
        <v>38</v>
      </c>
      <c r="E1341" s="2" t="s">
        <v>205</v>
      </c>
      <c r="F1341" s="2">
        <v>5.97</v>
      </c>
      <c r="G1341" s="2" t="s">
        <v>206</v>
      </c>
      <c r="H1341" s="2">
        <v>80</v>
      </c>
      <c r="I1341" s="2">
        <v>4.7759999999999998</v>
      </c>
      <c r="J1341" s="2" t="s">
        <v>101</v>
      </c>
      <c r="K1341" s="20">
        <v>44620</v>
      </c>
      <c r="L1341" s="20">
        <v>44257</v>
      </c>
      <c r="M1341" s="20">
        <v>44257</v>
      </c>
      <c r="N1341" s="2" t="s">
        <v>234</v>
      </c>
      <c r="O1341" s="2" t="s">
        <v>33</v>
      </c>
      <c r="P1341" s="2" t="s">
        <v>34</v>
      </c>
      <c r="Q1341" s="2">
        <f t="shared" si="20"/>
        <v>1</v>
      </c>
    </row>
    <row r="1342" spans="1:17" x14ac:dyDescent="0.25">
      <c r="A1342" s="2" t="s">
        <v>3715</v>
      </c>
      <c r="B1342" s="2" t="s">
        <v>3716</v>
      </c>
      <c r="C1342" s="2" t="s">
        <v>30</v>
      </c>
      <c r="D1342" s="2" t="s">
        <v>38</v>
      </c>
      <c r="E1342" s="2" t="s">
        <v>205</v>
      </c>
      <c r="F1342" s="2">
        <v>95.647999999999996</v>
      </c>
      <c r="G1342" s="2" t="s">
        <v>206</v>
      </c>
      <c r="H1342" s="2">
        <v>80</v>
      </c>
      <c r="I1342" s="2">
        <v>76.5184</v>
      </c>
      <c r="J1342" s="2" t="s">
        <v>101</v>
      </c>
      <c r="K1342" s="20">
        <v>44631</v>
      </c>
      <c r="L1342" s="20">
        <v>44266</v>
      </c>
      <c r="M1342" s="20">
        <v>44266</v>
      </c>
      <c r="N1342" s="2" t="s">
        <v>238</v>
      </c>
      <c r="O1342" s="2" t="s">
        <v>72</v>
      </c>
      <c r="P1342" s="2" t="s">
        <v>73</v>
      </c>
      <c r="Q1342" s="2">
        <f t="shared" si="20"/>
        <v>1</v>
      </c>
    </row>
    <row r="1343" spans="1:17" x14ac:dyDescent="0.25">
      <c r="A1343" s="2" t="s">
        <v>3718</v>
      </c>
      <c r="B1343" s="2" t="s">
        <v>3719</v>
      </c>
      <c r="C1343" s="2" t="s">
        <v>19</v>
      </c>
      <c r="D1343" s="2" t="s">
        <v>345</v>
      </c>
      <c r="E1343" s="2" t="s">
        <v>205</v>
      </c>
      <c r="F1343" s="2">
        <v>2.9460000000000002</v>
      </c>
      <c r="G1343" s="2" t="s">
        <v>206</v>
      </c>
      <c r="H1343" s="2">
        <v>80</v>
      </c>
      <c r="I1343" s="2">
        <v>2.3568000000000002</v>
      </c>
      <c r="J1343" s="2" t="s">
        <v>101</v>
      </c>
      <c r="K1343" s="20">
        <v>44635</v>
      </c>
      <c r="L1343" s="20">
        <v>44275</v>
      </c>
      <c r="M1343" s="20">
        <v>44275</v>
      </c>
      <c r="N1343" s="2" t="s">
        <v>234</v>
      </c>
      <c r="O1343" s="2" t="s">
        <v>40</v>
      </c>
      <c r="P1343" s="2" t="s">
        <v>34</v>
      </c>
      <c r="Q1343" s="2">
        <f t="shared" si="20"/>
        <v>1</v>
      </c>
    </row>
    <row r="1344" spans="1:17" x14ac:dyDescent="0.25">
      <c r="A1344" s="2" t="s">
        <v>3720</v>
      </c>
      <c r="B1344" s="2" t="s">
        <v>3721</v>
      </c>
      <c r="C1344" s="2" t="s">
        <v>19</v>
      </c>
      <c r="D1344" s="2" t="s">
        <v>115</v>
      </c>
      <c r="E1344" s="2" t="s">
        <v>212</v>
      </c>
      <c r="F1344" s="2">
        <v>194.7</v>
      </c>
      <c r="G1344" s="2" t="s">
        <v>206</v>
      </c>
      <c r="H1344" s="2">
        <v>100</v>
      </c>
      <c r="I1344" s="2">
        <v>194.7</v>
      </c>
      <c r="J1344" s="2" t="s">
        <v>101</v>
      </c>
      <c r="K1344" s="20">
        <v>44637</v>
      </c>
      <c r="L1344" s="20">
        <v>44279</v>
      </c>
      <c r="M1344" s="20">
        <v>44279</v>
      </c>
      <c r="N1344" s="2" t="s">
        <v>207</v>
      </c>
      <c r="O1344" s="2" t="s">
        <v>146</v>
      </c>
      <c r="P1344" s="2" t="s">
        <v>73</v>
      </c>
      <c r="Q1344" s="2">
        <f t="shared" si="20"/>
        <v>1</v>
      </c>
    </row>
    <row r="1345" spans="1:17" x14ac:dyDescent="0.25">
      <c r="A1345" s="2" t="s">
        <v>3722</v>
      </c>
      <c r="B1345" s="2" t="s">
        <v>3723</v>
      </c>
      <c r="C1345" s="2" t="s">
        <v>30</v>
      </c>
      <c r="D1345" s="2" t="s">
        <v>126</v>
      </c>
      <c r="E1345" s="2" t="s">
        <v>205</v>
      </c>
      <c r="F1345" s="2">
        <v>1.98</v>
      </c>
      <c r="G1345" s="2" t="s">
        <v>206</v>
      </c>
      <c r="H1345" s="2">
        <v>80</v>
      </c>
      <c r="I1345" s="2">
        <v>1.5840000000000001</v>
      </c>
      <c r="J1345" s="2" t="s">
        <v>101</v>
      </c>
      <c r="K1345" s="20">
        <v>44640</v>
      </c>
      <c r="L1345" s="20">
        <v>44281</v>
      </c>
      <c r="M1345" s="20">
        <v>44281</v>
      </c>
      <c r="N1345" s="2" t="s">
        <v>248</v>
      </c>
      <c r="O1345" s="2" t="s">
        <v>54</v>
      </c>
      <c r="P1345" s="2" t="s">
        <v>26</v>
      </c>
      <c r="Q1345" s="2">
        <f t="shared" si="20"/>
        <v>1</v>
      </c>
    </row>
    <row r="1346" spans="1:17" x14ac:dyDescent="0.25">
      <c r="A1346" s="2" t="s">
        <v>3725</v>
      </c>
      <c r="B1346" s="2" t="s">
        <v>3726</v>
      </c>
      <c r="C1346" s="2" t="s">
        <v>19</v>
      </c>
      <c r="D1346" s="2" t="s">
        <v>58</v>
      </c>
      <c r="E1346" s="2" t="s">
        <v>212</v>
      </c>
      <c r="F1346" s="2">
        <v>251.91</v>
      </c>
      <c r="G1346" s="2" t="s">
        <v>206</v>
      </c>
      <c r="H1346" s="2">
        <v>100</v>
      </c>
      <c r="I1346" s="2">
        <v>251.91</v>
      </c>
      <c r="J1346" s="2" t="s">
        <v>101</v>
      </c>
      <c r="K1346" s="20">
        <v>44640</v>
      </c>
      <c r="L1346" s="20">
        <v>44282</v>
      </c>
      <c r="M1346" s="20">
        <v>44282</v>
      </c>
      <c r="N1346" s="2" t="s">
        <v>238</v>
      </c>
      <c r="O1346" s="2" t="s">
        <v>54</v>
      </c>
      <c r="P1346" s="2" t="s">
        <v>26</v>
      </c>
      <c r="Q1346" s="2">
        <f t="shared" ref="Q1346:Q1409" si="21">COUNTIF($A$2:$A$1778,A1346)</f>
        <v>1</v>
      </c>
    </row>
    <row r="1347" spans="1:17" x14ac:dyDescent="0.25">
      <c r="A1347" s="2" t="s">
        <v>3727</v>
      </c>
      <c r="B1347" s="2" t="s">
        <v>3728</v>
      </c>
      <c r="C1347" s="2" t="s">
        <v>19</v>
      </c>
      <c r="D1347" s="2" t="s">
        <v>44</v>
      </c>
      <c r="E1347" s="2" t="s">
        <v>212</v>
      </c>
      <c r="F1347" s="2">
        <v>34.86</v>
      </c>
      <c r="G1347" s="2" t="s">
        <v>206</v>
      </c>
      <c r="H1347" s="2">
        <v>100</v>
      </c>
      <c r="I1347" s="2">
        <v>34.86</v>
      </c>
      <c r="J1347" s="2" t="s">
        <v>101</v>
      </c>
      <c r="K1347" s="20">
        <v>44641</v>
      </c>
      <c r="L1347" s="20">
        <v>44278</v>
      </c>
      <c r="M1347" s="20">
        <v>44278</v>
      </c>
      <c r="N1347" s="2" t="s">
        <v>238</v>
      </c>
      <c r="O1347" s="2" t="s">
        <v>72</v>
      </c>
      <c r="P1347" s="2" t="s">
        <v>73</v>
      </c>
      <c r="Q1347" s="2">
        <f t="shared" si="21"/>
        <v>1</v>
      </c>
    </row>
    <row r="1348" spans="1:17" x14ac:dyDescent="0.25">
      <c r="A1348" s="2" t="s">
        <v>3729</v>
      </c>
      <c r="B1348" s="2" t="s">
        <v>3730</v>
      </c>
      <c r="C1348" s="2" t="s">
        <v>19</v>
      </c>
      <c r="D1348" s="2" t="s">
        <v>186</v>
      </c>
      <c r="E1348" s="2" t="s">
        <v>205</v>
      </c>
      <c r="F1348" s="2">
        <v>539.96400000000006</v>
      </c>
      <c r="G1348" s="2" t="s">
        <v>206</v>
      </c>
      <c r="H1348" s="2">
        <v>80</v>
      </c>
      <c r="I1348" s="2">
        <v>431.97120000000007</v>
      </c>
      <c r="J1348" s="2" t="s">
        <v>101</v>
      </c>
      <c r="K1348" s="20">
        <v>44643</v>
      </c>
      <c r="L1348" s="20">
        <v>44280</v>
      </c>
      <c r="M1348" s="20">
        <v>44280</v>
      </c>
      <c r="N1348" s="2" t="s">
        <v>220</v>
      </c>
      <c r="O1348" s="2" t="s">
        <v>40</v>
      </c>
      <c r="P1348" s="2" t="s">
        <v>34</v>
      </c>
      <c r="Q1348" s="2">
        <f t="shared" si="21"/>
        <v>1</v>
      </c>
    </row>
    <row r="1349" spans="1:17" x14ac:dyDescent="0.25">
      <c r="A1349" s="2" t="s">
        <v>3732</v>
      </c>
      <c r="B1349" s="2" t="s">
        <v>3733</v>
      </c>
      <c r="C1349" s="2" t="s">
        <v>19</v>
      </c>
      <c r="D1349" s="2" t="s">
        <v>126</v>
      </c>
      <c r="E1349" s="2" t="s">
        <v>205</v>
      </c>
      <c r="F1349" s="2">
        <v>15.696</v>
      </c>
      <c r="G1349" s="2" t="s">
        <v>206</v>
      </c>
      <c r="H1349" s="2">
        <v>80</v>
      </c>
      <c r="I1349" s="2">
        <v>12.556800000000001</v>
      </c>
      <c r="J1349" s="2" t="s">
        <v>101</v>
      </c>
      <c r="K1349" s="20">
        <v>44647</v>
      </c>
      <c r="L1349" s="20">
        <v>44287</v>
      </c>
      <c r="M1349" s="20">
        <v>44287</v>
      </c>
      <c r="N1349" s="2" t="s">
        <v>220</v>
      </c>
      <c r="O1349" s="2" t="s">
        <v>72</v>
      </c>
      <c r="P1349" s="2" t="s">
        <v>73</v>
      </c>
      <c r="Q1349" s="2">
        <f t="shared" si="21"/>
        <v>1</v>
      </c>
    </row>
    <row r="1350" spans="1:17" x14ac:dyDescent="0.25">
      <c r="A1350" s="2" t="s">
        <v>3735</v>
      </c>
      <c r="B1350" s="2" t="s">
        <v>3736</v>
      </c>
      <c r="C1350" s="2" t="s">
        <v>30</v>
      </c>
      <c r="D1350" s="2" t="s">
        <v>139</v>
      </c>
      <c r="E1350" s="2" t="s">
        <v>212</v>
      </c>
      <c r="F1350" s="2">
        <v>10.99</v>
      </c>
      <c r="G1350" s="2" t="s">
        <v>206</v>
      </c>
      <c r="H1350" s="2">
        <v>100</v>
      </c>
      <c r="I1350" s="2">
        <v>10.99</v>
      </c>
      <c r="J1350" s="2" t="s">
        <v>101</v>
      </c>
      <c r="K1350" s="20">
        <v>44654</v>
      </c>
      <c r="L1350" s="20">
        <v>44294</v>
      </c>
      <c r="M1350" s="20">
        <v>44294</v>
      </c>
      <c r="N1350" s="2" t="s">
        <v>220</v>
      </c>
      <c r="O1350" s="2" t="s">
        <v>33</v>
      </c>
      <c r="P1350" s="2" t="s">
        <v>34</v>
      </c>
      <c r="Q1350" s="2">
        <f t="shared" si="21"/>
        <v>1</v>
      </c>
    </row>
    <row r="1351" spans="1:17" x14ac:dyDescent="0.25">
      <c r="A1351" s="2" t="s">
        <v>3737</v>
      </c>
      <c r="B1351" s="2" t="s">
        <v>3738</v>
      </c>
      <c r="C1351" s="2" t="s">
        <v>30</v>
      </c>
      <c r="D1351" s="2" t="s">
        <v>230</v>
      </c>
      <c r="E1351" s="2" t="s">
        <v>212</v>
      </c>
      <c r="F1351" s="2">
        <v>601.53599999999994</v>
      </c>
      <c r="G1351" s="2" t="s">
        <v>206</v>
      </c>
      <c r="H1351" s="2">
        <v>100</v>
      </c>
      <c r="I1351" s="2">
        <v>601.53599999999994</v>
      </c>
      <c r="J1351" s="2" t="s">
        <v>101</v>
      </c>
      <c r="K1351" s="20">
        <v>44654</v>
      </c>
      <c r="L1351" s="20">
        <v>44294</v>
      </c>
      <c r="M1351" s="20">
        <v>44294</v>
      </c>
      <c r="N1351" s="2" t="s">
        <v>238</v>
      </c>
      <c r="O1351" s="2" t="s">
        <v>25</v>
      </c>
      <c r="P1351" s="2" t="s">
        <v>26</v>
      </c>
      <c r="Q1351" s="2">
        <f t="shared" si="21"/>
        <v>1</v>
      </c>
    </row>
    <row r="1352" spans="1:17" x14ac:dyDescent="0.25">
      <c r="A1352" s="2" t="s">
        <v>3740</v>
      </c>
      <c r="B1352" s="2" t="s">
        <v>3741</v>
      </c>
      <c r="C1352" s="2" t="s">
        <v>19</v>
      </c>
      <c r="D1352" s="2" t="s">
        <v>211</v>
      </c>
      <c r="E1352" s="2" t="s">
        <v>212</v>
      </c>
      <c r="F1352" s="2">
        <v>53.2</v>
      </c>
      <c r="G1352" s="2" t="s">
        <v>206</v>
      </c>
      <c r="H1352" s="2">
        <v>100</v>
      </c>
      <c r="I1352" s="2">
        <v>53.2</v>
      </c>
      <c r="J1352" s="2" t="s">
        <v>101</v>
      </c>
      <c r="K1352" s="20">
        <v>44657</v>
      </c>
      <c r="L1352" s="20">
        <v>44298</v>
      </c>
      <c r="M1352" s="20">
        <v>44298</v>
      </c>
      <c r="N1352" s="2" t="s">
        <v>207</v>
      </c>
      <c r="O1352" s="2" t="s">
        <v>72</v>
      </c>
      <c r="P1352" s="2" t="s">
        <v>73</v>
      </c>
      <c r="Q1352" s="2">
        <f t="shared" si="21"/>
        <v>1</v>
      </c>
    </row>
    <row r="1353" spans="1:17" x14ac:dyDescent="0.25">
      <c r="A1353" s="2" t="s">
        <v>3743</v>
      </c>
      <c r="B1353" s="2" t="s">
        <v>3744</v>
      </c>
      <c r="C1353" s="2" t="s">
        <v>19</v>
      </c>
      <c r="D1353" s="2" t="s">
        <v>211</v>
      </c>
      <c r="E1353" s="2" t="s">
        <v>205</v>
      </c>
      <c r="F1353" s="2">
        <v>29.12</v>
      </c>
      <c r="G1353" s="2" t="s">
        <v>206</v>
      </c>
      <c r="H1353" s="2">
        <v>80</v>
      </c>
      <c r="I1353" s="2">
        <v>23.296000000000003</v>
      </c>
      <c r="J1353" s="2" t="s">
        <v>101</v>
      </c>
      <c r="K1353" s="20">
        <v>44661</v>
      </c>
      <c r="L1353" s="20">
        <v>44301</v>
      </c>
      <c r="M1353" s="20">
        <v>44301</v>
      </c>
      <c r="N1353" s="2" t="s">
        <v>248</v>
      </c>
      <c r="O1353" s="2" t="s">
        <v>54</v>
      </c>
      <c r="P1353" s="2" t="s">
        <v>26</v>
      </c>
      <c r="Q1353" s="2">
        <f t="shared" si="21"/>
        <v>1</v>
      </c>
    </row>
    <row r="1354" spans="1:17" x14ac:dyDescent="0.25">
      <c r="A1354" s="2" t="s">
        <v>3745</v>
      </c>
      <c r="B1354" s="2" t="s">
        <v>3746</v>
      </c>
      <c r="C1354" s="2" t="s">
        <v>30</v>
      </c>
      <c r="D1354" s="2" t="s">
        <v>105</v>
      </c>
      <c r="E1354" s="2" t="s">
        <v>212</v>
      </c>
      <c r="F1354" s="2">
        <v>213.08</v>
      </c>
      <c r="G1354" s="2" t="s">
        <v>206</v>
      </c>
      <c r="H1354" s="2">
        <v>100</v>
      </c>
      <c r="I1354" s="2">
        <v>213.08</v>
      </c>
      <c r="J1354" s="2" t="s">
        <v>101</v>
      </c>
      <c r="K1354" s="20">
        <v>44665</v>
      </c>
      <c r="L1354" s="20">
        <v>44302</v>
      </c>
      <c r="M1354" s="20">
        <v>44302</v>
      </c>
      <c r="N1354" s="2" t="s">
        <v>234</v>
      </c>
      <c r="O1354" s="2" t="s">
        <v>33</v>
      </c>
      <c r="P1354" s="2" t="s">
        <v>34</v>
      </c>
      <c r="Q1354" s="2">
        <f t="shared" si="21"/>
        <v>1</v>
      </c>
    </row>
    <row r="1355" spans="1:17" x14ac:dyDescent="0.25">
      <c r="A1355" s="2" t="s">
        <v>3747</v>
      </c>
      <c r="B1355" s="2" t="s">
        <v>3748</v>
      </c>
      <c r="C1355" s="2" t="s">
        <v>30</v>
      </c>
      <c r="D1355" s="2" t="s">
        <v>51</v>
      </c>
      <c r="E1355" s="2" t="s">
        <v>212</v>
      </c>
      <c r="F1355" s="2">
        <v>1025.8800000000001</v>
      </c>
      <c r="G1355" s="2" t="s">
        <v>206</v>
      </c>
      <c r="H1355" s="2">
        <v>100</v>
      </c>
      <c r="I1355" s="2">
        <v>1025.8800000000001</v>
      </c>
      <c r="J1355" s="2" t="s">
        <v>101</v>
      </c>
      <c r="K1355" s="20">
        <v>44666</v>
      </c>
      <c r="L1355" s="20">
        <v>44305</v>
      </c>
      <c r="M1355" s="20">
        <v>44305</v>
      </c>
      <c r="N1355" s="2" t="s">
        <v>234</v>
      </c>
      <c r="O1355" s="2" t="s">
        <v>146</v>
      </c>
      <c r="P1355" s="2" t="s">
        <v>73</v>
      </c>
      <c r="Q1355" s="2">
        <f t="shared" si="21"/>
        <v>1</v>
      </c>
    </row>
    <row r="1356" spans="1:17" x14ac:dyDescent="0.25">
      <c r="A1356" s="2" t="s">
        <v>3750</v>
      </c>
      <c r="B1356" s="2" t="s">
        <v>3751</v>
      </c>
      <c r="C1356" s="2" t="s">
        <v>19</v>
      </c>
      <c r="D1356" s="2" t="s">
        <v>20</v>
      </c>
      <c r="E1356" s="2" t="s">
        <v>205</v>
      </c>
      <c r="F1356" s="2">
        <v>23.472000000000001</v>
      </c>
      <c r="G1356" s="2" t="s">
        <v>206</v>
      </c>
      <c r="H1356" s="2">
        <v>80</v>
      </c>
      <c r="I1356" s="2">
        <v>18.777600000000003</v>
      </c>
      <c r="J1356" s="2" t="s">
        <v>101</v>
      </c>
      <c r="K1356" s="20">
        <v>44670</v>
      </c>
      <c r="L1356" s="20">
        <v>44307</v>
      </c>
      <c r="M1356" s="20">
        <v>44307</v>
      </c>
      <c r="N1356" s="2" t="s">
        <v>248</v>
      </c>
      <c r="O1356" s="2" t="s">
        <v>33</v>
      </c>
      <c r="P1356" s="2" t="s">
        <v>34</v>
      </c>
      <c r="Q1356" s="2">
        <f t="shared" si="21"/>
        <v>1</v>
      </c>
    </row>
    <row r="1357" spans="1:17" x14ac:dyDescent="0.25">
      <c r="A1357" s="2" t="s">
        <v>3753</v>
      </c>
      <c r="B1357" s="2" t="s">
        <v>3754</v>
      </c>
      <c r="C1357" s="2" t="s">
        <v>30</v>
      </c>
      <c r="D1357" s="2" t="s">
        <v>20</v>
      </c>
      <c r="E1357" s="2" t="s">
        <v>205</v>
      </c>
      <c r="F1357" s="2">
        <v>12.096</v>
      </c>
      <c r="G1357" s="2" t="s">
        <v>206</v>
      </c>
      <c r="H1357" s="2">
        <v>80</v>
      </c>
      <c r="I1357" s="2">
        <v>9.6768000000000001</v>
      </c>
      <c r="J1357" s="2" t="s">
        <v>101</v>
      </c>
      <c r="K1357" s="20">
        <v>44676</v>
      </c>
      <c r="L1357" s="20">
        <v>44315</v>
      </c>
      <c r="M1357" s="20">
        <v>44315</v>
      </c>
      <c r="N1357" s="2" t="s">
        <v>213</v>
      </c>
      <c r="O1357" s="2" t="s">
        <v>40</v>
      </c>
      <c r="P1357" s="2" t="s">
        <v>34</v>
      </c>
      <c r="Q1357" s="2">
        <f t="shared" si="21"/>
        <v>1</v>
      </c>
    </row>
    <row r="1358" spans="1:17" x14ac:dyDescent="0.25">
      <c r="A1358" s="2" t="s">
        <v>3756</v>
      </c>
      <c r="B1358" s="2" t="s">
        <v>3757</v>
      </c>
      <c r="C1358" s="2" t="s">
        <v>30</v>
      </c>
      <c r="D1358" s="2" t="s">
        <v>31</v>
      </c>
      <c r="E1358" s="2" t="s">
        <v>205</v>
      </c>
      <c r="F1358" s="2">
        <v>5.9039999999999999</v>
      </c>
      <c r="G1358" s="2" t="s">
        <v>206</v>
      </c>
      <c r="H1358" s="2">
        <v>80</v>
      </c>
      <c r="I1358" s="2">
        <v>4.7232000000000003</v>
      </c>
      <c r="J1358" s="2" t="s">
        <v>101</v>
      </c>
      <c r="K1358" s="20">
        <v>44677</v>
      </c>
      <c r="L1358" s="20">
        <v>44315</v>
      </c>
      <c r="M1358" s="20">
        <v>44315</v>
      </c>
      <c r="N1358" s="2" t="s">
        <v>248</v>
      </c>
      <c r="O1358" s="2" t="s">
        <v>82</v>
      </c>
      <c r="P1358" s="2" t="s">
        <v>47</v>
      </c>
      <c r="Q1358" s="2">
        <f t="shared" si="21"/>
        <v>1</v>
      </c>
    </row>
    <row r="1359" spans="1:17" x14ac:dyDescent="0.25">
      <c r="A1359" s="2" t="s">
        <v>3759</v>
      </c>
      <c r="B1359" s="2" t="s">
        <v>3760</v>
      </c>
      <c r="C1359" s="2" t="s">
        <v>30</v>
      </c>
      <c r="D1359" s="2" t="s">
        <v>31</v>
      </c>
      <c r="E1359" s="2" t="s">
        <v>205</v>
      </c>
      <c r="F1359" s="2">
        <v>51.015999999999998</v>
      </c>
      <c r="G1359" s="2" t="s">
        <v>206</v>
      </c>
      <c r="H1359" s="2">
        <v>80</v>
      </c>
      <c r="I1359" s="2">
        <v>40.812800000000003</v>
      </c>
      <c r="J1359" s="2" t="s">
        <v>101</v>
      </c>
      <c r="K1359" s="20">
        <v>44677</v>
      </c>
      <c r="L1359" s="20">
        <v>44319</v>
      </c>
      <c r="M1359" s="20">
        <v>44319</v>
      </c>
      <c r="N1359" s="2" t="s">
        <v>238</v>
      </c>
      <c r="O1359" s="2" t="s">
        <v>67</v>
      </c>
      <c r="P1359" s="2" t="s">
        <v>68</v>
      </c>
      <c r="Q1359" s="2">
        <f t="shared" si="21"/>
        <v>1</v>
      </c>
    </row>
    <row r="1360" spans="1:17" x14ac:dyDescent="0.25">
      <c r="A1360" s="2" t="s">
        <v>3762</v>
      </c>
      <c r="B1360" s="2" t="s">
        <v>3763</v>
      </c>
      <c r="C1360" s="2" t="s">
        <v>19</v>
      </c>
      <c r="D1360" s="2" t="s">
        <v>230</v>
      </c>
      <c r="E1360" s="2" t="s">
        <v>212</v>
      </c>
      <c r="F1360" s="2">
        <v>15.552</v>
      </c>
      <c r="G1360" s="2" t="s">
        <v>206</v>
      </c>
      <c r="H1360" s="2">
        <v>100</v>
      </c>
      <c r="I1360" s="2">
        <v>15.552</v>
      </c>
      <c r="J1360" s="2" t="s">
        <v>101</v>
      </c>
      <c r="K1360" s="20">
        <v>44678</v>
      </c>
      <c r="L1360" s="20">
        <v>44317</v>
      </c>
      <c r="M1360" s="20">
        <v>44317</v>
      </c>
      <c r="N1360" s="2" t="s">
        <v>213</v>
      </c>
      <c r="O1360" s="2" t="s">
        <v>82</v>
      </c>
      <c r="P1360" s="2" t="s">
        <v>47</v>
      </c>
      <c r="Q1360" s="2">
        <f t="shared" si="21"/>
        <v>1</v>
      </c>
    </row>
    <row r="1361" spans="1:17" x14ac:dyDescent="0.25">
      <c r="A1361" s="2" t="s">
        <v>3764</v>
      </c>
      <c r="B1361" s="2" t="s">
        <v>3765</v>
      </c>
      <c r="C1361" s="2" t="s">
        <v>19</v>
      </c>
      <c r="D1361" s="2" t="s">
        <v>86</v>
      </c>
      <c r="E1361" s="2" t="s">
        <v>205</v>
      </c>
      <c r="F1361" s="2">
        <v>179.939999999999</v>
      </c>
      <c r="G1361" s="2" t="s">
        <v>206</v>
      </c>
      <c r="H1361" s="2">
        <v>80</v>
      </c>
      <c r="I1361" s="2">
        <v>143.9519999999992</v>
      </c>
      <c r="J1361" s="2" t="s">
        <v>101</v>
      </c>
      <c r="K1361" s="20">
        <v>44685</v>
      </c>
      <c r="L1361" s="20">
        <v>44323</v>
      </c>
      <c r="M1361" s="20">
        <v>44323</v>
      </c>
      <c r="N1361" s="2" t="s">
        <v>234</v>
      </c>
      <c r="O1361" s="2" t="s">
        <v>97</v>
      </c>
      <c r="P1361" s="2" t="s">
        <v>68</v>
      </c>
      <c r="Q1361" s="2">
        <f t="shared" si="21"/>
        <v>1</v>
      </c>
    </row>
    <row r="1362" spans="1:17" x14ac:dyDescent="0.25">
      <c r="A1362" s="2" t="s">
        <v>3766</v>
      </c>
      <c r="B1362" s="2" t="s">
        <v>3767</v>
      </c>
      <c r="C1362" s="2" t="s">
        <v>30</v>
      </c>
      <c r="D1362" s="2" t="s">
        <v>81</v>
      </c>
      <c r="E1362" s="2" t="s">
        <v>205</v>
      </c>
      <c r="F1362" s="2">
        <v>10.368</v>
      </c>
      <c r="G1362" s="2" t="s">
        <v>206</v>
      </c>
      <c r="H1362" s="2">
        <v>80</v>
      </c>
      <c r="I1362" s="2">
        <v>8.2944000000000013</v>
      </c>
      <c r="J1362" s="2" t="s">
        <v>101</v>
      </c>
      <c r="K1362" s="20">
        <v>44690</v>
      </c>
      <c r="L1362" s="20">
        <v>44327</v>
      </c>
      <c r="M1362" s="20">
        <v>44327</v>
      </c>
      <c r="N1362" s="2" t="s">
        <v>213</v>
      </c>
      <c r="O1362" s="2" t="s">
        <v>97</v>
      </c>
      <c r="P1362" s="2" t="s">
        <v>68</v>
      </c>
      <c r="Q1362" s="2">
        <f t="shared" si="21"/>
        <v>1</v>
      </c>
    </row>
    <row r="1363" spans="1:17" x14ac:dyDescent="0.25">
      <c r="A1363" s="2" t="s">
        <v>3769</v>
      </c>
      <c r="B1363" s="2" t="s">
        <v>3770</v>
      </c>
      <c r="C1363" s="2" t="s">
        <v>19</v>
      </c>
      <c r="D1363" s="2" t="s">
        <v>31</v>
      </c>
      <c r="E1363" s="2" t="s">
        <v>205</v>
      </c>
      <c r="F1363" s="2">
        <v>1403.92</v>
      </c>
      <c r="G1363" s="2" t="s">
        <v>206</v>
      </c>
      <c r="H1363" s="2">
        <v>80</v>
      </c>
      <c r="I1363" s="2">
        <v>1123.1360000000002</v>
      </c>
      <c r="J1363" s="2" t="s">
        <v>101</v>
      </c>
      <c r="K1363" s="20">
        <v>44696</v>
      </c>
      <c r="L1363" s="20">
        <v>44338</v>
      </c>
      <c r="M1363" s="20">
        <v>44338</v>
      </c>
      <c r="N1363" s="2" t="s">
        <v>220</v>
      </c>
      <c r="O1363" s="2" t="s">
        <v>146</v>
      </c>
      <c r="P1363" s="2" t="s">
        <v>73</v>
      </c>
      <c r="Q1363" s="2">
        <f t="shared" si="21"/>
        <v>1</v>
      </c>
    </row>
    <row r="1364" spans="1:17" x14ac:dyDescent="0.25">
      <c r="A1364" s="2" t="s">
        <v>3771</v>
      </c>
      <c r="B1364" s="2" t="s">
        <v>3772</v>
      </c>
      <c r="C1364" s="2" t="s">
        <v>19</v>
      </c>
      <c r="D1364" s="2" t="s">
        <v>230</v>
      </c>
      <c r="E1364" s="2" t="s">
        <v>212</v>
      </c>
      <c r="F1364" s="2">
        <v>8.5440000000000005</v>
      </c>
      <c r="G1364" s="2" t="s">
        <v>206</v>
      </c>
      <c r="H1364" s="2">
        <v>100</v>
      </c>
      <c r="I1364" s="2">
        <v>8.5440000000000005</v>
      </c>
      <c r="J1364" s="2" t="s">
        <v>101</v>
      </c>
      <c r="K1364" s="20">
        <v>44697</v>
      </c>
      <c r="L1364" s="20">
        <v>44339</v>
      </c>
      <c r="M1364" s="20">
        <v>44339</v>
      </c>
      <c r="N1364" s="2" t="s">
        <v>220</v>
      </c>
      <c r="O1364" s="2" t="s">
        <v>33</v>
      </c>
      <c r="P1364" s="2" t="s">
        <v>34</v>
      </c>
      <c r="Q1364" s="2">
        <f t="shared" si="21"/>
        <v>1</v>
      </c>
    </row>
    <row r="1365" spans="1:17" x14ac:dyDescent="0.25">
      <c r="A1365" s="2" t="s">
        <v>3773</v>
      </c>
      <c r="B1365" s="2" t="s">
        <v>3774</v>
      </c>
      <c r="C1365" s="2" t="s">
        <v>30</v>
      </c>
      <c r="D1365" s="2" t="s">
        <v>115</v>
      </c>
      <c r="E1365" s="2" t="s">
        <v>212</v>
      </c>
      <c r="F1365" s="2">
        <v>17.28</v>
      </c>
      <c r="G1365" s="2" t="s">
        <v>206</v>
      </c>
      <c r="H1365" s="2">
        <v>100</v>
      </c>
      <c r="I1365" s="2">
        <v>17.28</v>
      </c>
      <c r="J1365" s="2" t="s">
        <v>101</v>
      </c>
      <c r="K1365" s="20">
        <v>44698</v>
      </c>
      <c r="L1365" s="20">
        <v>44333</v>
      </c>
      <c r="M1365" s="20">
        <v>44333</v>
      </c>
      <c r="N1365" s="2" t="s">
        <v>234</v>
      </c>
      <c r="O1365" s="2" t="s">
        <v>67</v>
      </c>
      <c r="P1365" s="2" t="s">
        <v>68</v>
      </c>
      <c r="Q1365" s="2">
        <f t="shared" si="21"/>
        <v>1</v>
      </c>
    </row>
    <row r="1366" spans="1:17" x14ac:dyDescent="0.25">
      <c r="A1366" s="2" t="s">
        <v>3775</v>
      </c>
      <c r="B1366" s="2" t="s">
        <v>3776</v>
      </c>
      <c r="C1366" s="2" t="s">
        <v>19</v>
      </c>
      <c r="D1366" s="2" t="s">
        <v>164</v>
      </c>
      <c r="E1366" s="2" t="s">
        <v>205</v>
      </c>
      <c r="F1366" s="2">
        <v>12.84</v>
      </c>
      <c r="G1366" s="2" t="s">
        <v>206</v>
      </c>
      <c r="H1366" s="2">
        <v>80</v>
      </c>
      <c r="I1366" s="2">
        <v>10.272</v>
      </c>
      <c r="J1366" s="2" t="s">
        <v>101</v>
      </c>
      <c r="K1366" s="20">
        <v>44703</v>
      </c>
      <c r="L1366" s="20">
        <v>44344</v>
      </c>
      <c r="M1366" s="20">
        <v>44344</v>
      </c>
      <c r="N1366" s="2" t="s">
        <v>234</v>
      </c>
      <c r="O1366" s="2" t="s">
        <v>33</v>
      </c>
      <c r="P1366" s="2" t="s">
        <v>34</v>
      </c>
      <c r="Q1366" s="2">
        <f t="shared" si="21"/>
        <v>1</v>
      </c>
    </row>
    <row r="1367" spans="1:17" x14ac:dyDescent="0.25">
      <c r="A1367" s="2" t="s">
        <v>3778</v>
      </c>
      <c r="B1367" s="2" t="s">
        <v>3779</v>
      </c>
      <c r="C1367" s="2" t="s">
        <v>30</v>
      </c>
      <c r="D1367" s="2" t="s">
        <v>77</v>
      </c>
      <c r="E1367" s="2" t="s">
        <v>205</v>
      </c>
      <c r="F1367" s="2">
        <v>5.28</v>
      </c>
      <c r="G1367" s="2" t="s">
        <v>206</v>
      </c>
      <c r="H1367" s="2">
        <v>80</v>
      </c>
      <c r="I1367" s="2">
        <v>4.2240000000000002</v>
      </c>
      <c r="J1367" s="2" t="s">
        <v>101</v>
      </c>
      <c r="K1367" s="20">
        <v>44718</v>
      </c>
      <c r="L1367" s="20">
        <v>44357</v>
      </c>
      <c r="M1367" s="20">
        <v>44357</v>
      </c>
      <c r="N1367" s="2" t="s">
        <v>213</v>
      </c>
      <c r="O1367" s="2" t="s">
        <v>46</v>
      </c>
      <c r="P1367" s="2" t="s">
        <v>47</v>
      </c>
      <c r="Q1367" s="2">
        <f t="shared" si="21"/>
        <v>1</v>
      </c>
    </row>
    <row r="1368" spans="1:17" x14ac:dyDescent="0.25">
      <c r="A1368" s="2" t="s">
        <v>3780</v>
      </c>
      <c r="B1368" s="2" t="s">
        <v>3781</v>
      </c>
      <c r="C1368" s="2" t="s">
        <v>30</v>
      </c>
      <c r="D1368" s="2" t="s">
        <v>105</v>
      </c>
      <c r="E1368" s="2" t="s">
        <v>205</v>
      </c>
      <c r="F1368" s="2">
        <v>35.543999999999997</v>
      </c>
      <c r="G1368" s="2" t="s">
        <v>206</v>
      </c>
      <c r="H1368" s="2">
        <v>80</v>
      </c>
      <c r="I1368" s="2">
        <v>28.435199999999998</v>
      </c>
      <c r="J1368" s="2" t="s">
        <v>101</v>
      </c>
      <c r="K1368" s="20">
        <v>44725</v>
      </c>
      <c r="L1368" s="20">
        <v>44365</v>
      </c>
      <c r="M1368" s="20">
        <v>44365</v>
      </c>
      <c r="N1368" s="2" t="s">
        <v>220</v>
      </c>
      <c r="O1368" s="2" t="s">
        <v>97</v>
      </c>
      <c r="P1368" s="2" t="s">
        <v>68</v>
      </c>
      <c r="Q1368" s="2">
        <f t="shared" si="21"/>
        <v>1</v>
      </c>
    </row>
    <row r="1369" spans="1:17" x14ac:dyDescent="0.25">
      <c r="A1369" s="2" t="s">
        <v>3783</v>
      </c>
      <c r="B1369" s="2" t="s">
        <v>3784</v>
      </c>
      <c r="C1369" s="2" t="s">
        <v>30</v>
      </c>
      <c r="D1369" s="2" t="s">
        <v>345</v>
      </c>
      <c r="E1369" s="2" t="s">
        <v>212</v>
      </c>
      <c r="F1369" s="2">
        <v>493.91999999999899</v>
      </c>
      <c r="G1369" s="2" t="s">
        <v>206</v>
      </c>
      <c r="H1369" s="2">
        <v>100</v>
      </c>
      <c r="I1369" s="2">
        <v>493.91999999999899</v>
      </c>
      <c r="J1369" s="2" t="s">
        <v>101</v>
      </c>
      <c r="K1369" s="20">
        <v>44726</v>
      </c>
      <c r="L1369" s="20">
        <v>44362</v>
      </c>
      <c r="M1369" s="20">
        <v>44362</v>
      </c>
      <c r="N1369" s="2" t="s">
        <v>234</v>
      </c>
      <c r="O1369" s="2" t="s">
        <v>46</v>
      </c>
      <c r="P1369" s="2" t="s">
        <v>47</v>
      </c>
      <c r="Q1369" s="2">
        <f t="shared" si="21"/>
        <v>1</v>
      </c>
    </row>
    <row r="1370" spans="1:17" x14ac:dyDescent="0.25">
      <c r="A1370" s="2" t="s">
        <v>3786</v>
      </c>
      <c r="B1370" s="2" t="s">
        <v>3787</v>
      </c>
      <c r="C1370" s="2" t="s">
        <v>30</v>
      </c>
      <c r="D1370" s="2" t="s">
        <v>86</v>
      </c>
      <c r="E1370" s="2" t="s">
        <v>205</v>
      </c>
      <c r="F1370" s="2">
        <v>17.568000000000001</v>
      </c>
      <c r="G1370" s="2" t="s">
        <v>206</v>
      </c>
      <c r="H1370" s="2">
        <v>80</v>
      </c>
      <c r="I1370" s="2">
        <v>14.054400000000001</v>
      </c>
      <c r="J1370" s="2" t="s">
        <v>101</v>
      </c>
      <c r="K1370" s="20">
        <v>44732</v>
      </c>
      <c r="L1370" s="20">
        <v>44367</v>
      </c>
      <c r="M1370" s="20">
        <v>44367</v>
      </c>
      <c r="N1370" s="2" t="s">
        <v>220</v>
      </c>
      <c r="O1370" s="2" t="s">
        <v>54</v>
      </c>
      <c r="P1370" s="2" t="s">
        <v>26</v>
      </c>
      <c r="Q1370" s="2">
        <f t="shared" si="21"/>
        <v>1</v>
      </c>
    </row>
    <row r="1371" spans="1:17" x14ac:dyDescent="0.25">
      <c r="A1371" s="2" t="s">
        <v>3788</v>
      </c>
      <c r="B1371" s="2" t="s">
        <v>3789</v>
      </c>
      <c r="C1371" s="2" t="s">
        <v>30</v>
      </c>
      <c r="D1371" s="2" t="s">
        <v>51</v>
      </c>
      <c r="E1371" s="2" t="s">
        <v>205</v>
      </c>
      <c r="F1371" s="2">
        <v>33.36</v>
      </c>
      <c r="G1371" s="2" t="s">
        <v>206</v>
      </c>
      <c r="H1371" s="2">
        <v>80</v>
      </c>
      <c r="I1371" s="2">
        <v>26.688000000000002</v>
      </c>
      <c r="J1371" s="2" t="s">
        <v>101</v>
      </c>
      <c r="K1371" s="20">
        <v>44732</v>
      </c>
      <c r="L1371" s="20">
        <v>44372</v>
      </c>
      <c r="M1371" s="20">
        <v>44372</v>
      </c>
      <c r="N1371" s="2" t="s">
        <v>248</v>
      </c>
      <c r="O1371" s="2" t="s">
        <v>146</v>
      </c>
      <c r="P1371" s="2" t="s">
        <v>73</v>
      </c>
      <c r="Q1371" s="2">
        <f t="shared" si="21"/>
        <v>1</v>
      </c>
    </row>
    <row r="1372" spans="1:17" x14ac:dyDescent="0.25">
      <c r="A1372" s="2" t="s">
        <v>3790</v>
      </c>
      <c r="B1372" s="2" t="s">
        <v>3791</v>
      </c>
      <c r="C1372" s="2" t="s">
        <v>30</v>
      </c>
      <c r="D1372" s="2" t="s">
        <v>51</v>
      </c>
      <c r="E1372" s="2" t="s">
        <v>205</v>
      </c>
      <c r="F1372" s="2">
        <v>33.36</v>
      </c>
      <c r="G1372" s="2" t="s">
        <v>206</v>
      </c>
      <c r="H1372" s="2">
        <v>80</v>
      </c>
      <c r="I1372" s="2">
        <v>26.688000000000002</v>
      </c>
      <c r="J1372" s="2" t="s">
        <v>101</v>
      </c>
      <c r="K1372" s="20">
        <v>44736</v>
      </c>
      <c r="L1372" s="20">
        <v>44373</v>
      </c>
      <c r="M1372" s="20">
        <v>44373</v>
      </c>
      <c r="N1372" s="2" t="s">
        <v>248</v>
      </c>
      <c r="O1372" s="2" t="s">
        <v>82</v>
      </c>
      <c r="P1372" s="2" t="s">
        <v>47</v>
      </c>
      <c r="Q1372" s="2">
        <f t="shared" si="21"/>
        <v>1</v>
      </c>
    </row>
    <row r="1373" spans="1:17" x14ac:dyDescent="0.25">
      <c r="A1373" s="2" t="s">
        <v>3792</v>
      </c>
      <c r="B1373" s="2" t="s">
        <v>3793</v>
      </c>
      <c r="C1373" s="2" t="s">
        <v>19</v>
      </c>
      <c r="D1373" s="2" t="s">
        <v>164</v>
      </c>
      <c r="E1373" s="2" t="s">
        <v>212</v>
      </c>
      <c r="F1373" s="2">
        <v>7.5839999999999996</v>
      </c>
      <c r="G1373" s="2" t="s">
        <v>206</v>
      </c>
      <c r="H1373" s="2">
        <v>100</v>
      </c>
      <c r="I1373" s="2">
        <v>7.5839999999999996</v>
      </c>
      <c r="J1373" s="2" t="s">
        <v>101</v>
      </c>
      <c r="K1373" s="20">
        <v>44742</v>
      </c>
      <c r="L1373" s="20">
        <v>44381</v>
      </c>
      <c r="M1373" s="20">
        <v>44381</v>
      </c>
      <c r="N1373" s="2" t="s">
        <v>238</v>
      </c>
      <c r="O1373" s="2" t="s">
        <v>40</v>
      </c>
      <c r="P1373" s="2" t="s">
        <v>34</v>
      </c>
      <c r="Q1373" s="2">
        <f t="shared" si="21"/>
        <v>1</v>
      </c>
    </row>
    <row r="1374" spans="1:17" x14ac:dyDescent="0.25">
      <c r="A1374" s="2" t="s">
        <v>3795</v>
      </c>
      <c r="B1374" s="2" t="s">
        <v>3796</v>
      </c>
      <c r="C1374" s="2" t="s">
        <v>19</v>
      </c>
      <c r="D1374" s="2" t="s">
        <v>51</v>
      </c>
      <c r="E1374" s="2" t="s">
        <v>212</v>
      </c>
      <c r="F1374" s="2">
        <v>369.91199999999998</v>
      </c>
      <c r="G1374" s="2" t="s">
        <v>206</v>
      </c>
      <c r="H1374" s="2">
        <v>100</v>
      </c>
      <c r="I1374" s="2">
        <v>369.91199999999998</v>
      </c>
      <c r="J1374" s="2" t="s">
        <v>101</v>
      </c>
      <c r="K1374" s="20">
        <v>44745</v>
      </c>
      <c r="L1374" s="20">
        <v>44380</v>
      </c>
      <c r="M1374" s="20">
        <v>44380</v>
      </c>
      <c r="N1374" s="2" t="s">
        <v>207</v>
      </c>
      <c r="O1374" s="2" t="s">
        <v>67</v>
      </c>
      <c r="P1374" s="2" t="s">
        <v>68</v>
      </c>
      <c r="Q1374" s="2">
        <f t="shared" si="21"/>
        <v>1</v>
      </c>
    </row>
    <row r="1375" spans="1:17" x14ac:dyDescent="0.25">
      <c r="A1375" s="2" t="s">
        <v>3798</v>
      </c>
      <c r="B1375" s="2" t="s">
        <v>3799</v>
      </c>
      <c r="C1375" s="2" t="s">
        <v>30</v>
      </c>
      <c r="D1375" s="2" t="s">
        <v>105</v>
      </c>
      <c r="E1375" s="2" t="s">
        <v>212</v>
      </c>
      <c r="F1375" s="2">
        <v>17.43</v>
      </c>
      <c r="G1375" s="2" t="s">
        <v>206</v>
      </c>
      <c r="H1375" s="2">
        <v>100</v>
      </c>
      <c r="I1375" s="2">
        <v>17.43</v>
      </c>
      <c r="J1375" s="2" t="s">
        <v>101</v>
      </c>
      <c r="K1375" s="20">
        <v>44747</v>
      </c>
      <c r="L1375" s="20">
        <v>44387</v>
      </c>
      <c r="M1375" s="20">
        <v>44387</v>
      </c>
      <c r="N1375" s="2" t="s">
        <v>234</v>
      </c>
      <c r="O1375" s="2" t="s">
        <v>72</v>
      </c>
      <c r="P1375" s="2" t="s">
        <v>73</v>
      </c>
      <c r="Q1375" s="2">
        <f t="shared" si="21"/>
        <v>1</v>
      </c>
    </row>
    <row r="1376" spans="1:17" x14ac:dyDescent="0.25">
      <c r="A1376" s="2" t="s">
        <v>3801</v>
      </c>
      <c r="B1376" s="2" t="s">
        <v>3802</v>
      </c>
      <c r="C1376" s="2" t="s">
        <v>30</v>
      </c>
      <c r="D1376" s="2" t="s">
        <v>51</v>
      </c>
      <c r="E1376" s="2" t="s">
        <v>205</v>
      </c>
      <c r="F1376" s="2">
        <v>311.976</v>
      </c>
      <c r="G1376" s="2" t="s">
        <v>206</v>
      </c>
      <c r="H1376" s="2">
        <v>80</v>
      </c>
      <c r="I1376" s="2">
        <v>249.58080000000001</v>
      </c>
      <c r="J1376" s="2" t="s">
        <v>101</v>
      </c>
      <c r="K1376" s="20">
        <v>44755</v>
      </c>
      <c r="L1376" s="20">
        <v>44396</v>
      </c>
      <c r="M1376" s="20">
        <v>44396</v>
      </c>
      <c r="N1376" s="2" t="s">
        <v>234</v>
      </c>
      <c r="O1376" s="2" t="s">
        <v>97</v>
      </c>
      <c r="P1376" s="2" t="s">
        <v>68</v>
      </c>
      <c r="Q1376" s="2">
        <f t="shared" si="21"/>
        <v>1</v>
      </c>
    </row>
    <row r="1377" spans="1:17" x14ac:dyDescent="0.25">
      <c r="A1377" s="2" t="s">
        <v>3804</v>
      </c>
      <c r="B1377" s="2" t="s">
        <v>3805</v>
      </c>
      <c r="C1377" s="2" t="s">
        <v>30</v>
      </c>
      <c r="D1377" s="2" t="s">
        <v>58</v>
      </c>
      <c r="E1377" s="2" t="s">
        <v>212</v>
      </c>
      <c r="F1377" s="2">
        <v>844.11599999999896</v>
      </c>
      <c r="G1377" s="2" t="s">
        <v>206</v>
      </c>
      <c r="H1377" s="2">
        <v>100</v>
      </c>
      <c r="I1377" s="2">
        <v>844.11599999999896</v>
      </c>
      <c r="J1377" s="2" t="s">
        <v>101</v>
      </c>
      <c r="K1377" s="20">
        <v>44769</v>
      </c>
      <c r="L1377" s="20">
        <v>44411</v>
      </c>
      <c r="M1377" s="20">
        <v>44411</v>
      </c>
      <c r="N1377" s="2" t="s">
        <v>248</v>
      </c>
      <c r="O1377" s="2" t="s">
        <v>46</v>
      </c>
      <c r="P1377" s="2" t="s">
        <v>47</v>
      </c>
      <c r="Q1377" s="2">
        <f t="shared" si="21"/>
        <v>1</v>
      </c>
    </row>
    <row r="1378" spans="1:17" x14ac:dyDescent="0.25">
      <c r="A1378" s="2" t="s">
        <v>3806</v>
      </c>
      <c r="B1378" s="2" t="s">
        <v>3807</v>
      </c>
      <c r="C1378" s="2" t="s">
        <v>30</v>
      </c>
      <c r="D1378" s="2" t="s">
        <v>58</v>
      </c>
      <c r="E1378" s="2" t="s">
        <v>205</v>
      </c>
      <c r="F1378" s="2">
        <v>125.93</v>
      </c>
      <c r="G1378" s="2" t="s">
        <v>206</v>
      </c>
      <c r="H1378" s="2">
        <v>80</v>
      </c>
      <c r="I1378" s="2">
        <v>100.74400000000001</v>
      </c>
      <c r="J1378" s="2" t="s">
        <v>101</v>
      </c>
      <c r="K1378" s="20">
        <v>44769</v>
      </c>
      <c r="L1378" s="20">
        <v>44404</v>
      </c>
      <c r="M1378" s="20">
        <v>44404</v>
      </c>
      <c r="N1378" s="2" t="s">
        <v>234</v>
      </c>
      <c r="O1378" s="2" t="s">
        <v>67</v>
      </c>
      <c r="P1378" s="2" t="s">
        <v>68</v>
      </c>
      <c r="Q1378" s="2">
        <f t="shared" si="21"/>
        <v>1</v>
      </c>
    </row>
    <row r="1379" spans="1:17" x14ac:dyDescent="0.25">
      <c r="A1379" s="2" t="s">
        <v>3809</v>
      </c>
      <c r="B1379" s="2" t="s">
        <v>3810</v>
      </c>
      <c r="C1379" s="2" t="s">
        <v>19</v>
      </c>
      <c r="D1379" s="2" t="s">
        <v>186</v>
      </c>
      <c r="E1379" s="2" t="s">
        <v>212</v>
      </c>
      <c r="F1379" s="2">
        <v>21.968</v>
      </c>
      <c r="G1379" s="2" t="s">
        <v>206</v>
      </c>
      <c r="H1379" s="2">
        <v>100</v>
      </c>
      <c r="I1379" s="2">
        <v>21.968</v>
      </c>
      <c r="J1379" s="2" t="s">
        <v>101</v>
      </c>
      <c r="K1379" s="20">
        <v>44774</v>
      </c>
      <c r="L1379" s="20">
        <v>44415</v>
      </c>
      <c r="M1379" s="20">
        <v>44415</v>
      </c>
      <c r="N1379" s="2" t="s">
        <v>238</v>
      </c>
      <c r="O1379" s="2" t="s">
        <v>25</v>
      </c>
      <c r="P1379" s="2" t="s">
        <v>26</v>
      </c>
      <c r="Q1379" s="2">
        <f t="shared" si="21"/>
        <v>1</v>
      </c>
    </row>
    <row r="1380" spans="1:17" x14ac:dyDescent="0.25">
      <c r="A1380" s="2" t="s">
        <v>3812</v>
      </c>
      <c r="B1380" s="2" t="s">
        <v>3813</v>
      </c>
      <c r="C1380" s="2" t="s">
        <v>19</v>
      </c>
      <c r="D1380" s="2" t="s">
        <v>51</v>
      </c>
      <c r="E1380" s="2" t="s">
        <v>212</v>
      </c>
      <c r="F1380" s="2">
        <v>122.91</v>
      </c>
      <c r="G1380" s="2" t="s">
        <v>206</v>
      </c>
      <c r="H1380" s="2">
        <v>100</v>
      </c>
      <c r="I1380" s="2">
        <v>122.91</v>
      </c>
      <c r="J1380" s="2" t="s">
        <v>101</v>
      </c>
      <c r="K1380" s="20">
        <v>44774</v>
      </c>
      <c r="L1380" s="20">
        <v>44415</v>
      </c>
      <c r="M1380" s="20">
        <v>44415</v>
      </c>
      <c r="N1380" s="2" t="s">
        <v>220</v>
      </c>
      <c r="O1380" s="2" t="s">
        <v>72</v>
      </c>
      <c r="P1380" s="2" t="s">
        <v>73</v>
      </c>
      <c r="Q1380" s="2">
        <f t="shared" si="21"/>
        <v>1</v>
      </c>
    </row>
    <row r="1381" spans="1:17" x14ac:dyDescent="0.25">
      <c r="A1381" s="2" t="s">
        <v>3815</v>
      </c>
      <c r="B1381" s="2" t="s">
        <v>3816</v>
      </c>
      <c r="C1381" s="2" t="s">
        <v>19</v>
      </c>
      <c r="D1381" s="2" t="s">
        <v>31</v>
      </c>
      <c r="E1381" s="2" t="s">
        <v>205</v>
      </c>
      <c r="F1381" s="2">
        <v>722.35199999999998</v>
      </c>
      <c r="G1381" s="2" t="s">
        <v>206</v>
      </c>
      <c r="H1381" s="2">
        <v>80</v>
      </c>
      <c r="I1381" s="2">
        <v>577.88160000000005</v>
      </c>
      <c r="J1381" s="2" t="s">
        <v>101</v>
      </c>
      <c r="K1381" s="20">
        <v>44780</v>
      </c>
      <c r="L1381" s="20">
        <v>44417</v>
      </c>
      <c r="M1381" s="20">
        <v>44417</v>
      </c>
      <c r="N1381" s="2" t="s">
        <v>234</v>
      </c>
      <c r="O1381" s="2" t="s">
        <v>40</v>
      </c>
      <c r="P1381" s="2" t="s">
        <v>34</v>
      </c>
      <c r="Q1381" s="2">
        <f t="shared" si="21"/>
        <v>1</v>
      </c>
    </row>
    <row r="1382" spans="1:17" x14ac:dyDescent="0.25">
      <c r="A1382" s="2" t="s">
        <v>3818</v>
      </c>
      <c r="B1382" s="2" t="s">
        <v>3819</v>
      </c>
      <c r="C1382" s="2" t="s">
        <v>19</v>
      </c>
      <c r="D1382" s="2" t="s">
        <v>31</v>
      </c>
      <c r="E1382" s="2" t="s">
        <v>205</v>
      </c>
      <c r="F1382" s="2">
        <v>167.76</v>
      </c>
      <c r="G1382" s="2" t="s">
        <v>206</v>
      </c>
      <c r="H1382" s="2">
        <v>80</v>
      </c>
      <c r="I1382" s="2">
        <v>134.208</v>
      </c>
      <c r="J1382" s="2" t="s">
        <v>101</v>
      </c>
      <c r="K1382" s="20">
        <v>44783</v>
      </c>
      <c r="L1382" s="20">
        <v>44422</v>
      </c>
      <c r="M1382" s="20">
        <v>44422</v>
      </c>
      <c r="N1382" s="2" t="s">
        <v>234</v>
      </c>
      <c r="O1382" s="2" t="s">
        <v>146</v>
      </c>
      <c r="P1382" s="2" t="s">
        <v>73</v>
      </c>
      <c r="Q1382" s="2">
        <f t="shared" si="21"/>
        <v>1</v>
      </c>
    </row>
    <row r="1383" spans="1:17" x14ac:dyDescent="0.25">
      <c r="A1383" s="2" t="s">
        <v>3820</v>
      </c>
      <c r="B1383" s="2" t="s">
        <v>3821</v>
      </c>
      <c r="C1383" s="2" t="s">
        <v>19</v>
      </c>
      <c r="D1383" s="2" t="s">
        <v>345</v>
      </c>
      <c r="E1383" s="2" t="s">
        <v>205</v>
      </c>
      <c r="F1383" s="2">
        <v>225.57599999999999</v>
      </c>
      <c r="G1383" s="2" t="s">
        <v>206</v>
      </c>
      <c r="H1383" s="2">
        <v>80</v>
      </c>
      <c r="I1383" s="2">
        <v>180.46080000000001</v>
      </c>
      <c r="J1383" s="2" t="s">
        <v>101</v>
      </c>
      <c r="K1383" s="20">
        <v>44789</v>
      </c>
      <c r="L1383" s="20">
        <v>44428</v>
      </c>
      <c r="M1383" s="20">
        <v>44428</v>
      </c>
      <c r="N1383" s="2" t="s">
        <v>207</v>
      </c>
      <c r="O1383" s="2" t="s">
        <v>146</v>
      </c>
      <c r="P1383" s="2" t="s">
        <v>73</v>
      </c>
      <c r="Q1383" s="2">
        <f t="shared" si="21"/>
        <v>1</v>
      </c>
    </row>
    <row r="1384" spans="1:17" x14ac:dyDescent="0.25">
      <c r="A1384" s="2" t="s">
        <v>3822</v>
      </c>
      <c r="B1384" s="2" t="s">
        <v>3823</v>
      </c>
      <c r="C1384" s="2" t="s">
        <v>30</v>
      </c>
      <c r="D1384" s="2" t="s">
        <v>211</v>
      </c>
      <c r="E1384" s="2" t="s">
        <v>205</v>
      </c>
      <c r="F1384" s="2">
        <v>51.98</v>
      </c>
      <c r="G1384" s="2" t="s">
        <v>206</v>
      </c>
      <c r="H1384" s="2">
        <v>80</v>
      </c>
      <c r="I1384" s="2">
        <v>41.584000000000003</v>
      </c>
      <c r="J1384" s="2" t="s">
        <v>101</v>
      </c>
      <c r="K1384" s="20">
        <v>44801</v>
      </c>
      <c r="L1384" s="20">
        <v>44440</v>
      </c>
      <c r="M1384" s="20">
        <v>44440</v>
      </c>
      <c r="N1384" s="2" t="s">
        <v>220</v>
      </c>
      <c r="O1384" s="2" t="s">
        <v>82</v>
      </c>
      <c r="P1384" s="2" t="s">
        <v>47</v>
      </c>
      <c r="Q1384" s="2">
        <f t="shared" si="21"/>
        <v>1</v>
      </c>
    </row>
    <row r="1385" spans="1:17" x14ac:dyDescent="0.25">
      <c r="A1385" s="2" t="s">
        <v>3825</v>
      </c>
      <c r="B1385" s="2" t="s">
        <v>3826</v>
      </c>
      <c r="C1385" s="2" t="s">
        <v>19</v>
      </c>
      <c r="D1385" s="2" t="s">
        <v>230</v>
      </c>
      <c r="E1385" s="2" t="s">
        <v>205</v>
      </c>
      <c r="F1385" s="2">
        <v>107.976</v>
      </c>
      <c r="G1385" s="2" t="s">
        <v>206</v>
      </c>
      <c r="H1385" s="2">
        <v>80</v>
      </c>
      <c r="I1385" s="2">
        <v>86.380800000000008</v>
      </c>
      <c r="J1385" s="2" t="s">
        <v>101</v>
      </c>
      <c r="K1385" s="20">
        <v>44805</v>
      </c>
      <c r="L1385" s="20">
        <v>44444</v>
      </c>
      <c r="M1385" s="20">
        <v>44444</v>
      </c>
      <c r="N1385" s="2" t="s">
        <v>248</v>
      </c>
      <c r="O1385" s="2" t="s">
        <v>33</v>
      </c>
      <c r="P1385" s="2" t="s">
        <v>34</v>
      </c>
      <c r="Q1385" s="2">
        <f t="shared" si="21"/>
        <v>1</v>
      </c>
    </row>
    <row r="1386" spans="1:17" x14ac:dyDescent="0.25">
      <c r="A1386" s="2" t="s">
        <v>3828</v>
      </c>
      <c r="B1386" s="2" t="s">
        <v>3829</v>
      </c>
      <c r="C1386" s="2" t="s">
        <v>30</v>
      </c>
      <c r="D1386" s="2" t="s">
        <v>58</v>
      </c>
      <c r="E1386" s="2" t="s">
        <v>212</v>
      </c>
      <c r="F1386" s="2">
        <v>6.58</v>
      </c>
      <c r="G1386" s="2" t="s">
        <v>206</v>
      </c>
      <c r="H1386" s="2">
        <v>100</v>
      </c>
      <c r="I1386" s="2">
        <v>6.58</v>
      </c>
      <c r="J1386" s="2" t="s">
        <v>101</v>
      </c>
      <c r="K1386" s="20">
        <v>44808</v>
      </c>
      <c r="L1386" s="20">
        <v>44448</v>
      </c>
      <c r="M1386" s="20">
        <v>44448</v>
      </c>
      <c r="N1386" s="2" t="s">
        <v>207</v>
      </c>
      <c r="O1386" s="2" t="s">
        <v>46</v>
      </c>
      <c r="P1386" s="2" t="s">
        <v>47</v>
      </c>
      <c r="Q1386" s="2">
        <f t="shared" si="21"/>
        <v>1</v>
      </c>
    </row>
    <row r="1387" spans="1:17" x14ac:dyDescent="0.25">
      <c r="A1387" s="2" t="s">
        <v>3831</v>
      </c>
      <c r="B1387" s="2" t="s">
        <v>3832</v>
      </c>
      <c r="C1387" s="2" t="s">
        <v>19</v>
      </c>
      <c r="D1387" s="2" t="s">
        <v>38</v>
      </c>
      <c r="E1387" s="2" t="s">
        <v>212</v>
      </c>
      <c r="F1387" s="2">
        <v>88.751999999999896</v>
      </c>
      <c r="G1387" s="2" t="s">
        <v>206</v>
      </c>
      <c r="H1387" s="2">
        <v>100</v>
      </c>
      <c r="I1387" s="2">
        <v>88.751999999999896</v>
      </c>
      <c r="J1387" s="2" t="s">
        <v>101</v>
      </c>
      <c r="K1387" s="20">
        <v>44808</v>
      </c>
      <c r="L1387" s="20">
        <v>44448</v>
      </c>
      <c r="M1387" s="20">
        <v>44448</v>
      </c>
      <c r="N1387" s="2" t="s">
        <v>248</v>
      </c>
      <c r="O1387" s="2" t="s">
        <v>67</v>
      </c>
      <c r="P1387" s="2" t="s">
        <v>68</v>
      </c>
      <c r="Q1387" s="2">
        <f t="shared" si="21"/>
        <v>1</v>
      </c>
    </row>
    <row r="1388" spans="1:17" x14ac:dyDescent="0.25">
      <c r="A1388" s="2" t="s">
        <v>3833</v>
      </c>
      <c r="B1388" s="2" t="s">
        <v>3834</v>
      </c>
      <c r="C1388" s="2" t="s">
        <v>19</v>
      </c>
      <c r="D1388" s="2" t="s">
        <v>62</v>
      </c>
      <c r="E1388" s="2" t="s">
        <v>212</v>
      </c>
      <c r="F1388" s="2">
        <v>294.93</v>
      </c>
      <c r="G1388" s="2" t="s">
        <v>206</v>
      </c>
      <c r="H1388" s="2">
        <v>100</v>
      </c>
      <c r="I1388" s="2">
        <v>294.93</v>
      </c>
      <c r="J1388" s="2" t="s">
        <v>101</v>
      </c>
      <c r="K1388" s="20">
        <v>44808</v>
      </c>
      <c r="L1388" s="20">
        <v>44448</v>
      </c>
      <c r="M1388" s="20">
        <v>44448</v>
      </c>
      <c r="N1388" s="2" t="s">
        <v>213</v>
      </c>
      <c r="O1388" s="2" t="s">
        <v>72</v>
      </c>
      <c r="P1388" s="2" t="s">
        <v>73</v>
      </c>
      <c r="Q1388" s="2">
        <f t="shared" si="21"/>
        <v>1</v>
      </c>
    </row>
    <row r="1389" spans="1:17" x14ac:dyDescent="0.25">
      <c r="A1389" s="2" t="s">
        <v>3836</v>
      </c>
      <c r="B1389" s="2" t="s">
        <v>3837</v>
      </c>
      <c r="C1389" s="2" t="s">
        <v>30</v>
      </c>
      <c r="D1389" s="2" t="s">
        <v>115</v>
      </c>
      <c r="E1389" s="2" t="s">
        <v>212</v>
      </c>
      <c r="F1389" s="2">
        <v>11.12</v>
      </c>
      <c r="G1389" s="2" t="s">
        <v>206</v>
      </c>
      <c r="H1389" s="2">
        <v>100</v>
      </c>
      <c r="I1389" s="2">
        <v>11.12</v>
      </c>
      <c r="J1389" s="2" t="s">
        <v>101</v>
      </c>
      <c r="K1389" s="20">
        <v>44808</v>
      </c>
      <c r="L1389" s="20">
        <v>44447</v>
      </c>
      <c r="M1389" s="20">
        <v>44447</v>
      </c>
      <c r="N1389" s="2" t="s">
        <v>213</v>
      </c>
      <c r="O1389" s="2" t="s">
        <v>25</v>
      </c>
      <c r="P1389" s="2" t="s">
        <v>26</v>
      </c>
      <c r="Q1389" s="2">
        <f t="shared" si="21"/>
        <v>1</v>
      </c>
    </row>
    <row r="1390" spans="1:17" x14ac:dyDescent="0.25">
      <c r="A1390" s="2" t="s">
        <v>3839</v>
      </c>
      <c r="B1390" s="2" t="s">
        <v>3840</v>
      </c>
      <c r="C1390" s="2" t="s">
        <v>19</v>
      </c>
      <c r="D1390" s="2" t="s">
        <v>20</v>
      </c>
      <c r="E1390" s="2" t="s">
        <v>212</v>
      </c>
      <c r="F1390" s="2">
        <v>84.09</v>
      </c>
      <c r="G1390" s="2" t="s">
        <v>206</v>
      </c>
      <c r="H1390" s="2">
        <v>100</v>
      </c>
      <c r="I1390" s="2">
        <v>84.09</v>
      </c>
      <c r="J1390" s="2" t="s">
        <v>101</v>
      </c>
      <c r="K1390" s="20">
        <v>44811</v>
      </c>
      <c r="L1390" s="20">
        <v>44448</v>
      </c>
      <c r="M1390" s="20">
        <v>44448</v>
      </c>
      <c r="N1390" s="2" t="s">
        <v>234</v>
      </c>
      <c r="O1390" s="2" t="s">
        <v>67</v>
      </c>
      <c r="P1390" s="2" t="s">
        <v>68</v>
      </c>
      <c r="Q1390" s="2">
        <f t="shared" si="21"/>
        <v>1</v>
      </c>
    </row>
    <row r="1391" spans="1:17" x14ac:dyDescent="0.25">
      <c r="A1391" s="2" t="s">
        <v>3841</v>
      </c>
      <c r="B1391" s="2" t="s">
        <v>3842</v>
      </c>
      <c r="C1391" s="2" t="s">
        <v>30</v>
      </c>
      <c r="D1391" s="2" t="s">
        <v>126</v>
      </c>
      <c r="E1391" s="2" t="s">
        <v>205</v>
      </c>
      <c r="F1391" s="2">
        <v>6.2640000000000002</v>
      </c>
      <c r="G1391" s="2" t="s">
        <v>206</v>
      </c>
      <c r="H1391" s="2">
        <v>80</v>
      </c>
      <c r="I1391" s="2">
        <v>5.0112000000000005</v>
      </c>
      <c r="J1391" s="2" t="s">
        <v>101</v>
      </c>
      <c r="K1391" s="20">
        <v>44811</v>
      </c>
      <c r="L1391" s="20">
        <v>44452</v>
      </c>
      <c r="M1391" s="20">
        <v>44452</v>
      </c>
      <c r="N1391" s="2" t="s">
        <v>238</v>
      </c>
      <c r="O1391" s="2" t="s">
        <v>33</v>
      </c>
      <c r="P1391" s="2" t="s">
        <v>34</v>
      </c>
      <c r="Q1391" s="2">
        <f t="shared" si="21"/>
        <v>1</v>
      </c>
    </row>
    <row r="1392" spans="1:17" x14ac:dyDescent="0.25">
      <c r="A1392" s="2" t="s">
        <v>3844</v>
      </c>
      <c r="B1392" s="2" t="s">
        <v>3845</v>
      </c>
      <c r="C1392" s="2" t="s">
        <v>19</v>
      </c>
      <c r="D1392" s="2" t="s">
        <v>62</v>
      </c>
      <c r="E1392" s="2" t="s">
        <v>205</v>
      </c>
      <c r="F1392" s="2">
        <v>79.36</v>
      </c>
      <c r="G1392" s="2" t="s">
        <v>206</v>
      </c>
      <c r="H1392" s="2">
        <v>80</v>
      </c>
      <c r="I1392" s="2">
        <v>63.488</v>
      </c>
      <c r="J1392" s="2" t="s">
        <v>101</v>
      </c>
      <c r="K1392" s="20">
        <v>44811</v>
      </c>
      <c r="L1392" s="20">
        <v>44453</v>
      </c>
      <c r="M1392" s="20">
        <v>44453</v>
      </c>
      <c r="N1392" s="2" t="s">
        <v>238</v>
      </c>
      <c r="O1392" s="2" t="s">
        <v>97</v>
      </c>
      <c r="P1392" s="2" t="s">
        <v>68</v>
      </c>
      <c r="Q1392" s="2">
        <f t="shared" si="21"/>
        <v>1</v>
      </c>
    </row>
    <row r="1393" spans="1:17" x14ac:dyDescent="0.25">
      <c r="A1393" s="2" t="s">
        <v>3846</v>
      </c>
      <c r="B1393" s="2" t="s">
        <v>3847</v>
      </c>
      <c r="C1393" s="2" t="s">
        <v>30</v>
      </c>
      <c r="D1393" s="2" t="s">
        <v>115</v>
      </c>
      <c r="E1393" s="2" t="s">
        <v>212</v>
      </c>
      <c r="F1393" s="2">
        <v>913.43</v>
      </c>
      <c r="G1393" s="2" t="s">
        <v>206</v>
      </c>
      <c r="H1393" s="2">
        <v>100</v>
      </c>
      <c r="I1393" s="2">
        <v>913.43</v>
      </c>
      <c r="J1393" s="2" t="s">
        <v>101</v>
      </c>
      <c r="K1393" s="20">
        <v>44812</v>
      </c>
      <c r="L1393" s="20">
        <v>44451</v>
      </c>
      <c r="M1393" s="20">
        <v>44451</v>
      </c>
      <c r="N1393" s="2" t="s">
        <v>213</v>
      </c>
      <c r="O1393" s="2" t="s">
        <v>72</v>
      </c>
      <c r="P1393" s="2" t="s">
        <v>73</v>
      </c>
      <c r="Q1393" s="2">
        <f t="shared" si="21"/>
        <v>1</v>
      </c>
    </row>
    <row r="1394" spans="1:17" x14ac:dyDescent="0.25">
      <c r="A1394" s="2" t="s">
        <v>3848</v>
      </c>
      <c r="B1394" s="2" t="s">
        <v>3849</v>
      </c>
      <c r="C1394" s="2" t="s">
        <v>30</v>
      </c>
      <c r="D1394" s="2" t="s">
        <v>20</v>
      </c>
      <c r="E1394" s="2" t="s">
        <v>212</v>
      </c>
      <c r="F1394" s="2">
        <v>79.989999999999895</v>
      </c>
      <c r="G1394" s="2" t="s">
        <v>206</v>
      </c>
      <c r="H1394" s="2">
        <v>100</v>
      </c>
      <c r="I1394" s="2">
        <v>79.989999999999895</v>
      </c>
      <c r="J1394" s="2" t="s">
        <v>101</v>
      </c>
      <c r="K1394" s="20">
        <v>44816</v>
      </c>
      <c r="L1394" s="20">
        <v>44452</v>
      </c>
      <c r="M1394" s="20">
        <v>44452</v>
      </c>
      <c r="N1394" s="2" t="s">
        <v>213</v>
      </c>
      <c r="O1394" s="2" t="s">
        <v>33</v>
      </c>
      <c r="P1394" s="2" t="s">
        <v>34</v>
      </c>
      <c r="Q1394" s="2">
        <f t="shared" si="21"/>
        <v>1</v>
      </c>
    </row>
    <row r="1395" spans="1:17" x14ac:dyDescent="0.25">
      <c r="A1395" s="2" t="s">
        <v>3850</v>
      </c>
      <c r="B1395" s="2" t="s">
        <v>3851</v>
      </c>
      <c r="C1395" s="2" t="s">
        <v>30</v>
      </c>
      <c r="D1395" s="2" t="s">
        <v>38</v>
      </c>
      <c r="E1395" s="2" t="s">
        <v>205</v>
      </c>
      <c r="F1395" s="2">
        <v>144.12</v>
      </c>
      <c r="G1395" s="2" t="s">
        <v>206</v>
      </c>
      <c r="H1395" s="2">
        <v>80</v>
      </c>
      <c r="I1395" s="2">
        <v>115.29600000000001</v>
      </c>
      <c r="J1395" s="2" t="s">
        <v>101</v>
      </c>
      <c r="K1395" s="20">
        <v>44819</v>
      </c>
      <c r="L1395" s="20">
        <v>44458</v>
      </c>
      <c r="M1395" s="20">
        <v>44458</v>
      </c>
      <c r="N1395" s="2" t="s">
        <v>238</v>
      </c>
      <c r="O1395" s="2" t="s">
        <v>54</v>
      </c>
      <c r="P1395" s="2" t="s">
        <v>26</v>
      </c>
      <c r="Q1395" s="2">
        <f t="shared" si="21"/>
        <v>1</v>
      </c>
    </row>
    <row r="1396" spans="1:17" x14ac:dyDescent="0.25">
      <c r="A1396" s="2" t="s">
        <v>3853</v>
      </c>
      <c r="B1396" s="2" t="s">
        <v>3854</v>
      </c>
      <c r="C1396" s="2" t="s">
        <v>19</v>
      </c>
      <c r="D1396" s="2" t="s">
        <v>164</v>
      </c>
      <c r="E1396" s="2" t="s">
        <v>205</v>
      </c>
      <c r="F1396" s="2">
        <v>2.3039999999999998</v>
      </c>
      <c r="G1396" s="2" t="s">
        <v>206</v>
      </c>
      <c r="H1396" s="2">
        <v>80</v>
      </c>
      <c r="I1396" s="2">
        <v>1.8431999999999999</v>
      </c>
      <c r="J1396" s="2" t="s">
        <v>101</v>
      </c>
      <c r="K1396" s="20">
        <v>44822</v>
      </c>
      <c r="L1396" s="20">
        <v>44459</v>
      </c>
      <c r="M1396" s="20">
        <v>44459</v>
      </c>
      <c r="N1396" s="2" t="s">
        <v>248</v>
      </c>
      <c r="O1396" s="2" t="s">
        <v>54</v>
      </c>
      <c r="P1396" s="2" t="s">
        <v>26</v>
      </c>
      <c r="Q1396" s="2">
        <f t="shared" si="21"/>
        <v>1</v>
      </c>
    </row>
    <row r="1397" spans="1:17" x14ac:dyDescent="0.25">
      <c r="A1397" s="2" t="s">
        <v>3856</v>
      </c>
      <c r="B1397" s="2" t="s">
        <v>3857</v>
      </c>
      <c r="C1397" s="2" t="s">
        <v>19</v>
      </c>
      <c r="D1397" s="2" t="s">
        <v>58</v>
      </c>
      <c r="E1397" s="2" t="s">
        <v>212</v>
      </c>
      <c r="F1397" s="2">
        <v>724.08</v>
      </c>
      <c r="G1397" s="2" t="s">
        <v>206</v>
      </c>
      <c r="H1397" s="2">
        <v>100</v>
      </c>
      <c r="I1397" s="2">
        <v>724.08</v>
      </c>
      <c r="J1397" s="2" t="s">
        <v>101</v>
      </c>
      <c r="K1397" s="20">
        <v>44824</v>
      </c>
      <c r="L1397" s="20">
        <v>44462</v>
      </c>
      <c r="M1397" s="20">
        <v>44462</v>
      </c>
      <c r="N1397" s="2" t="s">
        <v>248</v>
      </c>
      <c r="O1397" s="2" t="s">
        <v>146</v>
      </c>
      <c r="P1397" s="2" t="s">
        <v>73</v>
      </c>
      <c r="Q1397" s="2">
        <f t="shared" si="21"/>
        <v>1</v>
      </c>
    </row>
    <row r="1398" spans="1:17" x14ac:dyDescent="0.25">
      <c r="A1398" s="2" t="s">
        <v>3859</v>
      </c>
      <c r="B1398" s="2" t="s">
        <v>3860</v>
      </c>
      <c r="C1398" s="2" t="s">
        <v>19</v>
      </c>
      <c r="D1398" s="2" t="s">
        <v>230</v>
      </c>
      <c r="E1398" s="2" t="s">
        <v>205</v>
      </c>
      <c r="F1398" s="2">
        <v>25.86</v>
      </c>
      <c r="G1398" s="2" t="s">
        <v>206</v>
      </c>
      <c r="H1398" s="2">
        <v>80</v>
      </c>
      <c r="I1398" s="2">
        <v>20.688000000000002</v>
      </c>
      <c r="J1398" s="2" t="s">
        <v>101</v>
      </c>
      <c r="K1398" s="20">
        <v>44824</v>
      </c>
      <c r="L1398" s="20">
        <v>44466</v>
      </c>
      <c r="M1398" s="20">
        <v>44466</v>
      </c>
      <c r="N1398" s="2" t="s">
        <v>238</v>
      </c>
      <c r="O1398" s="2" t="s">
        <v>67</v>
      </c>
      <c r="P1398" s="2" t="s">
        <v>68</v>
      </c>
      <c r="Q1398" s="2">
        <f t="shared" si="21"/>
        <v>1</v>
      </c>
    </row>
    <row r="1399" spans="1:17" x14ac:dyDescent="0.25">
      <c r="A1399" s="2" t="s">
        <v>3862</v>
      </c>
      <c r="B1399" s="2" t="s">
        <v>3863</v>
      </c>
      <c r="C1399" s="2" t="s">
        <v>30</v>
      </c>
      <c r="D1399" s="2" t="s">
        <v>105</v>
      </c>
      <c r="E1399" s="2" t="s">
        <v>205</v>
      </c>
      <c r="F1399" s="2">
        <v>251.91</v>
      </c>
      <c r="G1399" s="2" t="s">
        <v>206</v>
      </c>
      <c r="H1399" s="2">
        <v>80</v>
      </c>
      <c r="I1399" s="2">
        <v>201.52800000000002</v>
      </c>
      <c r="J1399" s="2" t="s">
        <v>101</v>
      </c>
      <c r="K1399" s="20">
        <v>44824</v>
      </c>
      <c r="L1399" s="20">
        <v>44464</v>
      </c>
      <c r="M1399" s="20">
        <v>44464</v>
      </c>
      <c r="N1399" s="2" t="s">
        <v>213</v>
      </c>
      <c r="O1399" s="2" t="s">
        <v>33</v>
      </c>
      <c r="P1399" s="2" t="s">
        <v>34</v>
      </c>
      <c r="Q1399" s="2">
        <f t="shared" si="21"/>
        <v>1</v>
      </c>
    </row>
    <row r="1400" spans="1:17" x14ac:dyDescent="0.25">
      <c r="A1400" s="2" t="s">
        <v>3864</v>
      </c>
      <c r="B1400" s="2" t="s">
        <v>3865</v>
      </c>
      <c r="C1400" s="2" t="s">
        <v>19</v>
      </c>
      <c r="D1400" s="2" t="s">
        <v>211</v>
      </c>
      <c r="E1400" s="2" t="s">
        <v>205</v>
      </c>
      <c r="F1400" s="2">
        <v>2799.96</v>
      </c>
      <c r="G1400" s="2" t="s">
        <v>206</v>
      </c>
      <c r="H1400" s="2">
        <v>80</v>
      </c>
      <c r="I1400" s="2">
        <v>2239.9680000000003</v>
      </c>
      <c r="J1400" s="2" t="s">
        <v>101</v>
      </c>
      <c r="K1400" s="20">
        <v>44824</v>
      </c>
      <c r="L1400" s="20">
        <v>44463</v>
      </c>
      <c r="M1400" s="20">
        <v>44463</v>
      </c>
      <c r="N1400" s="2" t="s">
        <v>220</v>
      </c>
      <c r="O1400" s="2" t="s">
        <v>46</v>
      </c>
      <c r="P1400" s="2" t="s">
        <v>47</v>
      </c>
      <c r="Q1400" s="2">
        <f t="shared" si="21"/>
        <v>1</v>
      </c>
    </row>
    <row r="1401" spans="1:17" x14ac:dyDescent="0.25">
      <c r="A1401" s="2" t="s">
        <v>3866</v>
      </c>
      <c r="B1401" s="2" t="s">
        <v>3867</v>
      </c>
      <c r="C1401" s="2" t="s">
        <v>19</v>
      </c>
      <c r="D1401" s="2" t="s">
        <v>186</v>
      </c>
      <c r="E1401" s="2" t="s">
        <v>212</v>
      </c>
      <c r="F1401" s="2">
        <v>1099.96</v>
      </c>
      <c r="G1401" s="2" t="s">
        <v>206</v>
      </c>
      <c r="H1401" s="2">
        <v>100</v>
      </c>
      <c r="I1401" s="2">
        <v>1099.96</v>
      </c>
      <c r="J1401" s="2" t="s">
        <v>101</v>
      </c>
      <c r="K1401" s="20">
        <v>44825</v>
      </c>
      <c r="L1401" s="20">
        <v>44464</v>
      </c>
      <c r="M1401" s="20">
        <v>44464</v>
      </c>
      <c r="N1401" s="2" t="s">
        <v>238</v>
      </c>
      <c r="O1401" s="2" t="s">
        <v>146</v>
      </c>
      <c r="P1401" s="2" t="s">
        <v>73</v>
      </c>
      <c r="Q1401" s="2">
        <f t="shared" si="21"/>
        <v>1</v>
      </c>
    </row>
    <row r="1402" spans="1:17" x14ac:dyDescent="0.25">
      <c r="A1402" s="2" t="s">
        <v>3869</v>
      </c>
      <c r="B1402" s="2" t="s">
        <v>3870</v>
      </c>
      <c r="C1402" s="2" t="s">
        <v>30</v>
      </c>
      <c r="D1402" s="2" t="s">
        <v>77</v>
      </c>
      <c r="E1402" s="2" t="s">
        <v>205</v>
      </c>
      <c r="F1402" s="2">
        <v>619.94999999999902</v>
      </c>
      <c r="G1402" s="2" t="s">
        <v>206</v>
      </c>
      <c r="H1402" s="2">
        <v>80</v>
      </c>
      <c r="I1402" s="2">
        <v>495.95999999999924</v>
      </c>
      <c r="J1402" s="2" t="s">
        <v>101</v>
      </c>
      <c r="K1402" s="20">
        <v>44827</v>
      </c>
      <c r="L1402" s="20">
        <v>44462</v>
      </c>
      <c r="M1402" s="20">
        <v>44462</v>
      </c>
      <c r="N1402" s="2" t="s">
        <v>220</v>
      </c>
      <c r="O1402" s="2" t="s">
        <v>146</v>
      </c>
      <c r="P1402" s="2" t="s">
        <v>73</v>
      </c>
      <c r="Q1402" s="2">
        <f t="shared" si="21"/>
        <v>1</v>
      </c>
    </row>
    <row r="1403" spans="1:17" x14ac:dyDescent="0.25">
      <c r="A1403" s="2" t="s">
        <v>3872</v>
      </c>
      <c r="B1403" s="2" t="s">
        <v>3873</v>
      </c>
      <c r="C1403" s="2" t="s">
        <v>30</v>
      </c>
      <c r="D1403" s="2" t="s">
        <v>164</v>
      </c>
      <c r="E1403" s="2" t="s">
        <v>205</v>
      </c>
      <c r="F1403" s="2">
        <v>8.64</v>
      </c>
      <c r="G1403" s="2" t="s">
        <v>206</v>
      </c>
      <c r="H1403" s="2">
        <v>80</v>
      </c>
      <c r="I1403" s="2">
        <v>6.9120000000000008</v>
      </c>
      <c r="J1403" s="2" t="s">
        <v>101</v>
      </c>
      <c r="K1403" s="20">
        <v>44830</v>
      </c>
      <c r="L1403" s="20">
        <v>44465</v>
      </c>
      <c r="M1403" s="20">
        <v>44465</v>
      </c>
      <c r="N1403" s="2" t="s">
        <v>238</v>
      </c>
      <c r="O1403" s="2" t="s">
        <v>82</v>
      </c>
      <c r="P1403" s="2" t="s">
        <v>47</v>
      </c>
      <c r="Q1403" s="2">
        <f t="shared" si="21"/>
        <v>1</v>
      </c>
    </row>
    <row r="1404" spans="1:17" x14ac:dyDescent="0.25">
      <c r="A1404" s="2" t="s">
        <v>3875</v>
      </c>
      <c r="B1404" s="2" t="s">
        <v>3876</v>
      </c>
      <c r="C1404" s="2" t="s">
        <v>30</v>
      </c>
      <c r="D1404" s="2" t="s">
        <v>211</v>
      </c>
      <c r="E1404" s="2" t="s">
        <v>212</v>
      </c>
      <c r="F1404" s="2">
        <v>337.98</v>
      </c>
      <c r="G1404" s="2" t="s">
        <v>206</v>
      </c>
      <c r="H1404" s="2">
        <v>100</v>
      </c>
      <c r="I1404" s="2">
        <v>337.98</v>
      </c>
      <c r="J1404" s="2" t="s">
        <v>101</v>
      </c>
      <c r="K1404" s="20">
        <v>44830</v>
      </c>
      <c r="L1404" s="20">
        <v>44471</v>
      </c>
      <c r="M1404" s="20">
        <v>44471</v>
      </c>
      <c r="N1404" s="2" t="s">
        <v>238</v>
      </c>
      <c r="O1404" s="2" t="s">
        <v>25</v>
      </c>
      <c r="P1404" s="2" t="s">
        <v>26</v>
      </c>
      <c r="Q1404" s="2">
        <f t="shared" si="21"/>
        <v>1</v>
      </c>
    </row>
    <row r="1405" spans="1:17" x14ac:dyDescent="0.25">
      <c r="A1405" s="2" t="s">
        <v>3877</v>
      </c>
      <c r="B1405" s="2" t="s">
        <v>3878</v>
      </c>
      <c r="C1405" s="2" t="s">
        <v>19</v>
      </c>
      <c r="D1405" s="2" t="s">
        <v>345</v>
      </c>
      <c r="E1405" s="2" t="s">
        <v>212</v>
      </c>
      <c r="F1405" s="2">
        <v>20.7</v>
      </c>
      <c r="G1405" s="2" t="s">
        <v>206</v>
      </c>
      <c r="H1405" s="2">
        <v>100</v>
      </c>
      <c r="I1405" s="2">
        <v>20.7</v>
      </c>
      <c r="J1405" s="2" t="s">
        <v>101</v>
      </c>
      <c r="K1405" s="20">
        <v>44832</v>
      </c>
      <c r="L1405" s="20">
        <v>44469</v>
      </c>
      <c r="M1405" s="20">
        <v>44469</v>
      </c>
      <c r="N1405" s="2" t="s">
        <v>213</v>
      </c>
      <c r="O1405" s="2" t="s">
        <v>25</v>
      </c>
      <c r="P1405" s="2" t="s">
        <v>26</v>
      </c>
      <c r="Q1405" s="2">
        <f t="shared" si="21"/>
        <v>1</v>
      </c>
    </row>
    <row r="1406" spans="1:17" x14ac:dyDescent="0.25">
      <c r="A1406" s="2" t="s">
        <v>3879</v>
      </c>
      <c r="B1406" s="2" t="s">
        <v>3880</v>
      </c>
      <c r="C1406" s="2" t="s">
        <v>19</v>
      </c>
      <c r="D1406" s="2" t="s">
        <v>154</v>
      </c>
      <c r="E1406" s="2" t="s">
        <v>212</v>
      </c>
      <c r="F1406" s="2">
        <v>31.05</v>
      </c>
      <c r="G1406" s="2" t="s">
        <v>206</v>
      </c>
      <c r="H1406" s="2">
        <v>100</v>
      </c>
      <c r="I1406" s="2">
        <v>31.05</v>
      </c>
      <c r="J1406" s="2" t="s">
        <v>101</v>
      </c>
      <c r="K1406" s="20">
        <v>44837</v>
      </c>
      <c r="L1406" s="20">
        <v>44478</v>
      </c>
      <c r="M1406" s="20">
        <v>44478</v>
      </c>
      <c r="N1406" s="2" t="s">
        <v>207</v>
      </c>
      <c r="O1406" s="2" t="s">
        <v>67</v>
      </c>
      <c r="P1406" s="2" t="s">
        <v>68</v>
      </c>
      <c r="Q1406" s="2">
        <f t="shared" si="21"/>
        <v>1</v>
      </c>
    </row>
    <row r="1407" spans="1:17" x14ac:dyDescent="0.25">
      <c r="A1407" s="2" t="s">
        <v>3881</v>
      </c>
      <c r="B1407" s="2" t="s">
        <v>3882</v>
      </c>
      <c r="C1407" s="2" t="s">
        <v>30</v>
      </c>
      <c r="D1407" s="2" t="s">
        <v>126</v>
      </c>
      <c r="E1407" s="2" t="s">
        <v>212</v>
      </c>
      <c r="F1407" s="2">
        <v>124.2</v>
      </c>
      <c r="G1407" s="2" t="s">
        <v>206</v>
      </c>
      <c r="H1407" s="2">
        <v>100</v>
      </c>
      <c r="I1407" s="2">
        <v>124.2</v>
      </c>
      <c r="J1407" s="2" t="s">
        <v>101</v>
      </c>
      <c r="K1407" s="20">
        <v>44838</v>
      </c>
      <c r="L1407" s="20">
        <v>44479</v>
      </c>
      <c r="M1407" s="20">
        <v>44479</v>
      </c>
      <c r="N1407" s="2" t="s">
        <v>248</v>
      </c>
      <c r="O1407" s="2" t="s">
        <v>25</v>
      </c>
      <c r="P1407" s="2" t="s">
        <v>26</v>
      </c>
      <c r="Q1407" s="2">
        <f t="shared" si="21"/>
        <v>1</v>
      </c>
    </row>
    <row r="1408" spans="1:17" x14ac:dyDescent="0.25">
      <c r="A1408" s="2" t="s">
        <v>3883</v>
      </c>
      <c r="B1408" s="2" t="s">
        <v>3884</v>
      </c>
      <c r="C1408" s="2" t="s">
        <v>30</v>
      </c>
      <c r="D1408" s="2" t="s">
        <v>77</v>
      </c>
      <c r="E1408" s="2" t="s">
        <v>212</v>
      </c>
      <c r="F1408" s="2">
        <v>15.76</v>
      </c>
      <c r="G1408" s="2" t="s">
        <v>206</v>
      </c>
      <c r="H1408" s="2">
        <v>100</v>
      </c>
      <c r="I1408" s="2">
        <v>15.76</v>
      </c>
      <c r="J1408" s="2" t="s">
        <v>101</v>
      </c>
      <c r="K1408" s="20">
        <v>44839</v>
      </c>
      <c r="L1408" s="20">
        <v>44477</v>
      </c>
      <c r="M1408" s="20">
        <v>44477</v>
      </c>
      <c r="N1408" s="2" t="s">
        <v>220</v>
      </c>
      <c r="O1408" s="2" t="s">
        <v>46</v>
      </c>
      <c r="P1408" s="2" t="s">
        <v>47</v>
      </c>
      <c r="Q1408" s="2">
        <f t="shared" si="21"/>
        <v>1</v>
      </c>
    </row>
    <row r="1409" spans="1:17" x14ac:dyDescent="0.25">
      <c r="A1409" s="2" t="s">
        <v>3885</v>
      </c>
      <c r="B1409" s="2" t="s">
        <v>3886</v>
      </c>
      <c r="C1409" s="2" t="s">
        <v>19</v>
      </c>
      <c r="D1409" s="2" t="s">
        <v>62</v>
      </c>
      <c r="E1409" s="2" t="s">
        <v>212</v>
      </c>
      <c r="F1409" s="2">
        <v>24.4</v>
      </c>
      <c r="G1409" s="2" t="s">
        <v>206</v>
      </c>
      <c r="H1409" s="2">
        <v>100</v>
      </c>
      <c r="I1409" s="2">
        <v>24.4</v>
      </c>
      <c r="J1409" s="2" t="s">
        <v>101</v>
      </c>
      <c r="K1409" s="20">
        <v>44843</v>
      </c>
      <c r="L1409" s="20">
        <v>44482</v>
      </c>
      <c r="M1409" s="20">
        <v>44482</v>
      </c>
      <c r="N1409" s="2" t="s">
        <v>234</v>
      </c>
      <c r="O1409" s="2" t="s">
        <v>97</v>
      </c>
      <c r="P1409" s="2" t="s">
        <v>68</v>
      </c>
      <c r="Q1409" s="2">
        <f t="shared" si="21"/>
        <v>1</v>
      </c>
    </row>
    <row r="1410" spans="1:17" x14ac:dyDescent="0.25">
      <c r="A1410" s="2" t="s">
        <v>3887</v>
      </c>
      <c r="B1410" s="2" t="s">
        <v>3888</v>
      </c>
      <c r="C1410" s="2" t="s">
        <v>30</v>
      </c>
      <c r="D1410" s="2" t="s">
        <v>105</v>
      </c>
      <c r="E1410" s="2" t="s">
        <v>205</v>
      </c>
      <c r="F1410" s="2">
        <v>67.8</v>
      </c>
      <c r="G1410" s="2" t="s">
        <v>206</v>
      </c>
      <c r="H1410" s="2">
        <v>80</v>
      </c>
      <c r="I1410" s="2">
        <v>54.24</v>
      </c>
      <c r="J1410" s="2" t="s">
        <v>101</v>
      </c>
      <c r="K1410" s="20">
        <v>44845</v>
      </c>
      <c r="L1410" s="20">
        <v>44487</v>
      </c>
      <c r="M1410" s="20">
        <v>44487</v>
      </c>
      <c r="N1410" s="2" t="s">
        <v>213</v>
      </c>
      <c r="O1410" s="2" t="s">
        <v>97</v>
      </c>
      <c r="P1410" s="2" t="s">
        <v>68</v>
      </c>
      <c r="Q1410" s="2">
        <f t="shared" ref="Q1410:Q1473" si="22">COUNTIF($A$2:$A$1778,A1410)</f>
        <v>1</v>
      </c>
    </row>
    <row r="1411" spans="1:17" x14ac:dyDescent="0.25">
      <c r="A1411" s="2" t="s">
        <v>3889</v>
      </c>
      <c r="B1411" s="2" t="s">
        <v>3890</v>
      </c>
      <c r="C1411" s="2" t="s">
        <v>30</v>
      </c>
      <c r="D1411" s="2" t="s">
        <v>139</v>
      </c>
      <c r="E1411" s="2" t="s">
        <v>212</v>
      </c>
      <c r="F1411" s="2">
        <v>63.96</v>
      </c>
      <c r="G1411" s="2" t="s">
        <v>206</v>
      </c>
      <c r="H1411" s="2">
        <v>100</v>
      </c>
      <c r="I1411" s="2">
        <v>63.96</v>
      </c>
      <c r="J1411" s="2" t="s">
        <v>101</v>
      </c>
      <c r="K1411" s="20">
        <v>44850</v>
      </c>
      <c r="L1411" s="20">
        <v>44490</v>
      </c>
      <c r="M1411" s="20">
        <v>44490</v>
      </c>
      <c r="N1411" s="2" t="s">
        <v>220</v>
      </c>
      <c r="O1411" s="2" t="s">
        <v>146</v>
      </c>
      <c r="P1411" s="2" t="s">
        <v>73</v>
      </c>
      <c r="Q1411" s="2">
        <f t="shared" si="22"/>
        <v>1</v>
      </c>
    </row>
    <row r="1412" spans="1:17" x14ac:dyDescent="0.25">
      <c r="A1412" s="2" t="s">
        <v>3891</v>
      </c>
      <c r="B1412" s="2" t="s">
        <v>3892</v>
      </c>
      <c r="C1412" s="2" t="s">
        <v>19</v>
      </c>
      <c r="D1412" s="2" t="s">
        <v>58</v>
      </c>
      <c r="E1412" s="2" t="s">
        <v>212</v>
      </c>
      <c r="F1412" s="2">
        <v>24.448</v>
      </c>
      <c r="G1412" s="2" t="s">
        <v>206</v>
      </c>
      <c r="H1412" s="2">
        <v>100</v>
      </c>
      <c r="I1412" s="2">
        <v>24.448</v>
      </c>
      <c r="J1412" s="2" t="s">
        <v>101</v>
      </c>
      <c r="K1412" s="20">
        <v>44854</v>
      </c>
      <c r="L1412" s="20">
        <v>44494</v>
      </c>
      <c r="M1412" s="20">
        <v>44494</v>
      </c>
      <c r="N1412" s="2" t="s">
        <v>220</v>
      </c>
      <c r="O1412" s="2" t="s">
        <v>46</v>
      </c>
      <c r="P1412" s="2" t="s">
        <v>47</v>
      </c>
      <c r="Q1412" s="2">
        <f t="shared" si="22"/>
        <v>1</v>
      </c>
    </row>
    <row r="1413" spans="1:17" x14ac:dyDescent="0.25">
      <c r="A1413" s="2" t="s">
        <v>3894</v>
      </c>
      <c r="B1413" s="2" t="s">
        <v>3895</v>
      </c>
      <c r="C1413" s="2" t="s">
        <v>19</v>
      </c>
      <c r="D1413" s="2" t="s">
        <v>96</v>
      </c>
      <c r="E1413" s="2" t="s">
        <v>212</v>
      </c>
      <c r="F1413" s="2">
        <v>199.74</v>
      </c>
      <c r="G1413" s="2" t="s">
        <v>206</v>
      </c>
      <c r="H1413" s="2">
        <v>100</v>
      </c>
      <c r="I1413" s="2">
        <v>199.74</v>
      </c>
      <c r="J1413" s="2" t="s">
        <v>101</v>
      </c>
      <c r="K1413" s="20">
        <v>44857</v>
      </c>
      <c r="L1413" s="20">
        <v>44496</v>
      </c>
      <c r="M1413" s="20">
        <v>44496</v>
      </c>
      <c r="N1413" s="2" t="s">
        <v>220</v>
      </c>
      <c r="O1413" s="2" t="s">
        <v>82</v>
      </c>
      <c r="P1413" s="2" t="s">
        <v>47</v>
      </c>
      <c r="Q1413" s="2">
        <f t="shared" si="22"/>
        <v>1</v>
      </c>
    </row>
    <row r="1414" spans="1:17" x14ac:dyDescent="0.25">
      <c r="A1414" s="2" t="s">
        <v>3897</v>
      </c>
      <c r="B1414" s="2" t="s">
        <v>3898</v>
      </c>
      <c r="C1414" s="2" t="s">
        <v>30</v>
      </c>
      <c r="D1414" s="2" t="s">
        <v>96</v>
      </c>
      <c r="E1414" s="2" t="s">
        <v>212</v>
      </c>
      <c r="F1414" s="2">
        <v>57.503999999999998</v>
      </c>
      <c r="G1414" s="2" t="s">
        <v>206</v>
      </c>
      <c r="H1414" s="2">
        <v>100</v>
      </c>
      <c r="I1414" s="2">
        <v>57.503999999999998</v>
      </c>
      <c r="J1414" s="2" t="s">
        <v>101</v>
      </c>
      <c r="K1414" s="20">
        <v>44867</v>
      </c>
      <c r="L1414" s="20">
        <v>44509</v>
      </c>
      <c r="M1414" s="20">
        <v>44509</v>
      </c>
      <c r="N1414" s="2" t="s">
        <v>238</v>
      </c>
      <c r="O1414" s="2" t="s">
        <v>97</v>
      </c>
      <c r="P1414" s="2" t="s">
        <v>68</v>
      </c>
      <c r="Q1414" s="2">
        <f t="shared" si="22"/>
        <v>1</v>
      </c>
    </row>
    <row r="1415" spans="1:17" x14ac:dyDescent="0.25">
      <c r="A1415" s="2" t="s">
        <v>3899</v>
      </c>
      <c r="B1415" s="2" t="s">
        <v>3900</v>
      </c>
      <c r="C1415" s="2" t="s">
        <v>30</v>
      </c>
      <c r="D1415" s="2" t="s">
        <v>139</v>
      </c>
      <c r="E1415" s="2" t="s">
        <v>205</v>
      </c>
      <c r="F1415" s="2">
        <v>72.78</v>
      </c>
      <c r="G1415" s="2" t="s">
        <v>206</v>
      </c>
      <c r="H1415" s="2">
        <v>80</v>
      </c>
      <c r="I1415" s="2">
        <v>58.224000000000004</v>
      </c>
      <c r="J1415" s="2" t="s">
        <v>101</v>
      </c>
      <c r="K1415" s="20">
        <v>44868</v>
      </c>
      <c r="L1415" s="20">
        <v>44503</v>
      </c>
      <c r="M1415" s="20">
        <v>44503</v>
      </c>
      <c r="N1415" s="2" t="s">
        <v>213</v>
      </c>
      <c r="O1415" s="2" t="s">
        <v>146</v>
      </c>
      <c r="P1415" s="2" t="s">
        <v>73</v>
      </c>
      <c r="Q1415" s="2">
        <f t="shared" si="22"/>
        <v>1</v>
      </c>
    </row>
    <row r="1416" spans="1:17" x14ac:dyDescent="0.25">
      <c r="A1416" s="2" t="s">
        <v>3902</v>
      </c>
      <c r="B1416" s="2" t="s">
        <v>3903</v>
      </c>
      <c r="C1416" s="2" t="s">
        <v>19</v>
      </c>
      <c r="D1416" s="2" t="s">
        <v>105</v>
      </c>
      <c r="E1416" s="2" t="s">
        <v>205</v>
      </c>
      <c r="F1416" s="2">
        <v>1212.848</v>
      </c>
      <c r="G1416" s="2" t="s">
        <v>206</v>
      </c>
      <c r="H1416" s="2">
        <v>80</v>
      </c>
      <c r="I1416" s="2">
        <v>970.27840000000003</v>
      </c>
      <c r="J1416" s="2" t="s">
        <v>101</v>
      </c>
      <c r="K1416" s="20">
        <v>44875</v>
      </c>
      <c r="L1416" s="20">
        <v>44514</v>
      </c>
      <c r="M1416" s="20">
        <v>44514</v>
      </c>
      <c r="N1416" s="2" t="s">
        <v>234</v>
      </c>
      <c r="O1416" s="2" t="s">
        <v>40</v>
      </c>
      <c r="P1416" s="2" t="s">
        <v>34</v>
      </c>
      <c r="Q1416" s="2">
        <f t="shared" si="22"/>
        <v>1</v>
      </c>
    </row>
    <row r="1417" spans="1:17" x14ac:dyDescent="0.25">
      <c r="A1417" s="2" t="s">
        <v>3905</v>
      </c>
      <c r="B1417" s="2" t="s">
        <v>3906</v>
      </c>
      <c r="C1417" s="2" t="s">
        <v>30</v>
      </c>
      <c r="D1417" s="2" t="s">
        <v>20</v>
      </c>
      <c r="E1417" s="2" t="s">
        <v>205</v>
      </c>
      <c r="F1417" s="2">
        <v>1024.3800000000001</v>
      </c>
      <c r="G1417" s="2" t="s">
        <v>206</v>
      </c>
      <c r="H1417" s="2">
        <v>80</v>
      </c>
      <c r="I1417" s="2">
        <v>819.50400000000013</v>
      </c>
      <c r="J1417" s="2" t="s">
        <v>101</v>
      </c>
      <c r="K1417" s="20">
        <v>44880</v>
      </c>
      <c r="L1417" s="20">
        <v>44521</v>
      </c>
      <c r="M1417" s="20">
        <v>44521</v>
      </c>
      <c r="N1417" s="2" t="s">
        <v>248</v>
      </c>
      <c r="O1417" s="2" t="s">
        <v>46</v>
      </c>
      <c r="P1417" s="2" t="s">
        <v>47</v>
      </c>
      <c r="Q1417" s="2">
        <f t="shared" si="22"/>
        <v>1</v>
      </c>
    </row>
    <row r="1418" spans="1:17" x14ac:dyDescent="0.25">
      <c r="A1418" s="2" t="s">
        <v>3907</v>
      </c>
      <c r="B1418" s="2" t="s">
        <v>3908</v>
      </c>
      <c r="C1418" s="2" t="s">
        <v>30</v>
      </c>
      <c r="D1418" s="2" t="s">
        <v>126</v>
      </c>
      <c r="E1418" s="2" t="s">
        <v>212</v>
      </c>
      <c r="F1418" s="2">
        <v>76.64</v>
      </c>
      <c r="G1418" s="2" t="s">
        <v>206</v>
      </c>
      <c r="H1418" s="2">
        <v>100</v>
      </c>
      <c r="I1418" s="2">
        <v>76.64</v>
      </c>
      <c r="J1418" s="2" t="s">
        <v>101</v>
      </c>
      <c r="K1418" s="20">
        <v>44881</v>
      </c>
      <c r="L1418" s="20">
        <v>44521</v>
      </c>
      <c r="M1418" s="20">
        <v>44521</v>
      </c>
      <c r="N1418" s="2" t="s">
        <v>213</v>
      </c>
      <c r="O1418" s="2" t="s">
        <v>146</v>
      </c>
      <c r="P1418" s="2" t="s">
        <v>73</v>
      </c>
      <c r="Q1418" s="2">
        <f t="shared" si="22"/>
        <v>1</v>
      </c>
    </row>
    <row r="1419" spans="1:17" x14ac:dyDescent="0.25">
      <c r="A1419" s="2" t="s">
        <v>3909</v>
      </c>
      <c r="B1419" s="2" t="s">
        <v>3910</v>
      </c>
      <c r="C1419" s="2" t="s">
        <v>30</v>
      </c>
      <c r="D1419" s="2" t="s">
        <v>230</v>
      </c>
      <c r="E1419" s="2" t="s">
        <v>205</v>
      </c>
      <c r="F1419" s="2">
        <v>64.784000000000006</v>
      </c>
      <c r="G1419" s="2" t="s">
        <v>206</v>
      </c>
      <c r="H1419" s="2">
        <v>80</v>
      </c>
      <c r="I1419" s="2">
        <v>51.827200000000005</v>
      </c>
      <c r="J1419" s="2" t="s">
        <v>101</v>
      </c>
      <c r="K1419" s="20">
        <v>44886</v>
      </c>
      <c r="L1419" s="20">
        <v>44525</v>
      </c>
      <c r="M1419" s="20">
        <v>44525</v>
      </c>
      <c r="N1419" s="2" t="s">
        <v>238</v>
      </c>
      <c r="O1419" s="2" t="s">
        <v>67</v>
      </c>
      <c r="P1419" s="2" t="s">
        <v>68</v>
      </c>
      <c r="Q1419" s="2">
        <f t="shared" si="22"/>
        <v>1</v>
      </c>
    </row>
    <row r="1420" spans="1:17" x14ac:dyDescent="0.25">
      <c r="A1420" s="2" t="s">
        <v>3911</v>
      </c>
      <c r="B1420" s="2" t="s">
        <v>3912</v>
      </c>
      <c r="C1420" s="2" t="s">
        <v>19</v>
      </c>
      <c r="D1420" s="2" t="s">
        <v>77</v>
      </c>
      <c r="E1420" s="2" t="s">
        <v>212</v>
      </c>
      <c r="F1420" s="2">
        <v>36.6</v>
      </c>
      <c r="G1420" s="2" t="s">
        <v>206</v>
      </c>
      <c r="H1420" s="2">
        <v>100</v>
      </c>
      <c r="I1420" s="2">
        <v>36.6</v>
      </c>
      <c r="J1420" s="2" t="s">
        <v>101</v>
      </c>
      <c r="K1420" s="20">
        <v>44888</v>
      </c>
      <c r="L1420" s="20">
        <v>44527</v>
      </c>
      <c r="M1420" s="20">
        <v>44527</v>
      </c>
      <c r="N1420" s="2" t="s">
        <v>220</v>
      </c>
      <c r="O1420" s="2" t="s">
        <v>146</v>
      </c>
      <c r="P1420" s="2" t="s">
        <v>73</v>
      </c>
      <c r="Q1420" s="2">
        <f t="shared" si="22"/>
        <v>1</v>
      </c>
    </row>
    <row r="1421" spans="1:17" x14ac:dyDescent="0.25">
      <c r="A1421" s="2" t="s">
        <v>3913</v>
      </c>
      <c r="B1421" s="2" t="s">
        <v>3914</v>
      </c>
      <c r="C1421" s="2" t="s">
        <v>30</v>
      </c>
      <c r="D1421" s="2" t="s">
        <v>20</v>
      </c>
      <c r="E1421" s="2" t="s">
        <v>205</v>
      </c>
      <c r="F1421" s="2">
        <v>861.76</v>
      </c>
      <c r="G1421" s="2" t="s">
        <v>206</v>
      </c>
      <c r="H1421" s="2">
        <v>80</v>
      </c>
      <c r="I1421" s="2">
        <v>689.40800000000002</v>
      </c>
      <c r="J1421" s="2" t="s">
        <v>101</v>
      </c>
      <c r="K1421" s="20">
        <v>44891</v>
      </c>
      <c r="L1421" s="20">
        <v>44530</v>
      </c>
      <c r="M1421" s="20">
        <v>44530</v>
      </c>
      <c r="N1421" s="2" t="s">
        <v>213</v>
      </c>
      <c r="O1421" s="2" t="s">
        <v>54</v>
      </c>
      <c r="P1421" s="2" t="s">
        <v>26</v>
      </c>
      <c r="Q1421" s="2">
        <f t="shared" si="22"/>
        <v>1</v>
      </c>
    </row>
    <row r="1422" spans="1:17" x14ac:dyDescent="0.25">
      <c r="A1422" s="2" t="s">
        <v>3916</v>
      </c>
      <c r="B1422" s="2" t="s">
        <v>3917</v>
      </c>
      <c r="C1422" s="2" t="s">
        <v>30</v>
      </c>
      <c r="D1422" s="2" t="s">
        <v>86</v>
      </c>
      <c r="E1422" s="2" t="s">
        <v>205</v>
      </c>
      <c r="F1422" s="2">
        <v>7.23</v>
      </c>
      <c r="G1422" s="2" t="s">
        <v>206</v>
      </c>
      <c r="H1422" s="2">
        <v>80</v>
      </c>
      <c r="I1422" s="2">
        <v>5.7840000000000007</v>
      </c>
      <c r="J1422" s="2" t="s">
        <v>101</v>
      </c>
      <c r="K1422" s="20">
        <v>44893</v>
      </c>
      <c r="L1422" s="20">
        <v>44534</v>
      </c>
      <c r="M1422" s="20">
        <v>44534</v>
      </c>
      <c r="N1422" s="2" t="s">
        <v>248</v>
      </c>
      <c r="O1422" s="2" t="s">
        <v>67</v>
      </c>
      <c r="P1422" s="2" t="s">
        <v>68</v>
      </c>
      <c r="Q1422" s="2">
        <f t="shared" si="22"/>
        <v>1</v>
      </c>
    </row>
    <row r="1423" spans="1:17" x14ac:dyDescent="0.25">
      <c r="A1423" s="2" t="s">
        <v>3918</v>
      </c>
      <c r="B1423" s="2" t="s">
        <v>3919</v>
      </c>
      <c r="C1423" s="2" t="s">
        <v>30</v>
      </c>
      <c r="D1423" s="2" t="s">
        <v>81</v>
      </c>
      <c r="E1423" s="2" t="s">
        <v>205</v>
      </c>
      <c r="F1423" s="2">
        <v>454.86</v>
      </c>
      <c r="G1423" s="2" t="s">
        <v>206</v>
      </c>
      <c r="H1423" s="2">
        <v>80</v>
      </c>
      <c r="I1423" s="2">
        <v>363.88800000000003</v>
      </c>
      <c r="J1423" s="2" t="s">
        <v>101</v>
      </c>
      <c r="K1423" s="20">
        <v>44895</v>
      </c>
      <c r="L1423" s="20">
        <v>44531</v>
      </c>
      <c r="M1423" s="20">
        <v>44531</v>
      </c>
      <c r="N1423" s="2" t="s">
        <v>248</v>
      </c>
      <c r="O1423" s="2" t="s">
        <v>33</v>
      </c>
      <c r="P1423" s="2" t="s">
        <v>34</v>
      </c>
      <c r="Q1423" s="2">
        <f t="shared" si="22"/>
        <v>1</v>
      </c>
    </row>
    <row r="1424" spans="1:17" x14ac:dyDescent="0.25">
      <c r="A1424" s="2" t="s">
        <v>3921</v>
      </c>
      <c r="B1424" s="2" t="s">
        <v>3922</v>
      </c>
      <c r="C1424" s="2" t="s">
        <v>30</v>
      </c>
      <c r="D1424" s="2" t="s">
        <v>31</v>
      </c>
      <c r="E1424" s="2" t="s">
        <v>205</v>
      </c>
      <c r="F1424" s="2">
        <v>375.45749999999998</v>
      </c>
      <c r="G1424" s="2" t="s">
        <v>206</v>
      </c>
      <c r="H1424" s="2">
        <v>80</v>
      </c>
      <c r="I1424" s="2">
        <v>300.36599999999999</v>
      </c>
      <c r="J1424" s="2" t="s">
        <v>101</v>
      </c>
      <c r="K1424" s="20">
        <v>44896</v>
      </c>
      <c r="L1424" s="20">
        <v>44534</v>
      </c>
      <c r="M1424" s="20">
        <v>44534</v>
      </c>
      <c r="N1424" s="2" t="s">
        <v>213</v>
      </c>
      <c r="O1424" s="2" t="s">
        <v>33</v>
      </c>
      <c r="P1424" s="2" t="s">
        <v>34</v>
      </c>
      <c r="Q1424" s="2">
        <f t="shared" si="22"/>
        <v>1</v>
      </c>
    </row>
    <row r="1425" spans="1:17" x14ac:dyDescent="0.25">
      <c r="A1425" s="2" t="s">
        <v>3924</v>
      </c>
      <c r="B1425" s="2" t="s">
        <v>3925</v>
      </c>
      <c r="C1425" s="2" t="s">
        <v>19</v>
      </c>
      <c r="D1425" s="2" t="s">
        <v>31</v>
      </c>
      <c r="E1425" s="2" t="s">
        <v>212</v>
      </c>
      <c r="F1425" s="2">
        <v>161.82</v>
      </c>
      <c r="G1425" s="2" t="s">
        <v>206</v>
      </c>
      <c r="H1425" s="2">
        <v>100</v>
      </c>
      <c r="I1425" s="2">
        <v>161.82</v>
      </c>
      <c r="J1425" s="2" t="s">
        <v>101</v>
      </c>
      <c r="K1425" s="20">
        <v>44897</v>
      </c>
      <c r="L1425" s="20">
        <v>44539</v>
      </c>
      <c r="M1425" s="20">
        <v>44539</v>
      </c>
      <c r="N1425" s="2" t="s">
        <v>220</v>
      </c>
      <c r="O1425" s="2" t="s">
        <v>67</v>
      </c>
      <c r="P1425" s="2" t="s">
        <v>68</v>
      </c>
      <c r="Q1425" s="2">
        <f t="shared" si="22"/>
        <v>1</v>
      </c>
    </row>
    <row r="1426" spans="1:17" x14ac:dyDescent="0.25">
      <c r="A1426" s="2" t="s">
        <v>3927</v>
      </c>
      <c r="B1426" s="2" t="s">
        <v>3928</v>
      </c>
      <c r="C1426" s="2" t="s">
        <v>19</v>
      </c>
      <c r="D1426" s="2" t="s">
        <v>96</v>
      </c>
      <c r="E1426" s="2" t="s">
        <v>205</v>
      </c>
      <c r="F1426" s="2">
        <v>10.584</v>
      </c>
      <c r="G1426" s="2" t="s">
        <v>206</v>
      </c>
      <c r="H1426" s="2">
        <v>80</v>
      </c>
      <c r="I1426" s="2">
        <v>8.4672000000000001</v>
      </c>
      <c r="J1426" s="2" t="s">
        <v>101</v>
      </c>
      <c r="K1426" s="20">
        <v>44899</v>
      </c>
      <c r="L1426" s="20">
        <v>44539</v>
      </c>
      <c r="M1426" s="20">
        <v>44539</v>
      </c>
      <c r="N1426" s="2" t="s">
        <v>234</v>
      </c>
      <c r="O1426" s="2" t="s">
        <v>67</v>
      </c>
      <c r="P1426" s="2" t="s">
        <v>68</v>
      </c>
      <c r="Q1426" s="2">
        <f t="shared" si="22"/>
        <v>1</v>
      </c>
    </row>
    <row r="1427" spans="1:17" x14ac:dyDescent="0.25">
      <c r="A1427" s="2" t="s">
        <v>3930</v>
      </c>
      <c r="B1427" s="2" t="s">
        <v>3931</v>
      </c>
      <c r="C1427" s="2" t="s">
        <v>19</v>
      </c>
      <c r="D1427" s="2" t="s">
        <v>81</v>
      </c>
      <c r="E1427" s="2" t="s">
        <v>212</v>
      </c>
      <c r="F1427" s="2">
        <v>8.2260000000000009</v>
      </c>
      <c r="G1427" s="2" t="s">
        <v>206</v>
      </c>
      <c r="H1427" s="2">
        <v>100</v>
      </c>
      <c r="I1427" s="2">
        <v>8.2260000000000009</v>
      </c>
      <c r="J1427" s="2" t="s">
        <v>101</v>
      </c>
      <c r="K1427" s="20">
        <v>44901</v>
      </c>
      <c r="L1427" s="20">
        <v>44539</v>
      </c>
      <c r="M1427" s="20">
        <v>44539</v>
      </c>
      <c r="N1427" s="2" t="s">
        <v>213</v>
      </c>
      <c r="O1427" s="2" t="s">
        <v>72</v>
      </c>
      <c r="P1427" s="2" t="s">
        <v>73</v>
      </c>
      <c r="Q1427" s="2">
        <f t="shared" si="22"/>
        <v>1</v>
      </c>
    </row>
    <row r="1428" spans="1:17" x14ac:dyDescent="0.25">
      <c r="A1428" s="2" t="s">
        <v>3933</v>
      </c>
      <c r="B1428" s="2" t="s">
        <v>3934</v>
      </c>
      <c r="C1428" s="2" t="s">
        <v>30</v>
      </c>
      <c r="D1428" s="2" t="s">
        <v>186</v>
      </c>
      <c r="E1428" s="2" t="s">
        <v>205</v>
      </c>
      <c r="F1428" s="2">
        <v>101.94</v>
      </c>
      <c r="G1428" s="2" t="s">
        <v>206</v>
      </c>
      <c r="H1428" s="2">
        <v>80</v>
      </c>
      <c r="I1428" s="2">
        <v>81.552000000000007</v>
      </c>
      <c r="J1428" s="2" t="s">
        <v>101</v>
      </c>
      <c r="K1428" s="20">
        <v>44906</v>
      </c>
      <c r="L1428" s="20">
        <v>44546</v>
      </c>
      <c r="M1428" s="20">
        <v>44546</v>
      </c>
      <c r="N1428" s="2" t="s">
        <v>220</v>
      </c>
      <c r="O1428" s="2" t="s">
        <v>54</v>
      </c>
      <c r="P1428" s="2" t="s">
        <v>26</v>
      </c>
      <c r="Q1428" s="2">
        <f t="shared" si="22"/>
        <v>1</v>
      </c>
    </row>
    <row r="1429" spans="1:17" x14ac:dyDescent="0.25">
      <c r="A1429" s="2" t="s">
        <v>3936</v>
      </c>
      <c r="B1429" s="2" t="s">
        <v>3937</v>
      </c>
      <c r="C1429" s="2" t="s">
        <v>19</v>
      </c>
      <c r="D1429" s="2" t="s">
        <v>105</v>
      </c>
      <c r="E1429" s="2" t="s">
        <v>212</v>
      </c>
      <c r="F1429" s="2">
        <v>22.367999999999999</v>
      </c>
      <c r="G1429" s="2" t="s">
        <v>206</v>
      </c>
      <c r="H1429" s="2">
        <v>100</v>
      </c>
      <c r="I1429" s="2">
        <v>22.367999999999999</v>
      </c>
      <c r="J1429" s="2" t="s">
        <v>101</v>
      </c>
      <c r="K1429" s="20">
        <v>44906</v>
      </c>
      <c r="L1429" s="20">
        <v>44547</v>
      </c>
      <c r="M1429" s="20">
        <v>44547</v>
      </c>
      <c r="N1429" s="2" t="s">
        <v>234</v>
      </c>
      <c r="O1429" s="2" t="s">
        <v>40</v>
      </c>
      <c r="P1429" s="2" t="s">
        <v>34</v>
      </c>
      <c r="Q1429" s="2">
        <f t="shared" si="22"/>
        <v>1</v>
      </c>
    </row>
    <row r="1430" spans="1:17" x14ac:dyDescent="0.25">
      <c r="A1430" s="2" t="s">
        <v>3939</v>
      </c>
      <c r="B1430" s="2" t="s">
        <v>3940</v>
      </c>
      <c r="C1430" s="2" t="s">
        <v>19</v>
      </c>
      <c r="D1430" s="2" t="s">
        <v>345</v>
      </c>
      <c r="E1430" s="2" t="s">
        <v>212</v>
      </c>
      <c r="F1430" s="2">
        <v>103.92</v>
      </c>
      <c r="G1430" s="2" t="s">
        <v>206</v>
      </c>
      <c r="H1430" s="2">
        <v>100</v>
      </c>
      <c r="I1430" s="2">
        <v>103.92</v>
      </c>
      <c r="J1430" s="2" t="s">
        <v>101</v>
      </c>
      <c r="K1430" s="20">
        <v>44908</v>
      </c>
      <c r="L1430" s="20">
        <v>44547</v>
      </c>
      <c r="M1430" s="20">
        <v>44547</v>
      </c>
      <c r="N1430" s="2" t="s">
        <v>220</v>
      </c>
      <c r="O1430" s="2" t="s">
        <v>33</v>
      </c>
      <c r="P1430" s="2" t="s">
        <v>34</v>
      </c>
      <c r="Q1430" s="2">
        <f t="shared" si="22"/>
        <v>1</v>
      </c>
    </row>
    <row r="1431" spans="1:17" x14ac:dyDescent="0.25">
      <c r="A1431" s="2" t="s">
        <v>3942</v>
      </c>
      <c r="B1431" s="2" t="s">
        <v>3943</v>
      </c>
      <c r="C1431" s="2" t="s">
        <v>19</v>
      </c>
      <c r="D1431" s="2" t="s">
        <v>186</v>
      </c>
      <c r="E1431" s="2" t="s">
        <v>212</v>
      </c>
      <c r="F1431" s="2">
        <v>3.28</v>
      </c>
      <c r="G1431" s="2" t="s">
        <v>206</v>
      </c>
      <c r="H1431" s="2">
        <v>100</v>
      </c>
      <c r="I1431" s="2">
        <v>3.28</v>
      </c>
      <c r="J1431" s="2" t="s">
        <v>101</v>
      </c>
      <c r="K1431" s="20">
        <v>44908</v>
      </c>
      <c r="L1431" s="20">
        <v>44548</v>
      </c>
      <c r="M1431" s="20">
        <v>44548</v>
      </c>
      <c r="N1431" s="2" t="s">
        <v>248</v>
      </c>
      <c r="O1431" s="2" t="s">
        <v>72</v>
      </c>
      <c r="P1431" s="2" t="s">
        <v>73</v>
      </c>
      <c r="Q1431" s="2">
        <f t="shared" si="22"/>
        <v>1</v>
      </c>
    </row>
    <row r="1432" spans="1:17" x14ac:dyDescent="0.25">
      <c r="A1432" s="2" t="s">
        <v>3945</v>
      </c>
      <c r="B1432" s="2" t="s">
        <v>3946</v>
      </c>
      <c r="C1432" s="2" t="s">
        <v>19</v>
      </c>
      <c r="D1432" s="2" t="s">
        <v>81</v>
      </c>
      <c r="E1432" s="2" t="s">
        <v>212</v>
      </c>
      <c r="F1432" s="2">
        <v>88.8</v>
      </c>
      <c r="G1432" s="2" t="s">
        <v>206</v>
      </c>
      <c r="H1432" s="2">
        <v>100</v>
      </c>
      <c r="I1432" s="2">
        <v>88.8</v>
      </c>
      <c r="J1432" s="2" t="s">
        <v>101</v>
      </c>
      <c r="K1432" s="20">
        <v>44910</v>
      </c>
      <c r="L1432" s="20">
        <v>44547</v>
      </c>
      <c r="M1432" s="20">
        <v>44547</v>
      </c>
      <c r="N1432" s="2" t="s">
        <v>207</v>
      </c>
      <c r="O1432" s="2" t="s">
        <v>67</v>
      </c>
      <c r="P1432" s="2" t="s">
        <v>68</v>
      </c>
      <c r="Q1432" s="2">
        <f t="shared" si="22"/>
        <v>1</v>
      </c>
    </row>
    <row r="1433" spans="1:17" x14ac:dyDescent="0.25">
      <c r="A1433" s="2" t="s">
        <v>3948</v>
      </c>
      <c r="B1433" s="2" t="s">
        <v>3949</v>
      </c>
      <c r="C1433" s="2" t="s">
        <v>19</v>
      </c>
      <c r="D1433" s="2" t="s">
        <v>62</v>
      </c>
      <c r="E1433" s="2" t="s">
        <v>205</v>
      </c>
      <c r="F1433" s="2">
        <v>180.01599999999999</v>
      </c>
      <c r="G1433" s="2" t="s">
        <v>206</v>
      </c>
      <c r="H1433" s="2">
        <v>80</v>
      </c>
      <c r="I1433" s="2">
        <v>144.0128</v>
      </c>
      <c r="J1433" s="2" t="s">
        <v>101</v>
      </c>
      <c r="K1433" s="20">
        <v>44910</v>
      </c>
      <c r="L1433" s="20">
        <v>44549</v>
      </c>
      <c r="M1433" s="20">
        <v>44549</v>
      </c>
      <c r="N1433" s="2" t="s">
        <v>238</v>
      </c>
      <c r="O1433" s="2" t="s">
        <v>82</v>
      </c>
      <c r="P1433" s="2" t="s">
        <v>47</v>
      </c>
      <c r="Q1433" s="2">
        <f t="shared" si="22"/>
        <v>1</v>
      </c>
    </row>
    <row r="1434" spans="1:17" x14ac:dyDescent="0.25">
      <c r="A1434" s="2" t="s">
        <v>3950</v>
      </c>
      <c r="B1434" s="2" t="s">
        <v>3951</v>
      </c>
      <c r="C1434" s="2" t="s">
        <v>19</v>
      </c>
      <c r="D1434" s="2" t="s">
        <v>105</v>
      </c>
      <c r="E1434" s="2" t="s">
        <v>212</v>
      </c>
      <c r="F1434" s="2">
        <v>36.270000000000003</v>
      </c>
      <c r="G1434" s="2" t="s">
        <v>206</v>
      </c>
      <c r="H1434" s="2">
        <v>100</v>
      </c>
      <c r="I1434" s="2">
        <v>36.270000000000003</v>
      </c>
      <c r="J1434" s="2" t="s">
        <v>101</v>
      </c>
      <c r="K1434" s="20">
        <v>44910</v>
      </c>
      <c r="L1434" s="20">
        <v>44550</v>
      </c>
      <c r="M1434" s="20">
        <v>44550</v>
      </c>
      <c r="N1434" s="2" t="s">
        <v>248</v>
      </c>
      <c r="O1434" s="2" t="s">
        <v>67</v>
      </c>
      <c r="P1434" s="2" t="s">
        <v>68</v>
      </c>
      <c r="Q1434" s="2">
        <f t="shared" si="22"/>
        <v>1</v>
      </c>
    </row>
    <row r="1435" spans="1:17" x14ac:dyDescent="0.25">
      <c r="A1435" s="2" t="s">
        <v>3953</v>
      </c>
      <c r="B1435" s="2" t="s">
        <v>3954</v>
      </c>
      <c r="C1435" s="2" t="s">
        <v>30</v>
      </c>
      <c r="D1435" s="2" t="s">
        <v>51</v>
      </c>
      <c r="E1435" s="2" t="s">
        <v>212</v>
      </c>
      <c r="F1435" s="2">
        <v>19.936</v>
      </c>
      <c r="G1435" s="2" t="s">
        <v>206</v>
      </c>
      <c r="H1435" s="2">
        <v>100</v>
      </c>
      <c r="I1435" s="2">
        <v>19.936</v>
      </c>
      <c r="J1435" s="2" t="s">
        <v>101</v>
      </c>
      <c r="K1435" s="20">
        <v>44912</v>
      </c>
      <c r="L1435" s="20">
        <v>44550</v>
      </c>
      <c r="M1435" s="20">
        <v>44550</v>
      </c>
      <c r="N1435" s="2" t="s">
        <v>207</v>
      </c>
      <c r="O1435" s="2" t="s">
        <v>54</v>
      </c>
      <c r="P1435" s="2" t="s">
        <v>26</v>
      </c>
      <c r="Q1435" s="2">
        <f t="shared" si="22"/>
        <v>1</v>
      </c>
    </row>
    <row r="1436" spans="1:17" x14ac:dyDescent="0.25">
      <c r="A1436" s="2" t="s">
        <v>3956</v>
      </c>
      <c r="B1436" s="2" t="s">
        <v>3957</v>
      </c>
      <c r="C1436" s="2" t="s">
        <v>19</v>
      </c>
      <c r="D1436" s="2" t="s">
        <v>115</v>
      </c>
      <c r="E1436" s="2" t="s">
        <v>205</v>
      </c>
      <c r="F1436" s="2">
        <v>165.6</v>
      </c>
      <c r="G1436" s="2" t="s">
        <v>206</v>
      </c>
      <c r="H1436" s="2">
        <v>80</v>
      </c>
      <c r="I1436" s="2">
        <v>132.47999999999999</v>
      </c>
      <c r="J1436" s="2" t="s">
        <v>101</v>
      </c>
      <c r="K1436" s="20">
        <v>44916</v>
      </c>
      <c r="L1436" s="20">
        <v>44556</v>
      </c>
      <c r="M1436" s="20">
        <v>44556</v>
      </c>
      <c r="N1436" s="2" t="s">
        <v>248</v>
      </c>
      <c r="O1436" s="2" t="s">
        <v>46</v>
      </c>
      <c r="P1436" s="2" t="s">
        <v>47</v>
      </c>
      <c r="Q1436" s="2">
        <f t="shared" si="22"/>
        <v>1</v>
      </c>
    </row>
    <row r="1437" spans="1:17" x14ac:dyDescent="0.25">
      <c r="A1437" s="2" t="s">
        <v>3958</v>
      </c>
      <c r="B1437" s="2" t="s">
        <v>3959</v>
      </c>
      <c r="C1437" s="2" t="s">
        <v>30</v>
      </c>
      <c r="D1437" s="2" t="s">
        <v>81</v>
      </c>
      <c r="E1437" s="2" t="s">
        <v>205</v>
      </c>
      <c r="F1437" s="2">
        <v>69.98</v>
      </c>
      <c r="G1437" s="2" t="s">
        <v>206</v>
      </c>
      <c r="H1437" s="2">
        <v>80</v>
      </c>
      <c r="I1437" s="2">
        <v>55.984000000000009</v>
      </c>
      <c r="J1437" s="2" t="s">
        <v>101</v>
      </c>
      <c r="K1437" s="20">
        <v>44921</v>
      </c>
      <c r="L1437" s="20">
        <v>44560</v>
      </c>
      <c r="M1437" s="20">
        <v>44560</v>
      </c>
      <c r="N1437" s="2" t="s">
        <v>220</v>
      </c>
      <c r="O1437" s="2" t="s">
        <v>82</v>
      </c>
      <c r="P1437" s="2" t="s">
        <v>47</v>
      </c>
      <c r="Q1437" s="2">
        <f t="shared" si="22"/>
        <v>1</v>
      </c>
    </row>
    <row r="1438" spans="1:17" x14ac:dyDescent="0.25">
      <c r="A1438" s="2" t="s">
        <v>3960</v>
      </c>
      <c r="B1438" s="2" t="s">
        <v>3961</v>
      </c>
      <c r="C1438" s="2" t="s">
        <v>19</v>
      </c>
      <c r="D1438" s="2" t="s">
        <v>81</v>
      </c>
      <c r="E1438" s="2" t="s">
        <v>205</v>
      </c>
      <c r="F1438" s="2">
        <v>156.512</v>
      </c>
      <c r="G1438" s="2" t="s">
        <v>206</v>
      </c>
      <c r="H1438" s="2">
        <v>80</v>
      </c>
      <c r="I1438" s="2">
        <v>125.20960000000001</v>
      </c>
      <c r="J1438" s="2" t="s">
        <v>101</v>
      </c>
      <c r="K1438" s="20">
        <v>44923</v>
      </c>
      <c r="L1438" s="20">
        <v>44562</v>
      </c>
      <c r="M1438" s="20">
        <v>44562</v>
      </c>
      <c r="N1438" s="2" t="s">
        <v>248</v>
      </c>
      <c r="O1438" s="2" t="s">
        <v>72</v>
      </c>
      <c r="P1438" s="2" t="s">
        <v>73</v>
      </c>
      <c r="Q1438" s="2">
        <f t="shared" si="22"/>
        <v>1</v>
      </c>
    </row>
    <row r="1439" spans="1:17" x14ac:dyDescent="0.25">
      <c r="A1439" s="2" t="s">
        <v>3963</v>
      </c>
      <c r="B1439" s="2" t="s">
        <v>3964</v>
      </c>
      <c r="C1439" s="2" t="s">
        <v>19</v>
      </c>
      <c r="D1439" s="2" t="s">
        <v>345</v>
      </c>
      <c r="E1439" s="2" t="s">
        <v>212</v>
      </c>
      <c r="F1439" s="2">
        <v>14.368</v>
      </c>
      <c r="G1439" s="2" t="s">
        <v>206</v>
      </c>
      <c r="H1439" s="2">
        <v>100</v>
      </c>
      <c r="I1439" s="2">
        <v>14.368</v>
      </c>
      <c r="J1439" s="2" t="s">
        <v>101</v>
      </c>
      <c r="K1439" s="20">
        <v>44923</v>
      </c>
      <c r="L1439" s="20">
        <v>44928</v>
      </c>
      <c r="M1439" s="20">
        <v>44928</v>
      </c>
      <c r="N1439" s="2" t="s">
        <v>238</v>
      </c>
      <c r="O1439" s="2" t="s">
        <v>40</v>
      </c>
      <c r="P1439" s="2" t="s">
        <v>34</v>
      </c>
      <c r="Q1439" s="2">
        <f t="shared" si="22"/>
        <v>1</v>
      </c>
    </row>
    <row r="1440" spans="1:17" x14ac:dyDescent="0.25">
      <c r="A1440" s="2" t="s">
        <v>3966</v>
      </c>
      <c r="B1440" s="2" t="s">
        <v>3967</v>
      </c>
      <c r="C1440" s="2" t="s">
        <v>30</v>
      </c>
      <c r="D1440" s="2" t="s">
        <v>230</v>
      </c>
      <c r="E1440" s="2" t="s">
        <v>205</v>
      </c>
      <c r="F1440" s="2">
        <v>105.52</v>
      </c>
      <c r="G1440" s="2" t="s">
        <v>206</v>
      </c>
      <c r="H1440" s="2">
        <v>80</v>
      </c>
      <c r="I1440" s="2">
        <v>84.415999999999997</v>
      </c>
      <c r="J1440" s="2" t="s">
        <v>101</v>
      </c>
      <c r="K1440" s="20">
        <v>44923</v>
      </c>
      <c r="L1440" s="20">
        <v>44560</v>
      </c>
      <c r="M1440" s="20">
        <v>44560</v>
      </c>
      <c r="N1440" s="2" t="s">
        <v>220</v>
      </c>
      <c r="O1440" s="2" t="s">
        <v>25</v>
      </c>
      <c r="P1440" s="2" t="s">
        <v>26</v>
      </c>
      <c r="Q1440" s="2">
        <f t="shared" si="22"/>
        <v>1</v>
      </c>
    </row>
    <row r="1441" spans="1:17" x14ac:dyDescent="0.25">
      <c r="A1441" s="2" t="s">
        <v>3969</v>
      </c>
      <c r="B1441" s="2" t="s">
        <v>3970</v>
      </c>
      <c r="C1441" s="2" t="s">
        <v>19</v>
      </c>
      <c r="D1441" s="2" t="s">
        <v>154</v>
      </c>
      <c r="E1441" s="2" t="s">
        <v>205</v>
      </c>
      <c r="F1441" s="2">
        <v>31.86</v>
      </c>
      <c r="G1441" s="2" t="s">
        <v>206</v>
      </c>
      <c r="H1441" s="2">
        <v>80</v>
      </c>
      <c r="I1441" s="2">
        <v>25.488</v>
      </c>
      <c r="J1441" s="2" t="s">
        <v>101</v>
      </c>
      <c r="K1441" s="20">
        <v>44930</v>
      </c>
      <c r="L1441" s="20">
        <v>44932</v>
      </c>
      <c r="M1441" s="20">
        <v>44932</v>
      </c>
      <c r="N1441" s="2" t="s">
        <v>234</v>
      </c>
      <c r="O1441" s="2" t="s">
        <v>54</v>
      </c>
      <c r="P1441" s="2" t="s">
        <v>26</v>
      </c>
      <c r="Q1441" s="2">
        <f t="shared" si="22"/>
        <v>1</v>
      </c>
    </row>
    <row r="1442" spans="1:17" x14ac:dyDescent="0.25">
      <c r="A1442" s="2" t="s">
        <v>3971</v>
      </c>
      <c r="B1442" s="2" t="s">
        <v>3972</v>
      </c>
      <c r="C1442" s="2" t="s">
        <v>19</v>
      </c>
      <c r="D1442" s="2" t="s">
        <v>164</v>
      </c>
      <c r="E1442" s="2" t="s">
        <v>205</v>
      </c>
      <c r="F1442" s="2">
        <v>241.5</v>
      </c>
      <c r="G1442" s="2" t="s">
        <v>206</v>
      </c>
      <c r="H1442" s="2">
        <v>80</v>
      </c>
      <c r="I1442" s="2">
        <v>193.20000000000002</v>
      </c>
      <c r="J1442" s="2" t="s">
        <v>101</v>
      </c>
      <c r="K1442" s="20">
        <v>44931</v>
      </c>
      <c r="L1442" s="20">
        <v>44936</v>
      </c>
      <c r="M1442" s="20">
        <v>44936</v>
      </c>
      <c r="N1442" s="2" t="s">
        <v>207</v>
      </c>
      <c r="O1442" s="2" t="s">
        <v>46</v>
      </c>
      <c r="P1442" s="2" t="s">
        <v>47</v>
      </c>
      <c r="Q1442" s="2">
        <f t="shared" si="22"/>
        <v>1</v>
      </c>
    </row>
    <row r="1443" spans="1:17" x14ac:dyDescent="0.25">
      <c r="A1443" s="2" t="s">
        <v>3974</v>
      </c>
      <c r="B1443" s="2" t="s">
        <v>3975</v>
      </c>
      <c r="C1443" s="2" t="s">
        <v>19</v>
      </c>
      <c r="D1443" s="2" t="s">
        <v>115</v>
      </c>
      <c r="E1443" s="2" t="s">
        <v>212</v>
      </c>
      <c r="F1443" s="2">
        <v>5.1840000000000002</v>
      </c>
      <c r="G1443" s="2" t="s">
        <v>206</v>
      </c>
      <c r="H1443" s="2">
        <v>100</v>
      </c>
      <c r="I1443" s="2">
        <v>5.1840000000000002</v>
      </c>
      <c r="J1443" s="2" t="s">
        <v>101</v>
      </c>
      <c r="K1443" s="20">
        <v>44934</v>
      </c>
      <c r="L1443" s="20">
        <v>44939</v>
      </c>
      <c r="M1443" s="20">
        <v>44939</v>
      </c>
      <c r="N1443" s="2" t="s">
        <v>220</v>
      </c>
      <c r="O1443" s="2" t="s">
        <v>72</v>
      </c>
      <c r="P1443" s="2" t="s">
        <v>73</v>
      </c>
      <c r="Q1443" s="2">
        <f t="shared" si="22"/>
        <v>1</v>
      </c>
    </row>
    <row r="1444" spans="1:17" x14ac:dyDescent="0.25">
      <c r="A1444" s="2" t="s">
        <v>3976</v>
      </c>
      <c r="B1444" s="2" t="s">
        <v>3977</v>
      </c>
      <c r="C1444" s="2" t="s">
        <v>30</v>
      </c>
      <c r="D1444" s="2" t="s">
        <v>105</v>
      </c>
      <c r="E1444" s="2" t="s">
        <v>212</v>
      </c>
      <c r="F1444" s="2">
        <v>227.96</v>
      </c>
      <c r="G1444" s="2" t="s">
        <v>206</v>
      </c>
      <c r="H1444" s="2">
        <v>100</v>
      </c>
      <c r="I1444" s="2">
        <v>227.96</v>
      </c>
      <c r="J1444" s="2" t="s">
        <v>101</v>
      </c>
      <c r="K1444" s="20">
        <v>44936</v>
      </c>
      <c r="L1444" s="20">
        <v>44940</v>
      </c>
      <c r="M1444" s="20">
        <v>44940</v>
      </c>
      <c r="N1444" s="2" t="s">
        <v>220</v>
      </c>
      <c r="O1444" s="2" t="s">
        <v>33</v>
      </c>
      <c r="P1444" s="2" t="s">
        <v>34</v>
      </c>
      <c r="Q1444" s="2">
        <f t="shared" si="22"/>
        <v>1</v>
      </c>
    </row>
    <row r="1445" spans="1:17" x14ac:dyDescent="0.25">
      <c r="A1445" s="2" t="s">
        <v>3979</v>
      </c>
      <c r="B1445" s="2" t="s">
        <v>3980</v>
      </c>
      <c r="C1445" s="2" t="s">
        <v>19</v>
      </c>
      <c r="D1445" s="2" t="s">
        <v>186</v>
      </c>
      <c r="E1445" s="2" t="s">
        <v>205</v>
      </c>
      <c r="F1445" s="2">
        <v>296.37</v>
      </c>
      <c r="G1445" s="2" t="s">
        <v>206</v>
      </c>
      <c r="H1445" s="2">
        <v>80</v>
      </c>
      <c r="I1445" s="2">
        <v>237.096</v>
      </c>
      <c r="J1445" s="2" t="s">
        <v>101</v>
      </c>
      <c r="K1445" s="20">
        <v>44942</v>
      </c>
      <c r="L1445" s="20">
        <v>44942</v>
      </c>
      <c r="M1445" s="20">
        <v>44942</v>
      </c>
      <c r="N1445" s="2" t="s">
        <v>220</v>
      </c>
      <c r="O1445" s="2" t="s">
        <v>82</v>
      </c>
      <c r="P1445" s="2" t="s">
        <v>47</v>
      </c>
      <c r="Q1445" s="2">
        <f t="shared" si="22"/>
        <v>1</v>
      </c>
    </row>
    <row r="1446" spans="1:17" x14ac:dyDescent="0.25">
      <c r="A1446" s="2" t="s">
        <v>3982</v>
      </c>
      <c r="B1446" s="2" t="s">
        <v>3983</v>
      </c>
      <c r="C1446" s="2" t="s">
        <v>30</v>
      </c>
      <c r="D1446" s="2" t="s">
        <v>31</v>
      </c>
      <c r="E1446" s="2" t="s">
        <v>205</v>
      </c>
      <c r="F1446" s="2">
        <v>362.92</v>
      </c>
      <c r="G1446" s="2" t="s">
        <v>206</v>
      </c>
      <c r="H1446" s="2">
        <v>80</v>
      </c>
      <c r="I1446" s="2">
        <v>290.33600000000001</v>
      </c>
      <c r="J1446" s="2" t="s">
        <v>101</v>
      </c>
      <c r="K1446" s="20">
        <v>44949</v>
      </c>
      <c r="L1446" s="20">
        <v>44955</v>
      </c>
      <c r="M1446" s="20">
        <v>44955</v>
      </c>
      <c r="N1446" s="2" t="s">
        <v>220</v>
      </c>
      <c r="O1446" s="2" t="s">
        <v>33</v>
      </c>
      <c r="P1446" s="2" t="s">
        <v>34</v>
      </c>
      <c r="Q1446" s="2">
        <f t="shared" si="22"/>
        <v>1</v>
      </c>
    </row>
    <row r="1447" spans="1:17" x14ac:dyDescent="0.25">
      <c r="A1447" s="2" t="s">
        <v>3984</v>
      </c>
      <c r="B1447" s="2" t="s">
        <v>3985</v>
      </c>
      <c r="C1447" s="2" t="s">
        <v>30</v>
      </c>
      <c r="D1447" s="2" t="s">
        <v>51</v>
      </c>
      <c r="E1447" s="2" t="s">
        <v>205</v>
      </c>
      <c r="F1447" s="2">
        <v>27.96</v>
      </c>
      <c r="G1447" s="2" t="s">
        <v>206</v>
      </c>
      <c r="H1447" s="2">
        <v>80</v>
      </c>
      <c r="I1447" s="2">
        <v>22.368000000000002</v>
      </c>
      <c r="J1447" s="2" t="s">
        <v>101</v>
      </c>
      <c r="K1447" s="20">
        <v>44949</v>
      </c>
      <c r="L1447" s="20">
        <v>44954</v>
      </c>
      <c r="M1447" s="20">
        <v>44954</v>
      </c>
      <c r="N1447" s="2" t="s">
        <v>234</v>
      </c>
      <c r="O1447" s="2" t="s">
        <v>40</v>
      </c>
      <c r="P1447" s="2" t="s">
        <v>34</v>
      </c>
      <c r="Q1447" s="2">
        <f t="shared" si="22"/>
        <v>1</v>
      </c>
    </row>
    <row r="1448" spans="1:17" x14ac:dyDescent="0.25">
      <c r="A1448" s="2" t="s">
        <v>3986</v>
      </c>
      <c r="B1448" s="2" t="s">
        <v>3987</v>
      </c>
      <c r="C1448" s="2" t="s">
        <v>19</v>
      </c>
      <c r="D1448" s="2" t="s">
        <v>150</v>
      </c>
      <c r="E1448" s="2" t="s">
        <v>21</v>
      </c>
      <c r="F1448" s="2">
        <v>381.80399999999997</v>
      </c>
      <c r="G1448" s="2" t="s">
        <v>22</v>
      </c>
      <c r="H1448" s="2">
        <v>0</v>
      </c>
      <c r="I1448" s="2">
        <v>0</v>
      </c>
      <c r="J1448" s="2" t="s">
        <v>101</v>
      </c>
      <c r="K1448" s="20">
        <v>44957</v>
      </c>
      <c r="L1448" s="20">
        <v>44958</v>
      </c>
      <c r="M1448" s="20">
        <v>44958</v>
      </c>
      <c r="N1448" s="2" t="s">
        <v>45</v>
      </c>
      <c r="O1448" s="2" t="s">
        <v>82</v>
      </c>
      <c r="P1448" s="2" t="s">
        <v>47</v>
      </c>
      <c r="Q1448" s="2">
        <f t="shared" si="22"/>
        <v>1</v>
      </c>
    </row>
    <row r="1449" spans="1:17" x14ac:dyDescent="0.25">
      <c r="A1449" s="2" t="s">
        <v>3988</v>
      </c>
      <c r="B1449" s="2" t="s">
        <v>3989</v>
      </c>
      <c r="C1449" s="2" t="s">
        <v>19</v>
      </c>
      <c r="D1449" s="2" t="s">
        <v>164</v>
      </c>
      <c r="E1449" s="2" t="s">
        <v>205</v>
      </c>
      <c r="F1449" s="2">
        <v>10.368</v>
      </c>
      <c r="G1449" s="2" t="s">
        <v>206</v>
      </c>
      <c r="H1449" s="2">
        <v>80</v>
      </c>
      <c r="I1449" s="2">
        <v>8.2944000000000013</v>
      </c>
      <c r="J1449" s="2" t="s">
        <v>101</v>
      </c>
      <c r="K1449" s="20">
        <v>44960</v>
      </c>
      <c r="L1449" s="20">
        <v>44966</v>
      </c>
      <c r="M1449" s="20">
        <v>44966</v>
      </c>
      <c r="N1449" s="2" t="s">
        <v>207</v>
      </c>
      <c r="O1449" s="2" t="s">
        <v>72</v>
      </c>
      <c r="P1449" s="2" t="s">
        <v>73</v>
      </c>
      <c r="Q1449" s="2">
        <f t="shared" si="22"/>
        <v>1</v>
      </c>
    </row>
    <row r="1450" spans="1:17" x14ac:dyDescent="0.25">
      <c r="A1450" s="2" t="s">
        <v>3990</v>
      </c>
      <c r="B1450" s="2" t="s">
        <v>3991</v>
      </c>
      <c r="C1450" s="2" t="s">
        <v>19</v>
      </c>
      <c r="D1450" s="2" t="s">
        <v>324</v>
      </c>
      <c r="E1450" s="2" t="s">
        <v>212</v>
      </c>
      <c r="F1450" s="2">
        <v>31.085999999999999</v>
      </c>
      <c r="G1450" s="2" t="s">
        <v>206</v>
      </c>
      <c r="H1450" s="2">
        <v>100</v>
      </c>
      <c r="I1450" s="2">
        <v>31.085999999999999</v>
      </c>
      <c r="J1450" s="2" t="s">
        <v>101</v>
      </c>
      <c r="K1450" s="20">
        <v>44961</v>
      </c>
      <c r="L1450" s="20">
        <v>44968</v>
      </c>
      <c r="M1450" s="20">
        <v>44968</v>
      </c>
      <c r="N1450" s="2" t="s">
        <v>238</v>
      </c>
      <c r="O1450" s="2" t="s">
        <v>67</v>
      </c>
      <c r="P1450" s="2" t="s">
        <v>68</v>
      </c>
      <c r="Q1450" s="2">
        <f t="shared" si="22"/>
        <v>1</v>
      </c>
    </row>
    <row r="1451" spans="1:17" x14ac:dyDescent="0.25">
      <c r="A1451" s="2" t="s">
        <v>3993</v>
      </c>
      <c r="B1451" s="2" t="s">
        <v>3994</v>
      </c>
      <c r="C1451" s="2" t="s">
        <v>30</v>
      </c>
      <c r="D1451" s="2" t="s">
        <v>62</v>
      </c>
      <c r="E1451" s="2" t="s">
        <v>212</v>
      </c>
      <c r="F1451" s="2">
        <v>20.7</v>
      </c>
      <c r="G1451" s="2" t="s">
        <v>206</v>
      </c>
      <c r="H1451" s="2">
        <v>100</v>
      </c>
      <c r="I1451" s="2">
        <v>20.7</v>
      </c>
      <c r="J1451" s="2" t="s">
        <v>101</v>
      </c>
      <c r="K1451" s="20">
        <v>44965</v>
      </c>
      <c r="L1451" s="20">
        <v>44968</v>
      </c>
      <c r="M1451" s="20">
        <v>44968</v>
      </c>
      <c r="N1451" s="2" t="s">
        <v>238</v>
      </c>
      <c r="O1451" s="2" t="s">
        <v>40</v>
      </c>
      <c r="P1451" s="2" t="s">
        <v>34</v>
      </c>
      <c r="Q1451" s="2">
        <f t="shared" si="22"/>
        <v>1</v>
      </c>
    </row>
    <row r="1452" spans="1:17" x14ac:dyDescent="0.25">
      <c r="A1452" s="2" t="s">
        <v>3995</v>
      </c>
      <c r="B1452" s="2" t="s">
        <v>3996</v>
      </c>
      <c r="C1452" s="2" t="s">
        <v>30</v>
      </c>
      <c r="D1452" s="2" t="s">
        <v>211</v>
      </c>
      <c r="E1452" s="2" t="s">
        <v>205</v>
      </c>
      <c r="F1452" s="2">
        <v>17.04</v>
      </c>
      <c r="G1452" s="2" t="s">
        <v>206</v>
      </c>
      <c r="H1452" s="2">
        <v>80</v>
      </c>
      <c r="I1452" s="2">
        <v>13.632</v>
      </c>
      <c r="J1452" s="2" t="s">
        <v>101</v>
      </c>
      <c r="K1452" s="20">
        <v>44974</v>
      </c>
      <c r="L1452" s="20">
        <v>44978</v>
      </c>
      <c r="M1452" s="20">
        <v>44978</v>
      </c>
      <c r="N1452" s="2" t="s">
        <v>234</v>
      </c>
      <c r="O1452" s="2" t="s">
        <v>25</v>
      </c>
      <c r="P1452" s="2" t="s">
        <v>26</v>
      </c>
      <c r="Q1452" s="2">
        <f t="shared" si="22"/>
        <v>1</v>
      </c>
    </row>
    <row r="1453" spans="1:17" x14ac:dyDescent="0.25">
      <c r="A1453" s="2" t="s">
        <v>3997</v>
      </c>
      <c r="B1453" s="2" t="s">
        <v>3998</v>
      </c>
      <c r="C1453" s="2" t="s">
        <v>30</v>
      </c>
      <c r="D1453" s="2" t="s">
        <v>44</v>
      </c>
      <c r="E1453" s="2" t="s">
        <v>212</v>
      </c>
      <c r="F1453" s="2">
        <v>25.92</v>
      </c>
      <c r="G1453" s="2" t="s">
        <v>206</v>
      </c>
      <c r="H1453" s="2">
        <v>100</v>
      </c>
      <c r="I1453" s="2">
        <v>25.92</v>
      </c>
      <c r="J1453" s="2" t="s">
        <v>101</v>
      </c>
      <c r="K1453" s="20">
        <v>44978</v>
      </c>
      <c r="L1453" s="20">
        <v>44985</v>
      </c>
      <c r="M1453" s="20">
        <v>44985</v>
      </c>
      <c r="N1453" s="2" t="s">
        <v>238</v>
      </c>
      <c r="O1453" s="2" t="s">
        <v>67</v>
      </c>
      <c r="P1453" s="2" t="s">
        <v>68</v>
      </c>
      <c r="Q1453" s="2">
        <f t="shared" si="22"/>
        <v>1</v>
      </c>
    </row>
    <row r="1454" spans="1:17" x14ac:dyDescent="0.25">
      <c r="A1454" s="2" t="s">
        <v>4000</v>
      </c>
      <c r="B1454" s="2" t="s">
        <v>4001</v>
      </c>
      <c r="C1454" s="2" t="s">
        <v>30</v>
      </c>
      <c r="D1454" s="2" t="s">
        <v>51</v>
      </c>
      <c r="E1454" s="2" t="s">
        <v>205</v>
      </c>
      <c r="F1454" s="2">
        <v>159.91999999999999</v>
      </c>
      <c r="G1454" s="2" t="s">
        <v>206</v>
      </c>
      <c r="H1454" s="2">
        <v>80</v>
      </c>
      <c r="I1454" s="2">
        <v>127.93599999999999</v>
      </c>
      <c r="J1454" s="2" t="s">
        <v>101</v>
      </c>
      <c r="K1454" s="20">
        <v>44979</v>
      </c>
      <c r="L1454" s="20">
        <v>44980</v>
      </c>
      <c r="M1454" s="20">
        <v>44980</v>
      </c>
      <c r="N1454" s="2" t="s">
        <v>207</v>
      </c>
      <c r="O1454" s="2" t="s">
        <v>33</v>
      </c>
      <c r="P1454" s="2" t="s">
        <v>34</v>
      </c>
      <c r="Q1454" s="2">
        <f t="shared" si="22"/>
        <v>1</v>
      </c>
    </row>
    <row r="1455" spans="1:17" x14ac:dyDescent="0.25">
      <c r="A1455" s="2" t="s">
        <v>4002</v>
      </c>
      <c r="B1455" s="2" t="s">
        <v>4003</v>
      </c>
      <c r="C1455" s="2" t="s">
        <v>19</v>
      </c>
      <c r="D1455" s="2" t="s">
        <v>51</v>
      </c>
      <c r="E1455" s="2" t="s">
        <v>212</v>
      </c>
      <c r="F1455" s="2">
        <v>29.05</v>
      </c>
      <c r="G1455" s="2" t="s">
        <v>206</v>
      </c>
      <c r="H1455" s="2">
        <v>100</v>
      </c>
      <c r="I1455" s="2">
        <v>29.05</v>
      </c>
      <c r="J1455" s="2" t="s">
        <v>101</v>
      </c>
      <c r="K1455" s="20">
        <v>44987</v>
      </c>
      <c r="L1455" s="20">
        <v>44994</v>
      </c>
      <c r="M1455" s="20">
        <v>44994</v>
      </c>
      <c r="N1455" s="2" t="s">
        <v>234</v>
      </c>
      <c r="O1455" s="2" t="s">
        <v>72</v>
      </c>
      <c r="P1455" s="2" t="s">
        <v>73</v>
      </c>
      <c r="Q1455" s="2">
        <f t="shared" si="22"/>
        <v>1</v>
      </c>
    </row>
    <row r="1456" spans="1:17" x14ac:dyDescent="0.25">
      <c r="A1456" s="2" t="s">
        <v>4005</v>
      </c>
      <c r="B1456" s="2" t="s">
        <v>4006</v>
      </c>
      <c r="C1456" s="2" t="s">
        <v>30</v>
      </c>
      <c r="D1456" s="2" t="s">
        <v>150</v>
      </c>
      <c r="E1456" s="2" t="s">
        <v>212</v>
      </c>
      <c r="F1456" s="2">
        <v>5.04</v>
      </c>
      <c r="G1456" s="2" t="s">
        <v>206</v>
      </c>
      <c r="H1456" s="2">
        <v>100</v>
      </c>
      <c r="I1456" s="2">
        <v>5.04</v>
      </c>
      <c r="J1456" s="2" t="s">
        <v>101</v>
      </c>
      <c r="K1456" s="20">
        <v>44995</v>
      </c>
      <c r="L1456" s="20">
        <v>44999</v>
      </c>
      <c r="M1456" s="20">
        <v>44999</v>
      </c>
      <c r="N1456" s="2" t="s">
        <v>220</v>
      </c>
      <c r="O1456" s="2" t="s">
        <v>46</v>
      </c>
      <c r="P1456" s="2" t="s">
        <v>47</v>
      </c>
      <c r="Q1456" s="2">
        <f t="shared" si="22"/>
        <v>1</v>
      </c>
    </row>
    <row r="1457" spans="1:17" x14ac:dyDescent="0.25">
      <c r="A1457" s="2" t="s">
        <v>4007</v>
      </c>
      <c r="B1457" s="2" t="s">
        <v>4008</v>
      </c>
      <c r="C1457" s="2" t="s">
        <v>30</v>
      </c>
      <c r="D1457" s="2" t="s">
        <v>81</v>
      </c>
      <c r="E1457" s="2" t="s">
        <v>205</v>
      </c>
      <c r="F1457" s="2">
        <v>187.05600000000001</v>
      </c>
      <c r="G1457" s="2" t="s">
        <v>206</v>
      </c>
      <c r="H1457" s="2">
        <v>80</v>
      </c>
      <c r="I1457" s="2">
        <v>149.6448</v>
      </c>
      <c r="J1457" s="2" t="s">
        <v>101</v>
      </c>
      <c r="K1457" s="20">
        <v>44996</v>
      </c>
      <c r="L1457" s="20">
        <v>45002</v>
      </c>
      <c r="M1457" s="20">
        <v>45002</v>
      </c>
      <c r="N1457" s="2" t="s">
        <v>213</v>
      </c>
      <c r="O1457" s="2" t="s">
        <v>25</v>
      </c>
      <c r="P1457" s="2" t="s">
        <v>26</v>
      </c>
      <c r="Q1457" s="2">
        <f t="shared" si="22"/>
        <v>1</v>
      </c>
    </row>
    <row r="1458" spans="1:17" x14ac:dyDescent="0.25">
      <c r="A1458" s="2" t="s">
        <v>4010</v>
      </c>
      <c r="B1458" s="2" t="s">
        <v>4011</v>
      </c>
      <c r="C1458" s="2" t="s">
        <v>30</v>
      </c>
      <c r="D1458" s="2" t="s">
        <v>345</v>
      </c>
      <c r="E1458" s="2" t="s">
        <v>205</v>
      </c>
      <c r="F1458" s="2">
        <v>5.98</v>
      </c>
      <c r="G1458" s="2" t="s">
        <v>206</v>
      </c>
      <c r="H1458" s="2">
        <v>80</v>
      </c>
      <c r="I1458" s="2">
        <v>4.7840000000000007</v>
      </c>
      <c r="J1458" s="2" t="s">
        <v>101</v>
      </c>
      <c r="K1458" s="20">
        <v>44996</v>
      </c>
      <c r="L1458" s="20">
        <v>45000</v>
      </c>
      <c r="M1458" s="20">
        <v>45000</v>
      </c>
      <c r="N1458" s="2" t="s">
        <v>238</v>
      </c>
      <c r="O1458" s="2" t="s">
        <v>54</v>
      </c>
      <c r="P1458" s="2" t="s">
        <v>26</v>
      </c>
      <c r="Q1458" s="2">
        <f t="shared" si="22"/>
        <v>1</v>
      </c>
    </row>
    <row r="1459" spans="1:17" x14ac:dyDescent="0.25">
      <c r="A1459" s="2" t="s">
        <v>4012</v>
      </c>
      <c r="B1459" s="2" t="s">
        <v>4013</v>
      </c>
      <c r="C1459" s="2" t="s">
        <v>19</v>
      </c>
      <c r="D1459" s="2" t="s">
        <v>115</v>
      </c>
      <c r="E1459" s="2" t="s">
        <v>21</v>
      </c>
      <c r="F1459" s="2">
        <v>4173.8119999999999</v>
      </c>
      <c r="G1459" s="2" t="s">
        <v>22</v>
      </c>
      <c r="H1459" s="2">
        <v>0</v>
      </c>
      <c r="I1459" s="2">
        <v>0</v>
      </c>
      <c r="J1459" s="2" t="s">
        <v>101</v>
      </c>
      <c r="K1459" s="20">
        <v>44996</v>
      </c>
      <c r="L1459" s="20">
        <v>44997</v>
      </c>
      <c r="M1459" s="20">
        <v>44997</v>
      </c>
      <c r="N1459" s="2" t="s">
        <v>45</v>
      </c>
      <c r="O1459" s="2" t="s">
        <v>146</v>
      </c>
      <c r="P1459" s="2" t="s">
        <v>73</v>
      </c>
      <c r="Q1459" s="2">
        <f t="shared" si="22"/>
        <v>1</v>
      </c>
    </row>
    <row r="1460" spans="1:17" x14ac:dyDescent="0.25">
      <c r="A1460" s="2" t="s">
        <v>4015</v>
      </c>
      <c r="B1460" s="2" t="s">
        <v>4016</v>
      </c>
      <c r="C1460" s="2" t="s">
        <v>19</v>
      </c>
      <c r="D1460" s="2" t="s">
        <v>62</v>
      </c>
      <c r="E1460" s="2" t="s">
        <v>212</v>
      </c>
      <c r="F1460" s="2">
        <v>10.38</v>
      </c>
      <c r="G1460" s="2" t="s">
        <v>206</v>
      </c>
      <c r="H1460" s="2">
        <v>100</v>
      </c>
      <c r="I1460" s="2">
        <v>10.38</v>
      </c>
      <c r="J1460" s="2" t="s">
        <v>101</v>
      </c>
      <c r="K1460" s="20">
        <v>44999</v>
      </c>
      <c r="L1460" s="20">
        <v>45004</v>
      </c>
      <c r="M1460" s="20">
        <v>45004</v>
      </c>
      <c r="N1460" s="2" t="s">
        <v>207</v>
      </c>
      <c r="O1460" s="2" t="s">
        <v>54</v>
      </c>
      <c r="P1460" s="2" t="s">
        <v>26</v>
      </c>
      <c r="Q1460" s="2">
        <f t="shared" si="22"/>
        <v>1</v>
      </c>
    </row>
    <row r="1461" spans="1:17" x14ac:dyDescent="0.25">
      <c r="A1461" s="2" t="s">
        <v>4018</v>
      </c>
      <c r="B1461" s="2" t="s">
        <v>4019</v>
      </c>
      <c r="C1461" s="2" t="s">
        <v>19</v>
      </c>
      <c r="D1461" s="2" t="s">
        <v>105</v>
      </c>
      <c r="E1461" s="2" t="s">
        <v>21</v>
      </c>
      <c r="F1461" s="2">
        <v>1356.576</v>
      </c>
      <c r="G1461" s="2" t="s">
        <v>22</v>
      </c>
      <c r="H1461" s="2">
        <v>0</v>
      </c>
      <c r="I1461" s="2">
        <v>0</v>
      </c>
      <c r="J1461" s="2" t="s">
        <v>101</v>
      </c>
      <c r="K1461" s="20">
        <v>45001</v>
      </c>
      <c r="L1461" s="20">
        <v>45002</v>
      </c>
      <c r="M1461" s="20">
        <v>45002</v>
      </c>
      <c r="N1461" s="2" t="s">
        <v>39</v>
      </c>
      <c r="O1461" s="2" t="s">
        <v>67</v>
      </c>
      <c r="P1461" s="2" t="s">
        <v>68</v>
      </c>
      <c r="Q1461" s="2">
        <f t="shared" si="22"/>
        <v>1</v>
      </c>
    </row>
    <row r="1462" spans="1:17" x14ac:dyDescent="0.25">
      <c r="A1462" s="2" t="s">
        <v>4020</v>
      </c>
      <c r="B1462" s="2" t="s">
        <v>4021</v>
      </c>
      <c r="C1462" s="2" t="s">
        <v>30</v>
      </c>
      <c r="D1462" s="2" t="s">
        <v>105</v>
      </c>
      <c r="E1462" s="2" t="s">
        <v>205</v>
      </c>
      <c r="F1462" s="2">
        <v>641.96</v>
      </c>
      <c r="G1462" s="2" t="s">
        <v>206</v>
      </c>
      <c r="H1462" s="2">
        <v>80</v>
      </c>
      <c r="I1462" s="2">
        <v>513.5680000000001</v>
      </c>
      <c r="J1462" s="2" t="s">
        <v>101</v>
      </c>
      <c r="K1462" s="20">
        <v>45001</v>
      </c>
      <c r="L1462" s="20">
        <v>45005</v>
      </c>
      <c r="M1462" s="20">
        <v>45005</v>
      </c>
      <c r="N1462" s="2" t="s">
        <v>238</v>
      </c>
      <c r="O1462" s="2" t="s">
        <v>97</v>
      </c>
      <c r="P1462" s="2" t="s">
        <v>68</v>
      </c>
      <c r="Q1462" s="2">
        <f t="shared" si="22"/>
        <v>1</v>
      </c>
    </row>
    <row r="1463" spans="1:17" x14ac:dyDescent="0.25">
      <c r="A1463" s="2" t="s">
        <v>4023</v>
      </c>
      <c r="B1463" s="2" t="s">
        <v>4024</v>
      </c>
      <c r="C1463" s="2" t="s">
        <v>19</v>
      </c>
      <c r="D1463" s="2" t="s">
        <v>44</v>
      </c>
      <c r="E1463" s="2" t="s">
        <v>212</v>
      </c>
      <c r="F1463" s="2">
        <v>6.2939999999999996</v>
      </c>
      <c r="G1463" s="2" t="s">
        <v>206</v>
      </c>
      <c r="H1463" s="2">
        <v>100</v>
      </c>
      <c r="I1463" s="2">
        <v>6.2939999999999996</v>
      </c>
      <c r="J1463" s="2" t="s">
        <v>101</v>
      </c>
      <c r="K1463" s="20">
        <v>45006</v>
      </c>
      <c r="L1463" s="20">
        <v>45010</v>
      </c>
      <c r="M1463" s="20">
        <v>45010</v>
      </c>
      <c r="N1463" s="2" t="s">
        <v>213</v>
      </c>
      <c r="O1463" s="2" t="s">
        <v>97</v>
      </c>
      <c r="P1463" s="2" t="s">
        <v>68</v>
      </c>
      <c r="Q1463" s="2">
        <f t="shared" si="22"/>
        <v>1</v>
      </c>
    </row>
    <row r="1464" spans="1:17" x14ac:dyDescent="0.25">
      <c r="A1464" s="2" t="s">
        <v>4026</v>
      </c>
      <c r="B1464" s="2" t="s">
        <v>4027</v>
      </c>
      <c r="C1464" s="2" t="s">
        <v>19</v>
      </c>
      <c r="D1464" s="2" t="s">
        <v>150</v>
      </c>
      <c r="E1464" s="2" t="s">
        <v>205</v>
      </c>
      <c r="F1464" s="2">
        <v>3.7979999999999898</v>
      </c>
      <c r="G1464" s="2" t="s">
        <v>206</v>
      </c>
      <c r="H1464" s="2">
        <v>80</v>
      </c>
      <c r="I1464" s="2">
        <v>3.0383999999999922</v>
      </c>
      <c r="J1464" s="2" t="s">
        <v>101</v>
      </c>
      <c r="K1464" s="20">
        <v>45008</v>
      </c>
      <c r="L1464" s="20">
        <v>45008</v>
      </c>
      <c r="M1464" s="20">
        <v>45008</v>
      </c>
      <c r="N1464" s="2" t="s">
        <v>248</v>
      </c>
      <c r="O1464" s="2" t="s">
        <v>40</v>
      </c>
      <c r="P1464" s="2" t="s">
        <v>34</v>
      </c>
      <c r="Q1464" s="2">
        <f t="shared" si="22"/>
        <v>1</v>
      </c>
    </row>
    <row r="1465" spans="1:17" x14ac:dyDescent="0.25">
      <c r="A1465" s="2" t="s">
        <v>4029</v>
      </c>
      <c r="B1465" s="2" t="s">
        <v>4030</v>
      </c>
      <c r="C1465" s="2" t="s">
        <v>19</v>
      </c>
      <c r="D1465" s="2" t="s">
        <v>44</v>
      </c>
      <c r="E1465" s="2" t="s">
        <v>21</v>
      </c>
      <c r="F1465" s="2">
        <v>187.61599999999999</v>
      </c>
      <c r="G1465" s="2" t="s">
        <v>22</v>
      </c>
      <c r="H1465" s="2">
        <v>0</v>
      </c>
      <c r="I1465" s="2">
        <v>0</v>
      </c>
      <c r="J1465" s="2" t="s">
        <v>101</v>
      </c>
      <c r="K1465" s="20">
        <v>45012</v>
      </c>
      <c r="L1465" s="20">
        <v>45013</v>
      </c>
      <c r="M1465" s="20">
        <v>45013</v>
      </c>
      <c r="N1465" s="2" t="s">
        <v>32</v>
      </c>
      <c r="O1465" s="2" t="s">
        <v>67</v>
      </c>
      <c r="P1465" s="2" t="s">
        <v>68</v>
      </c>
      <c r="Q1465" s="2">
        <f t="shared" si="22"/>
        <v>1</v>
      </c>
    </row>
    <row r="1466" spans="1:17" x14ac:dyDescent="0.25">
      <c r="A1466" s="2" t="s">
        <v>4032</v>
      </c>
      <c r="B1466" s="2" t="s">
        <v>4033</v>
      </c>
      <c r="C1466" s="2" t="s">
        <v>30</v>
      </c>
      <c r="D1466" s="2" t="s">
        <v>96</v>
      </c>
      <c r="E1466" s="2" t="s">
        <v>212</v>
      </c>
      <c r="F1466" s="2">
        <v>13.38</v>
      </c>
      <c r="G1466" s="2" t="s">
        <v>206</v>
      </c>
      <c r="H1466" s="2">
        <v>100</v>
      </c>
      <c r="I1466" s="2">
        <v>13.38</v>
      </c>
      <c r="J1466" s="2" t="s">
        <v>101</v>
      </c>
      <c r="K1466" s="20">
        <v>45018</v>
      </c>
      <c r="L1466" s="20">
        <v>45022</v>
      </c>
      <c r="M1466" s="20">
        <v>45022</v>
      </c>
      <c r="N1466" s="2" t="s">
        <v>248</v>
      </c>
      <c r="O1466" s="2" t="s">
        <v>40</v>
      </c>
      <c r="P1466" s="2" t="s">
        <v>34</v>
      </c>
      <c r="Q1466" s="2">
        <f t="shared" si="22"/>
        <v>1</v>
      </c>
    </row>
    <row r="1467" spans="1:17" x14ac:dyDescent="0.25">
      <c r="A1467" s="2" t="s">
        <v>4035</v>
      </c>
      <c r="B1467" s="2" t="s">
        <v>4036</v>
      </c>
      <c r="C1467" s="2" t="s">
        <v>19</v>
      </c>
      <c r="D1467" s="2" t="s">
        <v>345</v>
      </c>
      <c r="E1467" s="2" t="s">
        <v>212</v>
      </c>
      <c r="F1467" s="2">
        <v>558.4</v>
      </c>
      <c r="G1467" s="2" t="s">
        <v>206</v>
      </c>
      <c r="H1467" s="2">
        <v>100</v>
      </c>
      <c r="I1467" s="2">
        <v>558.4</v>
      </c>
      <c r="J1467" s="2" t="s">
        <v>101</v>
      </c>
      <c r="K1467" s="20">
        <v>45019</v>
      </c>
      <c r="L1467" s="20">
        <v>45023</v>
      </c>
      <c r="M1467" s="20">
        <v>45023</v>
      </c>
      <c r="N1467" s="2" t="s">
        <v>213</v>
      </c>
      <c r="O1467" s="2" t="s">
        <v>33</v>
      </c>
      <c r="P1467" s="2" t="s">
        <v>34</v>
      </c>
      <c r="Q1467" s="2">
        <f t="shared" si="22"/>
        <v>1</v>
      </c>
    </row>
    <row r="1468" spans="1:17" x14ac:dyDescent="0.25">
      <c r="A1468" s="2" t="s">
        <v>4037</v>
      </c>
      <c r="B1468" s="2" t="s">
        <v>4038</v>
      </c>
      <c r="C1468" s="2" t="s">
        <v>19</v>
      </c>
      <c r="D1468" s="2" t="s">
        <v>58</v>
      </c>
      <c r="E1468" s="2" t="s">
        <v>212</v>
      </c>
      <c r="F1468" s="2">
        <v>62.1</v>
      </c>
      <c r="G1468" s="2" t="s">
        <v>206</v>
      </c>
      <c r="H1468" s="2">
        <v>100</v>
      </c>
      <c r="I1468" s="2">
        <v>62.1</v>
      </c>
      <c r="J1468" s="2" t="s">
        <v>101</v>
      </c>
      <c r="K1468" s="20">
        <v>45021</v>
      </c>
      <c r="L1468" s="20">
        <v>45026</v>
      </c>
      <c r="M1468" s="20">
        <v>45026</v>
      </c>
      <c r="N1468" s="2" t="s">
        <v>238</v>
      </c>
      <c r="O1468" s="2" t="s">
        <v>54</v>
      </c>
      <c r="P1468" s="2" t="s">
        <v>26</v>
      </c>
      <c r="Q1468" s="2">
        <f t="shared" si="22"/>
        <v>1</v>
      </c>
    </row>
    <row r="1469" spans="1:17" x14ac:dyDescent="0.25">
      <c r="A1469" s="2" t="s">
        <v>4039</v>
      </c>
      <c r="B1469" s="2" t="s">
        <v>4040</v>
      </c>
      <c r="C1469" s="2" t="s">
        <v>19</v>
      </c>
      <c r="D1469" s="2" t="s">
        <v>164</v>
      </c>
      <c r="E1469" s="2" t="s">
        <v>21</v>
      </c>
      <c r="F1469" s="2">
        <v>177.78</v>
      </c>
      <c r="G1469" s="2" t="s">
        <v>22</v>
      </c>
      <c r="H1469" s="2">
        <v>0</v>
      </c>
      <c r="I1469" s="2">
        <v>0</v>
      </c>
      <c r="J1469" s="2" t="s">
        <v>101</v>
      </c>
      <c r="K1469" s="20">
        <v>45021</v>
      </c>
      <c r="L1469" s="20">
        <v>45022</v>
      </c>
      <c r="M1469" s="20">
        <v>45022</v>
      </c>
      <c r="N1469" s="2" t="s">
        <v>53</v>
      </c>
      <c r="O1469" s="2" t="s">
        <v>67</v>
      </c>
      <c r="P1469" s="2" t="s">
        <v>68</v>
      </c>
      <c r="Q1469" s="2">
        <f t="shared" si="22"/>
        <v>1</v>
      </c>
    </row>
    <row r="1470" spans="1:17" x14ac:dyDescent="0.25">
      <c r="A1470" s="2" t="s">
        <v>4041</v>
      </c>
      <c r="B1470" s="2" t="s">
        <v>4042</v>
      </c>
      <c r="C1470" s="2" t="s">
        <v>19</v>
      </c>
      <c r="D1470" s="2" t="s">
        <v>96</v>
      </c>
      <c r="E1470" s="2" t="s">
        <v>212</v>
      </c>
      <c r="F1470" s="2">
        <v>47.4</v>
      </c>
      <c r="G1470" s="2" t="s">
        <v>206</v>
      </c>
      <c r="H1470" s="2">
        <v>100</v>
      </c>
      <c r="I1470" s="2">
        <v>47.4</v>
      </c>
      <c r="J1470" s="2" t="s">
        <v>101</v>
      </c>
      <c r="K1470" s="20">
        <v>45022</v>
      </c>
      <c r="L1470" s="20">
        <v>45027</v>
      </c>
      <c r="M1470" s="20">
        <v>45027</v>
      </c>
      <c r="N1470" s="2" t="s">
        <v>220</v>
      </c>
      <c r="O1470" s="2" t="s">
        <v>25</v>
      </c>
      <c r="P1470" s="2" t="s">
        <v>26</v>
      </c>
      <c r="Q1470" s="2">
        <f t="shared" si="22"/>
        <v>1</v>
      </c>
    </row>
    <row r="1471" spans="1:17" x14ac:dyDescent="0.25">
      <c r="A1471" s="2" t="s">
        <v>4043</v>
      </c>
      <c r="B1471" s="2" t="s">
        <v>4044</v>
      </c>
      <c r="C1471" s="2" t="s">
        <v>30</v>
      </c>
      <c r="D1471" s="2" t="s">
        <v>115</v>
      </c>
      <c r="E1471" s="2" t="s">
        <v>212</v>
      </c>
      <c r="F1471" s="2">
        <v>5.56</v>
      </c>
      <c r="G1471" s="2" t="s">
        <v>206</v>
      </c>
      <c r="H1471" s="2">
        <v>100</v>
      </c>
      <c r="I1471" s="2">
        <v>5.56</v>
      </c>
      <c r="J1471" s="2" t="s">
        <v>101</v>
      </c>
      <c r="K1471" s="20">
        <v>45024</v>
      </c>
      <c r="L1471" s="20">
        <v>45026</v>
      </c>
      <c r="M1471" s="20">
        <v>45026</v>
      </c>
      <c r="N1471" s="2" t="s">
        <v>248</v>
      </c>
      <c r="O1471" s="2" t="s">
        <v>97</v>
      </c>
      <c r="P1471" s="2" t="s">
        <v>68</v>
      </c>
      <c r="Q1471" s="2">
        <f t="shared" si="22"/>
        <v>1</v>
      </c>
    </row>
    <row r="1472" spans="1:17" x14ac:dyDescent="0.25">
      <c r="A1472" s="2" t="s">
        <v>4045</v>
      </c>
      <c r="B1472" s="2" t="s">
        <v>4046</v>
      </c>
      <c r="C1472" s="2" t="s">
        <v>30</v>
      </c>
      <c r="D1472" s="2" t="s">
        <v>154</v>
      </c>
      <c r="E1472" s="2" t="s">
        <v>205</v>
      </c>
      <c r="F1472" s="2">
        <v>11.16</v>
      </c>
      <c r="G1472" s="2" t="s">
        <v>206</v>
      </c>
      <c r="H1472" s="2">
        <v>80</v>
      </c>
      <c r="I1472" s="2">
        <v>8.9280000000000008</v>
      </c>
      <c r="J1472" s="2" t="s">
        <v>101</v>
      </c>
      <c r="K1472" s="20">
        <v>45027</v>
      </c>
      <c r="L1472" s="20">
        <v>45029</v>
      </c>
      <c r="M1472" s="20">
        <v>45029</v>
      </c>
      <c r="N1472" s="2" t="s">
        <v>234</v>
      </c>
      <c r="O1472" s="2" t="s">
        <v>54</v>
      </c>
      <c r="P1472" s="2" t="s">
        <v>26</v>
      </c>
      <c r="Q1472" s="2">
        <f t="shared" si="22"/>
        <v>1</v>
      </c>
    </row>
    <row r="1473" spans="1:17" x14ac:dyDescent="0.25">
      <c r="A1473" s="2" t="s">
        <v>4048</v>
      </c>
      <c r="B1473" s="2" t="s">
        <v>4049</v>
      </c>
      <c r="C1473" s="2" t="s">
        <v>30</v>
      </c>
      <c r="D1473" s="2" t="s">
        <v>81</v>
      </c>
      <c r="E1473" s="2" t="s">
        <v>212</v>
      </c>
      <c r="F1473" s="2">
        <v>22.05</v>
      </c>
      <c r="G1473" s="2" t="s">
        <v>206</v>
      </c>
      <c r="H1473" s="2">
        <v>100</v>
      </c>
      <c r="I1473" s="2">
        <v>22.05</v>
      </c>
      <c r="J1473" s="2" t="s">
        <v>101</v>
      </c>
      <c r="K1473" s="20">
        <v>45031</v>
      </c>
      <c r="L1473" s="20">
        <v>45036</v>
      </c>
      <c r="M1473" s="20">
        <v>45036</v>
      </c>
      <c r="N1473" s="2" t="s">
        <v>213</v>
      </c>
      <c r="O1473" s="2" t="s">
        <v>46</v>
      </c>
      <c r="P1473" s="2" t="s">
        <v>47</v>
      </c>
      <c r="Q1473" s="2">
        <f t="shared" si="22"/>
        <v>1</v>
      </c>
    </row>
    <row r="1474" spans="1:17" x14ac:dyDescent="0.25">
      <c r="A1474" s="2" t="s">
        <v>4050</v>
      </c>
      <c r="B1474" s="2" t="s">
        <v>4051</v>
      </c>
      <c r="C1474" s="2" t="s">
        <v>19</v>
      </c>
      <c r="D1474" s="2" t="s">
        <v>38</v>
      </c>
      <c r="E1474" s="2" t="s">
        <v>205</v>
      </c>
      <c r="F1474" s="2">
        <v>692.94</v>
      </c>
      <c r="G1474" s="2" t="s">
        <v>206</v>
      </c>
      <c r="H1474" s="2">
        <v>80</v>
      </c>
      <c r="I1474" s="2">
        <v>554.35200000000009</v>
      </c>
      <c r="J1474" s="2" t="s">
        <v>101</v>
      </c>
      <c r="K1474" s="20">
        <v>45032</v>
      </c>
      <c r="L1474" s="20">
        <v>45034</v>
      </c>
      <c r="M1474" s="20">
        <v>45034</v>
      </c>
      <c r="N1474" s="2" t="s">
        <v>234</v>
      </c>
      <c r="O1474" s="2" t="s">
        <v>67</v>
      </c>
      <c r="P1474" s="2" t="s">
        <v>68</v>
      </c>
      <c r="Q1474" s="2">
        <f t="shared" ref="Q1474:Q1537" si="23">COUNTIF($A$2:$A$1778,A1474)</f>
        <v>1</v>
      </c>
    </row>
    <row r="1475" spans="1:17" x14ac:dyDescent="0.25">
      <c r="A1475" s="2" t="s">
        <v>4053</v>
      </c>
      <c r="B1475" s="2" t="s">
        <v>4054</v>
      </c>
      <c r="C1475" s="2" t="s">
        <v>30</v>
      </c>
      <c r="D1475" s="2" t="s">
        <v>115</v>
      </c>
      <c r="E1475" s="2" t="s">
        <v>205</v>
      </c>
      <c r="F1475" s="2">
        <v>38.088000000000001</v>
      </c>
      <c r="G1475" s="2" t="s">
        <v>206</v>
      </c>
      <c r="H1475" s="2">
        <v>80</v>
      </c>
      <c r="I1475" s="2">
        <v>30.470400000000001</v>
      </c>
      <c r="J1475" s="2" t="s">
        <v>101</v>
      </c>
      <c r="K1475" s="20">
        <v>45039</v>
      </c>
      <c r="L1475" s="20">
        <v>45044</v>
      </c>
      <c r="M1475" s="20">
        <v>45044</v>
      </c>
      <c r="N1475" s="2" t="s">
        <v>238</v>
      </c>
      <c r="O1475" s="2" t="s">
        <v>82</v>
      </c>
      <c r="P1475" s="2" t="s">
        <v>47</v>
      </c>
      <c r="Q1475" s="2">
        <f t="shared" si="23"/>
        <v>1</v>
      </c>
    </row>
    <row r="1476" spans="1:17" x14ac:dyDescent="0.25">
      <c r="A1476" s="2" t="s">
        <v>4055</v>
      </c>
      <c r="B1476" s="2" t="s">
        <v>4056</v>
      </c>
      <c r="C1476" s="2" t="s">
        <v>19</v>
      </c>
      <c r="D1476" s="2" t="s">
        <v>58</v>
      </c>
      <c r="E1476" s="2" t="s">
        <v>205</v>
      </c>
      <c r="F1476" s="2">
        <v>37.463999999999999</v>
      </c>
      <c r="G1476" s="2" t="s">
        <v>206</v>
      </c>
      <c r="H1476" s="2">
        <v>80</v>
      </c>
      <c r="I1476" s="2">
        <v>29.9712</v>
      </c>
      <c r="J1476" s="2" t="s">
        <v>101</v>
      </c>
      <c r="K1476" s="20">
        <v>45041</v>
      </c>
      <c r="L1476" s="20">
        <v>45044</v>
      </c>
      <c r="M1476" s="20">
        <v>45044</v>
      </c>
      <c r="N1476" s="2" t="s">
        <v>220</v>
      </c>
      <c r="O1476" s="2" t="s">
        <v>67</v>
      </c>
      <c r="P1476" s="2" t="s">
        <v>68</v>
      </c>
      <c r="Q1476" s="2">
        <f t="shared" si="23"/>
        <v>1</v>
      </c>
    </row>
    <row r="1477" spans="1:17" x14ac:dyDescent="0.25">
      <c r="A1477" s="2" t="s">
        <v>4057</v>
      </c>
      <c r="B1477" s="2" t="s">
        <v>4058</v>
      </c>
      <c r="C1477" s="2" t="s">
        <v>19</v>
      </c>
      <c r="D1477" s="2" t="s">
        <v>150</v>
      </c>
      <c r="E1477" s="2" t="s">
        <v>21</v>
      </c>
      <c r="F1477" s="2">
        <v>377.346</v>
      </c>
      <c r="G1477" s="2" t="s">
        <v>22</v>
      </c>
      <c r="H1477" s="2">
        <v>0</v>
      </c>
      <c r="I1477" s="2">
        <v>0</v>
      </c>
      <c r="J1477" s="2" t="s">
        <v>101</v>
      </c>
      <c r="K1477" s="20">
        <v>45048</v>
      </c>
      <c r="L1477" s="20">
        <v>45051</v>
      </c>
      <c r="M1477" s="20">
        <v>45051</v>
      </c>
      <c r="N1477" s="2" t="s">
        <v>24</v>
      </c>
      <c r="O1477" s="2" t="s">
        <v>25</v>
      </c>
      <c r="P1477" s="2" t="s">
        <v>26</v>
      </c>
      <c r="Q1477" s="2">
        <f t="shared" si="23"/>
        <v>1</v>
      </c>
    </row>
    <row r="1478" spans="1:17" x14ac:dyDescent="0.25">
      <c r="A1478" s="2" t="s">
        <v>4059</v>
      </c>
      <c r="B1478" s="2" t="s">
        <v>4060</v>
      </c>
      <c r="C1478" s="2" t="s">
        <v>19</v>
      </c>
      <c r="D1478" s="2" t="s">
        <v>31</v>
      </c>
      <c r="E1478" s="2" t="s">
        <v>205</v>
      </c>
      <c r="F1478" s="2">
        <v>5.84</v>
      </c>
      <c r="G1478" s="2" t="s">
        <v>206</v>
      </c>
      <c r="H1478" s="2">
        <v>80</v>
      </c>
      <c r="I1478" s="2">
        <v>4.6719999999999997</v>
      </c>
      <c r="J1478" s="2" t="s">
        <v>101</v>
      </c>
      <c r="K1478" s="20">
        <v>45049</v>
      </c>
      <c r="L1478" s="20">
        <v>45053</v>
      </c>
      <c r="M1478" s="20">
        <v>45053</v>
      </c>
      <c r="N1478" s="2" t="s">
        <v>213</v>
      </c>
      <c r="O1478" s="2" t="s">
        <v>146</v>
      </c>
      <c r="P1478" s="2" t="s">
        <v>73</v>
      </c>
      <c r="Q1478" s="2">
        <f t="shared" si="23"/>
        <v>1</v>
      </c>
    </row>
    <row r="1479" spans="1:17" x14ac:dyDescent="0.25">
      <c r="A1479" s="2" t="s">
        <v>4061</v>
      </c>
      <c r="B1479" s="2" t="s">
        <v>4062</v>
      </c>
      <c r="C1479" s="2" t="s">
        <v>19</v>
      </c>
      <c r="D1479" s="2" t="s">
        <v>370</v>
      </c>
      <c r="E1479" s="2" t="s">
        <v>212</v>
      </c>
      <c r="F1479" s="2">
        <v>265.17</v>
      </c>
      <c r="G1479" s="2" t="s">
        <v>206</v>
      </c>
      <c r="H1479" s="2">
        <v>100</v>
      </c>
      <c r="I1479" s="2">
        <v>265.17</v>
      </c>
      <c r="J1479" s="2" t="s">
        <v>101</v>
      </c>
      <c r="K1479" s="20">
        <v>45052</v>
      </c>
      <c r="L1479" s="20">
        <v>45054</v>
      </c>
      <c r="M1479" s="20">
        <v>45054</v>
      </c>
      <c r="N1479" s="2" t="s">
        <v>213</v>
      </c>
      <c r="O1479" s="2" t="s">
        <v>33</v>
      </c>
      <c r="P1479" s="2" t="s">
        <v>34</v>
      </c>
      <c r="Q1479" s="2">
        <f t="shared" si="23"/>
        <v>1</v>
      </c>
    </row>
    <row r="1480" spans="1:17" x14ac:dyDescent="0.25">
      <c r="A1480" s="2" t="s">
        <v>4064</v>
      </c>
      <c r="B1480" s="2" t="s">
        <v>4065</v>
      </c>
      <c r="C1480" s="2" t="s">
        <v>19</v>
      </c>
      <c r="D1480" s="2" t="s">
        <v>211</v>
      </c>
      <c r="E1480" s="2" t="s">
        <v>212</v>
      </c>
      <c r="F1480" s="2">
        <v>242.94</v>
      </c>
      <c r="G1480" s="2" t="s">
        <v>206</v>
      </c>
      <c r="H1480" s="2">
        <v>100</v>
      </c>
      <c r="I1480" s="2">
        <v>242.94</v>
      </c>
      <c r="J1480" s="2" t="s">
        <v>101</v>
      </c>
      <c r="K1480" s="20">
        <v>45052</v>
      </c>
      <c r="L1480" s="20">
        <v>45054</v>
      </c>
      <c r="M1480" s="20">
        <v>45054</v>
      </c>
      <c r="N1480" s="2" t="s">
        <v>234</v>
      </c>
      <c r="O1480" s="2" t="s">
        <v>72</v>
      </c>
      <c r="P1480" s="2" t="s">
        <v>73</v>
      </c>
      <c r="Q1480" s="2">
        <f t="shared" si="23"/>
        <v>1</v>
      </c>
    </row>
    <row r="1481" spans="1:17" x14ac:dyDescent="0.25">
      <c r="A1481" s="2" t="s">
        <v>4066</v>
      </c>
      <c r="B1481" s="2" t="s">
        <v>4067</v>
      </c>
      <c r="C1481" s="2" t="s">
        <v>19</v>
      </c>
      <c r="D1481" s="2" t="s">
        <v>154</v>
      </c>
      <c r="E1481" s="2" t="s">
        <v>212</v>
      </c>
      <c r="F1481" s="2">
        <v>45.96</v>
      </c>
      <c r="G1481" s="2" t="s">
        <v>206</v>
      </c>
      <c r="H1481" s="2">
        <v>100</v>
      </c>
      <c r="I1481" s="2">
        <v>45.96</v>
      </c>
      <c r="J1481" s="2" t="s">
        <v>101</v>
      </c>
      <c r="K1481" s="20">
        <v>45053</v>
      </c>
      <c r="L1481" s="20">
        <v>45057</v>
      </c>
      <c r="M1481" s="20">
        <v>45057</v>
      </c>
      <c r="N1481" s="2" t="s">
        <v>248</v>
      </c>
      <c r="O1481" s="2" t="s">
        <v>54</v>
      </c>
      <c r="P1481" s="2" t="s">
        <v>26</v>
      </c>
      <c r="Q1481" s="2">
        <f t="shared" si="23"/>
        <v>1</v>
      </c>
    </row>
    <row r="1482" spans="1:17" x14ac:dyDescent="0.25">
      <c r="A1482" s="2" t="s">
        <v>4068</v>
      </c>
      <c r="B1482" s="2" t="s">
        <v>4069</v>
      </c>
      <c r="C1482" s="2" t="s">
        <v>19</v>
      </c>
      <c r="D1482" s="2" t="s">
        <v>370</v>
      </c>
      <c r="E1482" s="2" t="s">
        <v>205</v>
      </c>
      <c r="F1482" s="2">
        <v>593.56799999999998</v>
      </c>
      <c r="G1482" s="2" t="s">
        <v>206</v>
      </c>
      <c r="H1482" s="2">
        <v>80</v>
      </c>
      <c r="I1482" s="2">
        <v>474.8544</v>
      </c>
      <c r="J1482" s="2" t="s">
        <v>101</v>
      </c>
      <c r="K1482" s="20">
        <v>45055</v>
      </c>
      <c r="L1482" s="20">
        <v>45060</v>
      </c>
      <c r="M1482" s="20">
        <v>45060</v>
      </c>
      <c r="N1482" s="2" t="s">
        <v>248</v>
      </c>
      <c r="O1482" s="2" t="s">
        <v>72</v>
      </c>
      <c r="P1482" s="2" t="s">
        <v>73</v>
      </c>
      <c r="Q1482" s="2">
        <f t="shared" si="23"/>
        <v>1</v>
      </c>
    </row>
    <row r="1483" spans="1:17" x14ac:dyDescent="0.25">
      <c r="A1483" s="2" t="s">
        <v>4071</v>
      </c>
      <c r="B1483" s="2" t="s">
        <v>4072</v>
      </c>
      <c r="C1483" s="2" t="s">
        <v>19</v>
      </c>
      <c r="D1483" s="2" t="s">
        <v>77</v>
      </c>
      <c r="E1483" s="2" t="s">
        <v>205</v>
      </c>
      <c r="F1483" s="2">
        <v>863.12800000000004</v>
      </c>
      <c r="G1483" s="2" t="s">
        <v>206</v>
      </c>
      <c r="H1483" s="2">
        <v>80</v>
      </c>
      <c r="I1483" s="2">
        <v>690.50240000000008</v>
      </c>
      <c r="J1483" s="2" t="s">
        <v>101</v>
      </c>
      <c r="K1483" s="20">
        <v>45061</v>
      </c>
      <c r="L1483" s="20">
        <v>45061</v>
      </c>
      <c r="M1483" s="20">
        <v>45061</v>
      </c>
      <c r="N1483" s="2" t="s">
        <v>220</v>
      </c>
      <c r="O1483" s="2" t="s">
        <v>146</v>
      </c>
      <c r="P1483" s="2" t="s">
        <v>73</v>
      </c>
      <c r="Q1483" s="2">
        <f t="shared" si="23"/>
        <v>1</v>
      </c>
    </row>
    <row r="1484" spans="1:17" x14ac:dyDescent="0.25">
      <c r="A1484" s="2" t="s">
        <v>4073</v>
      </c>
      <c r="B1484" s="2" t="s">
        <v>4074</v>
      </c>
      <c r="C1484" s="2" t="s">
        <v>19</v>
      </c>
      <c r="D1484" s="2" t="s">
        <v>86</v>
      </c>
      <c r="E1484" s="2" t="s">
        <v>212</v>
      </c>
      <c r="F1484" s="2">
        <v>38.340000000000003</v>
      </c>
      <c r="G1484" s="2" t="s">
        <v>206</v>
      </c>
      <c r="H1484" s="2">
        <v>100</v>
      </c>
      <c r="I1484" s="2">
        <v>38.340000000000003</v>
      </c>
      <c r="J1484" s="2" t="s">
        <v>101</v>
      </c>
      <c r="K1484" s="20">
        <v>45066</v>
      </c>
      <c r="L1484" s="20">
        <v>45071</v>
      </c>
      <c r="M1484" s="20">
        <v>45071</v>
      </c>
      <c r="N1484" s="2" t="s">
        <v>234</v>
      </c>
      <c r="O1484" s="2" t="s">
        <v>97</v>
      </c>
      <c r="P1484" s="2" t="s">
        <v>68</v>
      </c>
      <c r="Q1484" s="2">
        <f t="shared" si="23"/>
        <v>1</v>
      </c>
    </row>
    <row r="1485" spans="1:17" x14ac:dyDescent="0.25">
      <c r="A1485" s="2" t="s">
        <v>4075</v>
      </c>
      <c r="B1485" s="2" t="s">
        <v>4076</v>
      </c>
      <c r="C1485" s="2" t="s">
        <v>30</v>
      </c>
      <c r="D1485" s="2" t="s">
        <v>230</v>
      </c>
      <c r="E1485" s="2" t="s">
        <v>205</v>
      </c>
      <c r="F1485" s="2">
        <v>185.376</v>
      </c>
      <c r="G1485" s="2" t="s">
        <v>206</v>
      </c>
      <c r="H1485" s="2">
        <v>80</v>
      </c>
      <c r="I1485" s="2">
        <v>148.30080000000001</v>
      </c>
      <c r="J1485" s="2" t="s">
        <v>101</v>
      </c>
      <c r="K1485" s="20">
        <v>45067</v>
      </c>
      <c r="L1485" s="20">
        <v>45071</v>
      </c>
      <c r="M1485" s="20">
        <v>45071</v>
      </c>
      <c r="N1485" s="2" t="s">
        <v>213</v>
      </c>
      <c r="O1485" s="2" t="s">
        <v>67</v>
      </c>
      <c r="P1485" s="2" t="s">
        <v>68</v>
      </c>
      <c r="Q1485" s="2">
        <f t="shared" si="23"/>
        <v>1</v>
      </c>
    </row>
    <row r="1486" spans="1:17" x14ac:dyDescent="0.25">
      <c r="A1486" s="2" t="s">
        <v>4077</v>
      </c>
      <c r="B1486" s="2" t="s">
        <v>4078</v>
      </c>
      <c r="C1486" s="2" t="s">
        <v>19</v>
      </c>
      <c r="D1486" s="2" t="s">
        <v>62</v>
      </c>
      <c r="E1486" s="2" t="s">
        <v>212</v>
      </c>
      <c r="F1486" s="2">
        <v>58.9239999999999</v>
      </c>
      <c r="G1486" s="2" t="s">
        <v>206</v>
      </c>
      <c r="H1486" s="2">
        <v>100</v>
      </c>
      <c r="I1486" s="2">
        <v>58.9239999999999</v>
      </c>
      <c r="J1486" s="2" t="s">
        <v>101</v>
      </c>
      <c r="K1486" s="20">
        <v>45067</v>
      </c>
      <c r="L1486" s="20">
        <v>45070</v>
      </c>
      <c r="M1486" s="20">
        <v>45070</v>
      </c>
      <c r="N1486" s="2" t="s">
        <v>207</v>
      </c>
      <c r="O1486" s="2" t="s">
        <v>72</v>
      </c>
      <c r="P1486" s="2" t="s">
        <v>73</v>
      </c>
      <c r="Q1486" s="2">
        <f t="shared" si="23"/>
        <v>1</v>
      </c>
    </row>
    <row r="1487" spans="1:17" x14ac:dyDescent="0.25">
      <c r="A1487" s="2" t="s">
        <v>4080</v>
      </c>
      <c r="B1487" s="2" t="s">
        <v>4081</v>
      </c>
      <c r="C1487" s="2" t="s">
        <v>19</v>
      </c>
      <c r="D1487" s="2" t="s">
        <v>324</v>
      </c>
      <c r="E1487" s="2" t="s">
        <v>212</v>
      </c>
      <c r="F1487" s="2">
        <v>134.28800000000001</v>
      </c>
      <c r="G1487" s="2" t="s">
        <v>206</v>
      </c>
      <c r="H1487" s="2">
        <v>100</v>
      </c>
      <c r="I1487" s="2">
        <v>134.28800000000001</v>
      </c>
      <c r="J1487" s="2" t="s">
        <v>101</v>
      </c>
      <c r="K1487" s="20">
        <v>45068</v>
      </c>
      <c r="L1487" s="20">
        <v>45075</v>
      </c>
      <c r="M1487" s="20">
        <v>45075</v>
      </c>
      <c r="N1487" s="2" t="s">
        <v>234</v>
      </c>
      <c r="O1487" s="2" t="s">
        <v>25</v>
      </c>
      <c r="P1487" s="2" t="s">
        <v>26</v>
      </c>
      <c r="Q1487" s="2">
        <f t="shared" si="23"/>
        <v>1</v>
      </c>
    </row>
    <row r="1488" spans="1:17" x14ac:dyDescent="0.25">
      <c r="A1488" s="2" t="s">
        <v>4082</v>
      </c>
      <c r="B1488" s="2" t="s">
        <v>4083</v>
      </c>
      <c r="C1488" s="2" t="s">
        <v>19</v>
      </c>
      <c r="D1488" s="2" t="s">
        <v>38</v>
      </c>
      <c r="E1488" s="2" t="s">
        <v>205</v>
      </c>
      <c r="F1488" s="2">
        <v>1.78799999999999</v>
      </c>
      <c r="G1488" s="2" t="s">
        <v>206</v>
      </c>
      <c r="H1488" s="2">
        <v>80</v>
      </c>
      <c r="I1488" s="2">
        <v>1.4303999999999921</v>
      </c>
      <c r="J1488" s="2" t="s">
        <v>101</v>
      </c>
      <c r="K1488" s="20">
        <v>45070</v>
      </c>
      <c r="L1488" s="20">
        <v>45074</v>
      </c>
      <c r="M1488" s="20">
        <v>45074</v>
      </c>
      <c r="N1488" s="2" t="s">
        <v>220</v>
      </c>
      <c r="O1488" s="2" t="s">
        <v>33</v>
      </c>
      <c r="P1488" s="2" t="s">
        <v>34</v>
      </c>
      <c r="Q1488" s="2">
        <f t="shared" si="23"/>
        <v>1</v>
      </c>
    </row>
    <row r="1489" spans="1:17" x14ac:dyDescent="0.25">
      <c r="A1489" s="2" t="s">
        <v>4085</v>
      </c>
      <c r="B1489" s="2" t="s">
        <v>4086</v>
      </c>
      <c r="C1489" s="2" t="s">
        <v>19</v>
      </c>
      <c r="D1489" s="2" t="s">
        <v>96</v>
      </c>
      <c r="E1489" s="2" t="s">
        <v>212</v>
      </c>
      <c r="F1489" s="2">
        <v>209.97</v>
      </c>
      <c r="G1489" s="2" t="s">
        <v>206</v>
      </c>
      <c r="H1489" s="2">
        <v>100</v>
      </c>
      <c r="I1489" s="2">
        <v>209.97</v>
      </c>
      <c r="J1489" s="2" t="s">
        <v>101</v>
      </c>
      <c r="K1489" s="20">
        <v>45074</v>
      </c>
      <c r="L1489" s="20">
        <v>45080</v>
      </c>
      <c r="M1489" s="20">
        <v>45080</v>
      </c>
      <c r="N1489" s="2" t="s">
        <v>234</v>
      </c>
      <c r="O1489" s="2" t="s">
        <v>82</v>
      </c>
      <c r="P1489" s="2" t="s">
        <v>47</v>
      </c>
      <c r="Q1489" s="2">
        <f t="shared" si="23"/>
        <v>1</v>
      </c>
    </row>
    <row r="1490" spans="1:17" x14ac:dyDescent="0.25">
      <c r="A1490" s="2" t="s">
        <v>4087</v>
      </c>
      <c r="B1490" s="2" t="s">
        <v>4088</v>
      </c>
      <c r="C1490" s="2" t="s">
        <v>19</v>
      </c>
      <c r="D1490" s="2" t="s">
        <v>119</v>
      </c>
      <c r="E1490" s="2" t="s">
        <v>205</v>
      </c>
      <c r="F1490" s="2">
        <v>479.97</v>
      </c>
      <c r="G1490" s="2" t="s">
        <v>206</v>
      </c>
      <c r="H1490" s="2">
        <v>80</v>
      </c>
      <c r="I1490" s="2">
        <v>383.97600000000006</v>
      </c>
      <c r="J1490" s="2" t="s">
        <v>101</v>
      </c>
      <c r="K1490" s="20">
        <v>45075</v>
      </c>
      <c r="L1490" s="20">
        <v>45080</v>
      </c>
      <c r="M1490" s="20">
        <v>45080</v>
      </c>
      <c r="N1490" s="2" t="s">
        <v>238</v>
      </c>
      <c r="O1490" s="2" t="s">
        <v>46</v>
      </c>
      <c r="P1490" s="2" t="s">
        <v>47</v>
      </c>
      <c r="Q1490" s="2">
        <f t="shared" si="23"/>
        <v>1</v>
      </c>
    </row>
    <row r="1491" spans="1:17" x14ac:dyDescent="0.25">
      <c r="A1491" s="2" t="s">
        <v>4089</v>
      </c>
      <c r="B1491" s="2" t="s">
        <v>4090</v>
      </c>
      <c r="C1491" s="2" t="s">
        <v>19</v>
      </c>
      <c r="D1491" s="2" t="s">
        <v>77</v>
      </c>
      <c r="E1491" s="2" t="s">
        <v>212</v>
      </c>
      <c r="F1491" s="2">
        <v>26.4</v>
      </c>
      <c r="G1491" s="2" t="s">
        <v>206</v>
      </c>
      <c r="H1491" s="2">
        <v>100</v>
      </c>
      <c r="I1491" s="2">
        <v>26.4</v>
      </c>
      <c r="J1491" s="2" t="s">
        <v>101</v>
      </c>
      <c r="K1491" s="20">
        <v>45077</v>
      </c>
      <c r="L1491" s="20">
        <v>45078</v>
      </c>
      <c r="M1491" s="20">
        <v>45078</v>
      </c>
      <c r="N1491" s="2" t="s">
        <v>234</v>
      </c>
      <c r="O1491" s="2" t="s">
        <v>25</v>
      </c>
      <c r="P1491" s="2" t="s">
        <v>26</v>
      </c>
      <c r="Q1491" s="2">
        <f t="shared" si="23"/>
        <v>1</v>
      </c>
    </row>
    <row r="1492" spans="1:17" x14ac:dyDescent="0.25">
      <c r="A1492" s="2" t="s">
        <v>4091</v>
      </c>
      <c r="B1492" s="2" t="s">
        <v>4092</v>
      </c>
      <c r="C1492" s="2" t="s">
        <v>30</v>
      </c>
      <c r="D1492" s="2" t="s">
        <v>38</v>
      </c>
      <c r="E1492" s="2" t="s">
        <v>205</v>
      </c>
      <c r="F1492" s="2">
        <v>23.968</v>
      </c>
      <c r="G1492" s="2" t="s">
        <v>206</v>
      </c>
      <c r="H1492" s="2">
        <v>80</v>
      </c>
      <c r="I1492" s="2">
        <v>19.174400000000002</v>
      </c>
      <c r="J1492" s="2" t="s">
        <v>101</v>
      </c>
      <c r="K1492" s="20">
        <v>45077</v>
      </c>
      <c r="L1492" s="20">
        <v>45081</v>
      </c>
      <c r="M1492" s="20">
        <v>45081</v>
      </c>
      <c r="N1492" s="2" t="s">
        <v>248</v>
      </c>
      <c r="O1492" s="2" t="s">
        <v>46</v>
      </c>
      <c r="P1492" s="2" t="s">
        <v>47</v>
      </c>
      <c r="Q1492" s="2">
        <f t="shared" si="23"/>
        <v>1</v>
      </c>
    </row>
    <row r="1493" spans="1:17" x14ac:dyDescent="0.25">
      <c r="A1493" s="2" t="s">
        <v>4094</v>
      </c>
      <c r="B1493" s="2" t="s">
        <v>4095</v>
      </c>
      <c r="C1493" s="2" t="s">
        <v>19</v>
      </c>
      <c r="D1493" s="2" t="s">
        <v>150</v>
      </c>
      <c r="E1493" s="2" t="s">
        <v>212</v>
      </c>
      <c r="F1493" s="2">
        <v>23.67</v>
      </c>
      <c r="G1493" s="2" t="s">
        <v>206</v>
      </c>
      <c r="H1493" s="2">
        <v>100</v>
      </c>
      <c r="I1493" s="2">
        <v>23.67</v>
      </c>
      <c r="J1493" s="2" t="s">
        <v>101</v>
      </c>
      <c r="K1493" s="20">
        <v>45077</v>
      </c>
      <c r="L1493" s="20">
        <v>45082</v>
      </c>
      <c r="M1493" s="20">
        <v>45082</v>
      </c>
      <c r="N1493" s="2" t="s">
        <v>220</v>
      </c>
      <c r="O1493" s="2" t="s">
        <v>67</v>
      </c>
      <c r="P1493" s="2" t="s">
        <v>68</v>
      </c>
      <c r="Q1493" s="2">
        <f t="shared" si="23"/>
        <v>1</v>
      </c>
    </row>
    <row r="1494" spans="1:17" x14ac:dyDescent="0.25">
      <c r="A1494" s="2" t="s">
        <v>4096</v>
      </c>
      <c r="B1494" s="2" t="s">
        <v>4097</v>
      </c>
      <c r="C1494" s="2" t="s">
        <v>30</v>
      </c>
      <c r="D1494" s="2" t="s">
        <v>186</v>
      </c>
      <c r="E1494" s="2" t="s">
        <v>205</v>
      </c>
      <c r="F1494" s="2">
        <v>191.82</v>
      </c>
      <c r="G1494" s="2" t="s">
        <v>206</v>
      </c>
      <c r="H1494" s="2">
        <v>80</v>
      </c>
      <c r="I1494" s="2">
        <v>153.45599999999999</v>
      </c>
      <c r="J1494" s="2" t="s">
        <v>101</v>
      </c>
      <c r="K1494" s="20">
        <v>45080</v>
      </c>
      <c r="L1494" s="20">
        <v>45083</v>
      </c>
      <c r="M1494" s="20">
        <v>45083</v>
      </c>
      <c r="N1494" s="2" t="s">
        <v>238</v>
      </c>
      <c r="O1494" s="2" t="s">
        <v>46</v>
      </c>
      <c r="P1494" s="2" t="s">
        <v>47</v>
      </c>
      <c r="Q1494" s="2">
        <f t="shared" si="23"/>
        <v>1</v>
      </c>
    </row>
    <row r="1495" spans="1:17" x14ac:dyDescent="0.25">
      <c r="A1495" s="2" t="s">
        <v>4098</v>
      </c>
      <c r="B1495" s="2" t="s">
        <v>4099</v>
      </c>
      <c r="C1495" s="2" t="s">
        <v>19</v>
      </c>
      <c r="D1495" s="2" t="s">
        <v>345</v>
      </c>
      <c r="E1495" s="2" t="s">
        <v>205</v>
      </c>
      <c r="F1495" s="2">
        <v>54.5</v>
      </c>
      <c r="G1495" s="2" t="s">
        <v>206</v>
      </c>
      <c r="H1495" s="2">
        <v>80</v>
      </c>
      <c r="I1495" s="2">
        <v>43.6</v>
      </c>
      <c r="J1495" s="2" t="s">
        <v>101</v>
      </c>
      <c r="K1495" s="20">
        <v>45087</v>
      </c>
      <c r="L1495" s="20">
        <v>45092</v>
      </c>
      <c r="M1495" s="20">
        <v>45092</v>
      </c>
      <c r="N1495" s="2" t="s">
        <v>238</v>
      </c>
      <c r="O1495" s="2" t="s">
        <v>25</v>
      </c>
      <c r="P1495" s="2" t="s">
        <v>26</v>
      </c>
      <c r="Q1495" s="2">
        <f t="shared" si="23"/>
        <v>1</v>
      </c>
    </row>
    <row r="1496" spans="1:17" x14ac:dyDescent="0.25">
      <c r="A1496" s="2" t="s">
        <v>4100</v>
      </c>
      <c r="B1496" s="2" t="s">
        <v>4101</v>
      </c>
      <c r="C1496" s="2" t="s">
        <v>30</v>
      </c>
      <c r="D1496" s="2" t="s">
        <v>211</v>
      </c>
      <c r="E1496" s="2" t="s">
        <v>212</v>
      </c>
      <c r="F1496" s="2">
        <v>35.167999999999999</v>
      </c>
      <c r="G1496" s="2" t="s">
        <v>206</v>
      </c>
      <c r="H1496" s="2">
        <v>100</v>
      </c>
      <c r="I1496" s="2">
        <v>35.167999999999999</v>
      </c>
      <c r="J1496" s="2" t="s">
        <v>101</v>
      </c>
      <c r="K1496" s="20">
        <v>45089</v>
      </c>
      <c r="L1496" s="20">
        <v>45094</v>
      </c>
      <c r="M1496" s="20">
        <v>45094</v>
      </c>
      <c r="N1496" s="2" t="s">
        <v>207</v>
      </c>
      <c r="O1496" s="2" t="s">
        <v>25</v>
      </c>
      <c r="P1496" s="2" t="s">
        <v>26</v>
      </c>
      <c r="Q1496" s="2">
        <f t="shared" si="23"/>
        <v>1</v>
      </c>
    </row>
    <row r="1497" spans="1:17" x14ac:dyDescent="0.25">
      <c r="A1497" s="2" t="s">
        <v>4102</v>
      </c>
      <c r="B1497" s="2" t="s">
        <v>4103</v>
      </c>
      <c r="C1497" s="2" t="s">
        <v>19</v>
      </c>
      <c r="D1497" s="2" t="s">
        <v>119</v>
      </c>
      <c r="E1497" s="2" t="s">
        <v>21</v>
      </c>
      <c r="F1497" s="2">
        <v>224.9</v>
      </c>
      <c r="G1497" s="2" t="s">
        <v>22</v>
      </c>
      <c r="H1497" s="2">
        <v>0</v>
      </c>
      <c r="I1497" s="2">
        <v>0</v>
      </c>
      <c r="J1497" s="2" t="s">
        <v>101</v>
      </c>
      <c r="K1497" s="20">
        <v>45090</v>
      </c>
      <c r="L1497" s="20">
        <v>45093</v>
      </c>
      <c r="M1497" s="20">
        <v>45093</v>
      </c>
      <c r="N1497" s="2" t="s">
        <v>24</v>
      </c>
      <c r="O1497" s="2" t="s">
        <v>146</v>
      </c>
      <c r="P1497" s="2" t="s">
        <v>73</v>
      </c>
      <c r="Q1497" s="2">
        <f t="shared" si="23"/>
        <v>1</v>
      </c>
    </row>
    <row r="1498" spans="1:17" x14ac:dyDescent="0.25">
      <c r="A1498" s="2" t="s">
        <v>4104</v>
      </c>
      <c r="B1498" s="2" t="s">
        <v>4105</v>
      </c>
      <c r="C1498" s="2" t="s">
        <v>30</v>
      </c>
      <c r="D1498" s="2" t="s">
        <v>211</v>
      </c>
      <c r="E1498" s="2" t="s">
        <v>205</v>
      </c>
      <c r="F1498" s="2">
        <v>1.9079999999999999</v>
      </c>
      <c r="G1498" s="2" t="s">
        <v>206</v>
      </c>
      <c r="H1498" s="2">
        <v>80</v>
      </c>
      <c r="I1498" s="2">
        <v>1.5264</v>
      </c>
      <c r="J1498" s="2" t="s">
        <v>101</v>
      </c>
      <c r="K1498" s="20">
        <v>45090</v>
      </c>
      <c r="L1498" s="20">
        <v>45094</v>
      </c>
      <c r="M1498" s="20">
        <v>45094</v>
      </c>
      <c r="N1498" s="2" t="s">
        <v>248</v>
      </c>
      <c r="O1498" s="2" t="s">
        <v>146</v>
      </c>
      <c r="P1498" s="2" t="s">
        <v>73</v>
      </c>
      <c r="Q1498" s="2">
        <f t="shared" si="23"/>
        <v>1</v>
      </c>
    </row>
    <row r="1499" spans="1:17" x14ac:dyDescent="0.25">
      <c r="A1499" s="2" t="s">
        <v>4107</v>
      </c>
      <c r="B1499" s="2" t="s">
        <v>4108</v>
      </c>
      <c r="C1499" s="2" t="s">
        <v>30</v>
      </c>
      <c r="D1499" s="2" t="s">
        <v>96</v>
      </c>
      <c r="E1499" s="2" t="s">
        <v>212</v>
      </c>
      <c r="F1499" s="2">
        <v>7.61</v>
      </c>
      <c r="G1499" s="2" t="s">
        <v>206</v>
      </c>
      <c r="H1499" s="2">
        <v>100</v>
      </c>
      <c r="I1499" s="2">
        <v>7.61</v>
      </c>
      <c r="J1499" s="2" t="s">
        <v>101</v>
      </c>
      <c r="K1499" s="20">
        <v>45091</v>
      </c>
      <c r="L1499" s="20">
        <v>45094</v>
      </c>
      <c r="M1499" s="20">
        <v>45094</v>
      </c>
      <c r="N1499" s="2" t="s">
        <v>234</v>
      </c>
      <c r="O1499" s="2" t="s">
        <v>67</v>
      </c>
      <c r="P1499" s="2" t="s">
        <v>68</v>
      </c>
      <c r="Q1499" s="2">
        <f t="shared" si="23"/>
        <v>1</v>
      </c>
    </row>
    <row r="1500" spans="1:17" x14ac:dyDescent="0.25">
      <c r="A1500" s="2" t="s">
        <v>4110</v>
      </c>
      <c r="B1500" s="2" t="s">
        <v>4111</v>
      </c>
      <c r="C1500" s="2" t="s">
        <v>19</v>
      </c>
      <c r="D1500" s="2" t="s">
        <v>211</v>
      </c>
      <c r="E1500" s="2" t="s">
        <v>212</v>
      </c>
      <c r="F1500" s="2">
        <v>67.900000000000006</v>
      </c>
      <c r="G1500" s="2" t="s">
        <v>206</v>
      </c>
      <c r="H1500" s="2">
        <v>100</v>
      </c>
      <c r="I1500" s="2">
        <v>67.900000000000006</v>
      </c>
      <c r="J1500" s="2" t="s">
        <v>101</v>
      </c>
      <c r="K1500" s="20">
        <v>45091</v>
      </c>
      <c r="L1500" s="20">
        <v>45095</v>
      </c>
      <c r="M1500" s="20">
        <v>45095</v>
      </c>
      <c r="N1500" s="2" t="s">
        <v>207</v>
      </c>
      <c r="O1500" s="2" t="s">
        <v>67</v>
      </c>
      <c r="P1500" s="2" t="s">
        <v>68</v>
      </c>
      <c r="Q1500" s="2">
        <f t="shared" si="23"/>
        <v>1</v>
      </c>
    </row>
    <row r="1501" spans="1:17" x14ac:dyDescent="0.25">
      <c r="A1501" s="2" t="s">
        <v>4113</v>
      </c>
      <c r="B1501" s="2" t="s">
        <v>4114</v>
      </c>
      <c r="C1501" s="2" t="s">
        <v>19</v>
      </c>
      <c r="D1501" s="2" t="s">
        <v>44</v>
      </c>
      <c r="E1501" s="2" t="s">
        <v>212</v>
      </c>
      <c r="F1501" s="2">
        <v>68.52</v>
      </c>
      <c r="G1501" s="2" t="s">
        <v>206</v>
      </c>
      <c r="H1501" s="2">
        <v>100</v>
      </c>
      <c r="I1501" s="2">
        <v>68.52</v>
      </c>
      <c r="J1501" s="2" t="s">
        <v>101</v>
      </c>
      <c r="K1501" s="20">
        <v>45092</v>
      </c>
      <c r="L1501" s="20">
        <v>45092</v>
      </c>
      <c r="M1501" s="20">
        <v>45092</v>
      </c>
      <c r="N1501" s="2" t="s">
        <v>207</v>
      </c>
      <c r="O1501" s="2" t="s">
        <v>97</v>
      </c>
      <c r="P1501" s="2" t="s">
        <v>68</v>
      </c>
      <c r="Q1501" s="2">
        <f t="shared" si="23"/>
        <v>1</v>
      </c>
    </row>
    <row r="1502" spans="1:17" x14ac:dyDescent="0.25">
      <c r="A1502" s="2" t="s">
        <v>4115</v>
      </c>
      <c r="B1502" s="2" t="s">
        <v>4116</v>
      </c>
      <c r="C1502" s="2" t="s">
        <v>19</v>
      </c>
      <c r="D1502" s="2" t="s">
        <v>164</v>
      </c>
      <c r="E1502" s="2" t="s">
        <v>21</v>
      </c>
      <c r="F1502" s="2">
        <v>58.4</v>
      </c>
      <c r="G1502" s="2" t="s">
        <v>22</v>
      </c>
      <c r="H1502" s="2">
        <v>0</v>
      </c>
      <c r="I1502" s="2">
        <v>0</v>
      </c>
      <c r="J1502" s="2" t="s">
        <v>101</v>
      </c>
      <c r="K1502" s="20">
        <v>45092</v>
      </c>
      <c r="L1502" s="20">
        <v>45095</v>
      </c>
      <c r="M1502" s="20">
        <v>45095</v>
      </c>
      <c r="N1502" s="2" t="s">
        <v>45</v>
      </c>
      <c r="O1502" s="2" t="s">
        <v>97</v>
      </c>
      <c r="P1502" s="2" t="s">
        <v>68</v>
      </c>
      <c r="Q1502" s="2">
        <f t="shared" si="23"/>
        <v>1</v>
      </c>
    </row>
    <row r="1503" spans="1:17" x14ac:dyDescent="0.25">
      <c r="A1503" s="2" t="s">
        <v>4117</v>
      </c>
      <c r="B1503" s="2" t="s">
        <v>4118</v>
      </c>
      <c r="C1503" s="2" t="s">
        <v>30</v>
      </c>
      <c r="D1503" s="2" t="s">
        <v>86</v>
      </c>
      <c r="E1503" s="2" t="s">
        <v>212</v>
      </c>
      <c r="F1503" s="2">
        <v>20.416</v>
      </c>
      <c r="G1503" s="2" t="s">
        <v>206</v>
      </c>
      <c r="H1503" s="2">
        <v>100</v>
      </c>
      <c r="I1503" s="2">
        <v>20.416</v>
      </c>
      <c r="J1503" s="2" t="s">
        <v>101</v>
      </c>
      <c r="K1503" s="20">
        <v>45094</v>
      </c>
      <c r="L1503" s="20">
        <v>45100</v>
      </c>
      <c r="M1503" s="20">
        <v>45100</v>
      </c>
      <c r="N1503" s="2" t="s">
        <v>207</v>
      </c>
      <c r="O1503" s="2" t="s">
        <v>25</v>
      </c>
      <c r="P1503" s="2" t="s">
        <v>26</v>
      </c>
      <c r="Q1503" s="2">
        <f t="shared" si="23"/>
        <v>1</v>
      </c>
    </row>
    <row r="1504" spans="1:17" x14ac:dyDescent="0.25">
      <c r="A1504" s="2" t="s">
        <v>4120</v>
      </c>
      <c r="B1504" s="2" t="s">
        <v>4121</v>
      </c>
      <c r="C1504" s="2" t="s">
        <v>19</v>
      </c>
      <c r="D1504" s="2" t="s">
        <v>44</v>
      </c>
      <c r="E1504" s="2" t="s">
        <v>205</v>
      </c>
      <c r="F1504" s="2">
        <v>17.48</v>
      </c>
      <c r="G1504" s="2" t="s">
        <v>206</v>
      </c>
      <c r="H1504" s="2">
        <v>80</v>
      </c>
      <c r="I1504" s="2">
        <v>13.984000000000002</v>
      </c>
      <c r="J1504" s="2" t="s">
        <v>101</v>
      </c>
      <c r="K1504" s="20">
        <v>45094</v>
      </c>
      <c r="L1504" s="20">
        <v>45096</v>
      </c>
      <c r="M1504" s="20">
        <v>45096</v>
      </c>
      <c r="N1504" s="2" t="s">
        <v>234</v>
      </c>
      <c r="O1504" s="2" t="s">
        <v>146</v>
      </c>
      <c r="P1504" s="2" t="s">
        <v>73</v>
      </c>
      <c r="Q1504" s="2">
        <f t="shared" si="23"/>
        <v>1</v>
      </c>
    </row>
    <row r="1505" spans="1:17" x14ac:dyDescent="0.25">
      <c r="A1505" s="2" t="s">
        <v>4122</v>
      </c>
      <c r="B1505" s="2" t="s">
        <v>4123</v>
      </c>
      <c r="C1505" s="2" t="s">
        <v>19</v>
      </c>
      <c r="D1505" s="2" t="s">
        <v>105</v>
      </c>
      <c r="E1505" s="2" t="s">
        <v>205</v>
      </c>
      <c r="F1505" s="2">
        <v>232.4</v>
      </c>
      <c r="G1505" s="2" t="s">
        <v>206</v>
      </c>
      <c r="H1505" s="2">
        <v>80</v>
      </c>
      <c r="I1505" s="2">
        <v>185.92000000000002</v>
      </c>
      <c r="J1505" s="2" t="s">
        <v>101</v>
      </c>
      <c r="K1505" s="20">
        <v>45094</v>
      </c>
      <c r="L1505" s="20">
        <v>45097</v>
      </c>
      <c r="M1505" s="20">
        <v>45097</v>
      </c>
      <c r="N1505" s="2" t="s">
        <v>234</v>
      </c>
      <c r="O1505" s="2" t="s">
        <v>25</v>
      </c>
      <c r="P1505" s="2" t="s">
        <v>26</v>
      </c>
      <c r="Q1505" s="2">
        <f t="shared" si="23"/>
        <v>1</v>
      </c>
    </row>
    <row r="1506" spans="1:17" x14ac:dyDescent="0.25">
      <c r="A1506" s="2" t="s">
        <v>4124</v>
      </c>
      <c r="B1506" s="2" t="s">
        <v>4125</v>
      </c>
      <c r="C1506" s="2" t="s">
        <v>19</v>
      </c>
      <c r="D1506" s="2" t="s">
        <v>154</v>
      </c>
      <c r="E1506" s="2" t="s">
        <v>21</v>
      </c>
      <c r="F1506" s="2">
        <v>749.48800000000006</v>
      </c>
      <c r="G1506" s="2" t="s">
        <v>22</v>
      </c>
      <c r="H1506" s="2">
        <v>0</v>
      </c>
      <c r="I1506" s="2">
        <v>0</v>
      </c>
      <c r="J1506" s="2" t="s">
        <v>101</v>
      </c>
      <c r="K1506" s="20">
        <v>45095</v>
      </c>
      <c r="L1506" s="20">
        <v>45097</v>
      </c>
      <c r="M1506" s="20">
        <v>45097</v>
      </c>
      <c r="N1506" s="2" t="s">
        <v>32</v>
      </c>
      <c r="O1506" s="2" t="s">
        <v>146</v>
      </c>
      <c r="P1506" s="2" t="s">
        <v>73</v>
      </c>
      <c r="Q1506" s="2">
        <f t="shared" si="23"/>
        <v>1</v>
      </c>
    </row>
    <row r="1507" spans="1:17" x14ac:dyDescent="0.25">
      <c r="A1507" s="2" t="s">
        <v>4126</v>
      </c>
      <c r="B1507" s="2" t="s">
        <v>4127</v>
      </c>
      <c r="C1507" s="2" t="s">
        <v>19</v>
      </c>
      <c r="D1507" s="2" t="s">
        <v>126</v>
      </c>
      <c r="E1507" s="2" t="s">
        <v>212</v>
      </c>
      <c r="F1507" s="2">
        <v>271.98399999999998</v>
      </c>
      <c r="G1507" s="2" t="s">
        <v>206</v>
      </c>
      <c r="H1507" s="2">
        <v>100</v>
      </c>
      <c r="I1507" s="2">
        <v>271.98399999999998</v>
      </c>
      <c r="J1507" s="2" t="s">
        <v>101</v>
      </c>
      <c r="K1507" s="20">
        <v>45097</v>
      </c>
      <c r="L1507" s="20">
        <v>45098</v>
      </c>
      <c r="M1507" s="20">
        <v>45098</v>
      </c>
      <c r="N1507" s="2" t="s">
        <v>234</v>
      </c>
      <c r="O1507" s="2" t="s">
        <v>72</v>
      </c>
      <c r="P1507" s="2" t="s">
        <v>73</v>
      </c>
      <c r="Q1507" s="2">
        <f t="shared" si="23"/>
        <v>1</v>
      </c>
    </row>
    <row r="1508" spans="1:17" x14ac:dyDescent="0.25">
      <c r="A1508" s="2" t="s">
        <v>4129</v>
      </c>
      <c r="B1508" s="2" t="s">
        <v>4130</v>
      </c>
      <c r="C1508" s="2" t="s">
        <v>30</v>
      </c>
      <c r="D1508" s="2" t="s">
        <v>211</v>
      </c>
      <c r="E1508" s="2" t="s">
        <v>212</v>
      </c>
      <c r="F1508" s="2">
        <v>4.9119999999999999</v>
      </c>
      <c r="G1508" s="2" t="s">
        <v>206</v>
      </c>
      <c r="H1508" s="2">
        <v>100</v>
      </c>
      <c r="I1508" s="2">
        <v>4.9119999999999999</v>
      </c>
      <c r="J1508" s="2" t="s">
        <v>101</v>
      </c>
      <c r="K1508" s="20">
        <v>45101</v>
      </c>
      <c r="L1508" s="20">
        <v>45105</v>
      </c>
      <c r="M1508" s="20">
        <v>45105</v>
      </c>
      <c r="N1508" s="2" t="s">
        <v>238</v>
      </c>
      <c r="O1508" s="2" t="s">
        <v>72</v>
      </c>
      <c r="P1508" s="2" t="s">
        <v>73</v>
      </c>
      <c r="Q1508" s="2">
        <f t="shared" si="23"/>
        <v>1</v>
      </c>
    </row>
    <row r="1509" spans="1:17" x14ac:dyDescent="0.25">
      <c r="A1509" s="2" t="s">
        <v>4131</v>
      </c>
      <c r="B1509" s="2" t="s">
        <v>4132</v>
      </c>
      <c r="C1509" s="2" t="s">
        <v>19</v>
      </c>
      <c r="D1509" s="2" t="s">
        <v>115</v>
      </c>
      <c r="E1509" s="2" t="s">
        <v>212</v>
      </c>
      <c r="F1509" s="2">
        <v>184.75200000000001</v>
      </c>
      <c r="G1509" s="2" t="s">
        <v>206</v>
      </c>
      <c r="H1509" s="2">
        <v>100</v>
      </c>
      <c r="I1509" s="2">
        <v>184.75200000000001</v>
      </c>
      <c r="J1509" s="2" t="s">
        <v>101</v>
      </c>
      <c r="K1509" s="20">
        <v>45102</v>
      </c>
      <c r="L1509" s="20">
        <v>45107</v>
      </c>
      <c r="M1509" s="20">
        <v>45107</v>
      </c>
      <c r="N1509" s="2" t="s">
        <v>207</v>
      </c>
      <c r="O1509" s="2" t="s">
        <v>67</v>
      </c>
      <c r="P1509" s="2" t="s">
        <v>68</v>
      </c>
      <c r="Q1509" s="2">
        <f t="shared" si="23"/>
        <v>1</v>
      </c>
    </row>
    <row r="1510" spans="1:17" x14ac:dyDescent="0.25">
      <c r="A1510" s="2" t="s">
        <v>4134</v>
      </c>
      <c r="B1510" s="2" t="s">
        <v>4135</v>
      </c>
      <c r="C1510" s="2" t="s">
        <v>30</v>
      </c>
      <c r="D1510" s="2" t="s">
        <v>105</v>
      </c>
      <c r="E1510" s="2" t="s">
        <v>212</v>
      </c>
      <c r="F1510" s="2">
        <v>236.88</v>
      </c>
      <c r="G1510" s="2" t="s">
        <v>206</v>
      </c>
      <c r="H1510" s="2">
        <v>100</v>
      </c>
      <c r="I1510" s="2">
        <v>236.88</v>
      </c>
      <c r="J1510" s="2" t="s">
        <v>101</v>
      </c>
      <c r="K1510" s="20">
        <v>45104</v>
      </c>
      <c r="L1510" s="20">
        <v>45111</v>
      </c>
      <c r="M1510" s="20">
        <v>45111</v>
      </c>
      <c r="N1510" s="2" t="s">
        <v>220</v>
      </c>
      <c r="O1510" s="2" t="s">
        <v>33</v>
      </c>
      <c r="P1510" s="2" t="s">
        <v>34</v>
      </c>
      <c r="Q1510" s="2">
        <f t="shared" si="23"/>
        <v>1</v>
      </c>
    </row>
    <row r="1511" spans="1:17" x14ac:dyDescent="0.25">
      <c r="A1511" s="2" t="s">
        <v>4137</v>
      </c>
      <c r="B1511" s="2" t="s">
        <v>4138</v>
      </c>
      <c r="C1511" s="2" t="s">
        <v>30</v>
      </c>
      <c r="D1511" s="2" t="s">
        <v>186</v>
      </c>
      <c r="E1511" s="2" t="s">
        <v>205</v>
      </c>
      <c r="F1511" s="2">
        <v>431.976</v>
      </c>
      <c r="G1511" s="2" t="s">
        <v>206</v>
      </c>
      <c r="H1511" s="2">
        <v>80</v>
      </c>
      <c r="I1511" s="2">
        <v>345.58080000000001</v>
      </c>
      <c r="J1511" s="2" t="s">
        <v>101</v>
      </c>
      <c r="K1511" s="20">
        <v>45108</v>
      </c>
      <c r="L1511" s="20">
        <v>45111</v>
      </c>
      <c r="M1511" s="20">
        <v>45111</v>
      </c>
      <c r="N1511" s="2" t="s">
        <v>238</v>
      </c>
      <c r="O1511" s="2" t="s">
        <v>25</v>
      </c>
      <c r="P1511" s="2" t="s">
        <v>26</v>
      </c>
      <c r="Q1511" s="2">
        <f t="shared" si="23"/>
        <v>1</v>
      </c>
    </row>
    <row r="1512" spans="1:17" x14ac:dyDescent="0.25">
      <c r="A1512" s="2" t="s">
        <v>4139</v>
      </c>
      <c r="B1512" s="2" t="s">
        <v>4140</v>
      </c>
      <c r="C1512" s="2" t="s">
        <v>30</v>
      </c>
      <c r="D1512" s="2" t="s">
        <v>31</v>
      </c>
      <c r="E1512" s="2" t="s">
        <v>212</v>
      </c>
      <c r="F1512" s="2">
        <v>29.6</v>
      </c>
      <c r="G1512" s="2" t="s">
        <v>206</v>
      </c>
      <c r="H1512" s="2">
        <v>100</v>
      </c>
      <c r="I1512" s="2">
        <v>29.6</v>
      </c>
      <c r="J1512" s="2" t="s">
        <v>101</v>
      </c>
      <c r="K1512" s="20">
        <v>45110</v>
      </c>
      <c r="L1512" s="20">
        <v>45116</v>
      </c>
      <c r="M1512" s="20">
        <v>45116</v>
      </c>
      <c r="N1512" s="2" t="s">
        <v>207</v>
      </c>
      <c r="O1512" s="2" t="s">
        <v>25</v>
      </c>
      <c r="P1512" s="2" t="s">
        <v>26</v>
      </c>
      <c r="Q1512" s="2">
        <f t="shared" si="23"/>
        <v>1</v>
      </c>
    </row>
    <row r="1513" spans="1:17" x14ac:dyDescent="0.25">
      <c r="A1513" s="2" t="s">
        <v>4141</v>
      </c>
      <c r="B1513" s="2" t="s">
        <v>4142</v>
      </c>
      <c r="C1513" s="2" t="s">
        <v>30</v>
      </c>
      <c r="D1513" s="2" t="s">
        <v>115</v>
      </c>
      <c r="E1513" s="2" t="s">
        <v>21</v>
      </c>
      <c r="F1513" s="2">
        <v>1376.4449999999999</v>
      </c>
      <c r="G1513" s="2" t="s">
        <v>22</v>
      </c>
      <c r="H1513" s="2">
        <v>0</v>
      </c>
      <c r="I1513" s="2">
        <v>0</v>
      </c>
      <c r="J1513" s="2" t="s">
        <v>101</v>
      </c>
      <c r="K1513" s="20">
        <v>45112</v>
      </c>
      <c r="L1513" s="20">
        <v>45114</v>
      </c>
      <c r="M1513" s="20">
        <v>45114</v>
      </c>
      <c r="N1513" s="2" t="s">
        <v>63</v>
      </c>
      <c r="O1513" s="2" t="s">
        <v>40</v>
      </c>
      <c r="P1513" s="2" t="s">
        <v>34</v>
      </c>
      <c r="Q1513" s="2">
        <f t="shared" si="23"/>
        <v>1</v>
      </c>
    </row>
    <row r="1514" spans="1:17" x14ac:dyDescent="0.25">
      <c r="A1514" s="2" t="s">
        <v>4144</v>
      </c>
      <c r="B1514" s="2" t="s">
        <v>4145</v>
      </c>
      <c r="C1514" s="2" t="s">
        <v>30</v>
      </c>
      <c r="D1514" s="2" t="s">
        <v>96</v>
      </c>
      <c r="E1514" s="2" t="s">
        <v>212</v>
      </c>
      <c r="F1514" s="2">
        <v>1001.5839999999999</v>
      </c>
      <c r="G1514" s="2" t="s">
        <v>206</v>
      </c>
      <c r="H1514" s="2">
        <v>100</v>
      </c>
      <c r="I1514" s="2">
        <v>1001.5839999999999</v>
      </c>
      <c r="J1514" s="2" t="s">
        <v>101</v>
      </c>
      <c r="K1514" s="20">
        <v>45115</v>
      </c>
      <c r="L1514" s="20">
        <v>45120</v>
      </c>
      <c r="M1514" s="20">
        <v>45120</v>
      </c>
      <c r="N1514" s="2" t="s">
        <v>220</v>
      </c>
      <c r="O1514" s="2" t="s">
        <v>97</v>
      </c>
      <c r="P1514" s="2" t="s">
        <v>68</v>
      </c>
      <c r="Q1514" s="2">
        <f t="shared" si="23"/>
        <v>1</v>
      </c>
    </row>
    <row r="1515" spans="1:17" x14ac:dyDescent="0.25">
      <c r="A1515" s="2" t="s">
        <v>4146</v>
      </c>
      <c r="B1515" s="2" t="s">
        <v>4147</v>
      </c>
      <c r="C1515" s="2" t="s">
        <v>30</v>
      </c>
      <c r="D1515" s="2" t="s">
        <v>77</v>
      </c>
      <c r="E1515" s="2" t="s">
        <v>205</v>
      </c>
      <c r="F1515" s="2">
        <v>51.712000000000003</v>
      </c>
      <c r="G1515" s="2" t="s">
        <v>206</v>
      </c>
      <c r="H1515" s="2">
        <v>80</v>
      </c>
      <c r="I1515" s="2">
        <v>41.369600000000005</v>
      </c>
      <c r="J1515" s="2" t="s">
        <v>101</v>
      </c>
      <c r="K1515" s="20">
        <v>45122</v>
      </c>
      <c r="L1515" s="20">
        <v>45122</v>
      </c>
      <c r="M1515" s="20">
        <v>45122</v>
      </c>
      <c r="N1515" s="2" t="s">
        <v>207</v>
      </c>
      <c r="O1515" s="2" t="s">
        <v>25</v>
      </c>
      <c r="P1515" s="2" t="s">
        <v>26</v>
      </c>
      <c r="Q1515" s="2">
        <f t="shared" si="23"/>
        <v>1</v>
      </c>
    </row>
    <row r="1516" spans="1:17" x14ac:dyDescent="0.25">
      <c r="A1516" s="2" t="s">
        <v>4148</v>
      </c>
      <c r="B1516" s="2" t="s">
        <v>4149</v>
      </c>
      <c r="C1516" s="2" t="s">
        <v>30</v>
      </c>
      <c r="D1516" s="2" t="s">
        <v>58</v>
      </c>
      <c r="E1516" s="2" t="s">
        <v>212</v>
      </c>
      <c r="F1516" s="2">
        <v>20.608000000000001</v>
      </c>
      <c r="G1516" s="2" t="s">
        <v>206</v>
      </c>
      <c r="H1516" s="2">
        <v>100</v>
      </c>
      <c r="I1516" s="2">
        <v>20.608000000000001</v>
      </c>
      <c r="J1516" s="2" t="s">
        <v>101</v>
      </c>
      <c r="K1516" s="20">
        <v>45122</v>
      </c>
      <c r="L1516" s="20">
        <v>45124</v>
      </c>
      <c r="M1516" s="20">
        <v>45124</v>
      </c>
      <c r="N1516" s="2" t="s">
        <v>234</v>
      </c>
      <c r="O1516" s="2" t="s">
        <v>82</v>
      </c>
      <c r="P1516" s="2" t="s">
        <v>47</v>
      </c>
      <c r="Q1516" s="2">
        <f t="shared" si="23"/>
        <v>1</v>
      </c>
    </row>
    <row r="1517" spans="1:17" x14ac:dyDescent="0.25">
      <c r="A1517" s="2" t="s">
        <v>4150</v>
      </c>
      <c r="B1517" s="2" t="s">
        <v>4151</v>
      </c>
      <c r="C1517" s="2" t="s">
        <v>30</v>
      </c>
      <c r="D1517" s="2" t="s">
        <v>44</v>
      </c>
      <c r="E1517" s="2" t="s">
        <v>205</v>
      </c>
      <c r="F1517" s="2">
        <v>1.4079999999999999</v>
      </c>
      <c r="G1517" s="2" t="s">
        <v>206</v>
      </c>
      <c r="H1517" s="2">
        <v>80</v>
      </c>
      <c r="I1517" s="2">
        <v>1.1264000000000001</v>
      </c>
      <c r="J1517" s="2" t="s">
        <v>101</v>
      </c>
      <c r="K1517" s="20">
        <v>45122</v>
      </c>
      <c r="L1517" s="20">
        <v>45126</v>
      </c>
      <c r="M1517" s="20">
        <v>45126</v>
      </c>
      <c r="N1517" s="2" t="s">
        <v>248</v>
      </c>
      <c r="O1517" s="2" t="s">
        <v>25</v>
      </c>
      <c r="P1517" s="2" t="s">
        <v>26</v>
      </c>
      <c r="Q1517" s="2">
        <f t="shared" si="23"/>
        <v>1</v>
      </c>
    </row>
    <row r="1518" spans="1:17" x14ac:dyDescent="0.25">
      <c r="A1518" s="2" t="s">
        <v>4152</v>
      </c>
      <c r="B1518" s="2" t="s">
        <v>4153</v>
      </c>
      <c r="C1518" s="2" t="s">
        <v>30</v>
      </c>
      <c r="D1518" s="2" t="s">
        <v>51</v>
      </c>
      <c r="E1518" s="2" t="s">
        <v>212</v>
      </c>
      <c r="F1518" s="2">
        <v>65.88</v>
      </c>
      <c r="G1518" s="2" t="s">
        <v>206</v>
      </c>
      <c r="H1518" s="2">
        <v>100</v>
      </c>
      <c r="I1518" s="2">
        <v>65.88</v>
      </c>
      <c r="J1518" s="2" t="s">
        <v>101</v>
      </c>
      <c r="K1518" s="20">
        <v>45122</v>
      </c>
      <c r="L1518" s="20">
        <v>45126</v>
      </c>
      <c r="M1518" s="20">
        <v>45126</v>
      </c>
      <c r="N1518" s="2" t="s">
        <v>207</v>
      </c>
      <c r="O1518" s="2" t="s">
        <v>40</v>
      </c>
      <c r="P1518" s="2" t="s">
        <v>34</v>
      </c>
      <c r="Q1518" s="2">
        <f t="shared" si="23"/>
        <v>1</v>
      </c>
    </row>
    <row r="1519" spans="1:17" x14ac:dyDescent="0.25">
      <c r="A1519" s="2" t="s">
        <v>4154</v>
      </c>
      <c r="B1519" s="2" t="s">
        <v>4155</v>
      </c>
      <c r="C1519" s="2" t="s">
        <v>19</v>
      </c>
      <c r="D1519" s="2" t="s">
        <v>58</v>
      </c>
      <c r="E1519" s="2" t="s">
        <v>212</v>
      </c>
      <c r="F1519" s="2">
        <v>20.86</v>
      </c>
      <c r="G1519" s="2" t="s">
        <v>206</v>
      </c>
      <c r="H1519" s="2">
        <v>100</v>
      </c>
      <c r="I1519" s="2">
        <v>20.86</v>
      </c>
      <c r="J1519" s="2" t="s">
        <v>101</v>
      </c>
      <c r="K1519" s="20">
        <v>45132</v>
      </c>
      <c r="L1519" s="20">
        <v>45133</v>
      </c>
      <c r="M1519" s="20">
        <v>45133</v>
      </c>
      <c r="N1519" s="2" t="s">
        <v>234</v>
      </c>
      <c r="O1519" s="2" t="s">
        <v>33</v>
      </c>
      <c r="P1519" s="2" t="s">
        <v>34</v>
      </c>
      <c r="Q1519" s="2">
        <f t="shared" si="23"/>
        <v>1</v>
      </c>
    </row>
    <row r="1520" spans="1:17" x14ac:dyDescent="0.25">
      <c r="A1520" s="2" t="s">
        <v>4156</v>
      </c>
      <c r="B1520" s="2" t="s">
        <v>4157</v>
      </c>
      <c r="C1520" s="2" t="s">
        <v>30</v>
      </c>
      <c r="D1520" s="2" t="s">
        <v>62</v>
      </c>
      <c r="E1520" s="2" t="s">
        <v>212</v>
      </c>
      <c r="F1520" s="2">
        <v>661.17600000000004</v>
      </c>
      <c r="G1520" s="2" t="s">
        <v>206</v>
      </c>
      <c r="H1520" s="2">
        <v>100</v>
      </c>
      <c r="I1520" s="2">
        <v>661.17600000000004</v>
      </c>
      <c r="J1520" s="2" t="s">
        <v>101</v>
      </c>
      <c r="K1520" s="20">
        <v>45132</v>
      </c>
      <c r="L1520" s="20">
        <v>45134</v>
      </c>
      <c r="M1520" s="20">
        <v>45134</v>
      </c>
      <c r="N1520" s="2" t="s">
        <v>234</v>
      </c>
      <c r="O1520" s="2" t="s">
        <v>146</v>
      </c>
      <c r="P1520" s="2" t="s">
        <v>73</v>
      </c>
      <c r="Q1520" s="2">
        <f t="shared" si="23"/>
        <v>1</v>
      </c>
    </row>
    <row r="1521" spans="1:17" x14ac:dyDescent="0.25">
      <c r="A1521" s="2" t="s">
        <v>4159</v>
      </c>
      <c r="B1521" s="2" t="s">
        <v>4160</v>
      </c>
      <c r="C1521" s="2" t="s">
        <v>30</v>
      </c>
      <c r="D1521" s="2" t="s">
        <v>44</v>
      </c>
      <c r="E1521" s="2" t="s">
        <v>212</v>
      </c>
      <c r="F1521" s="2">
        <v>11.68</v>
      </c>
      <c r="G1521" s="2" t="s">
        <v>206</v>
      </c>
      <c r="H1521" s="2">
        <v>100</v>
      </c>
      <c r="I1521" s="2">
        <v>11.68</v>
      </c>
      <c r="J1521" s="2" t="s">
        <v>101</v>
      </c>
      <c r="K1521" s="20">
        <v>45133</v>
      </c>
      <c r="L1521" s="20">
        <v>45137</v>
      </c>
      <c r="M1521" s="20">
        <v>45137</v>
      </c>
      <c r="N1521" s="2" t="s">
        <v>220</v>
      </c>
      <c r="O1521" s="2" t="s">
        <v>25</v>
      </c>
      <c r="P1521" s="2" t="s">
        <v>26</v>
      </c>
      <c r="Q1521" s="2">
        <f t="shared" si="23"/>
        <v>1</v>
      </c>
    </row>
    <row r="1522" spans="1:17" x14ac:dyDescent="0.25">
      <c r="A1522" s="2" t="s">
        <v>4161</v>
      </c>
      <c r="B1522" s="2" t="s">
        <v>4162</v>
      </c>
      <c r="C1522" s="2" t="s">
        <v>19</v>
      </c>
      <c r="D1522" s="2" t="s">
        <v>186</v>
      </c>
      <c r="E1522" s="2" t="s">
        <v>205</v>
      </c>
      <c r="F1522" s="2">
        <v>43.32</v>
      </c>
      <c r="G1522" s="2" t="s">
        <v>206</v>
      </c>
      <c r="H1522" s="2">
        <v>80</v>
      </c>
      <c r="I1522" s="2">
        <v>34.655999999999999</v>
      </c>
      <c r="J1522" s="2" t="s">
        <v>101</v>
      </c>
      <c r="K1522" s="20">
        <v>45136</v>
      </c>
      <c r="L1522" s="20">
        <v>45142</v>
      </c>
      <c r="M1522" s="20">
        <v>45142</v>
      </c>
      <c r="N1522" s="2" t="s">
        <v>234</v>
      </c>
      <c r="O1522" s="2" t="s">
        <v>25</v>
      </c>
      <c r="P1522" s="2" t="s">
        <v>26</v>
      </c>
      <c r="Q1522" s="2">
        <f t="shared" si="23"/>
        <v>1</v>
      </c>
    </row>
    <row r="1523" spans="1:17" x14ac:dyDescent="0.25">
      <c r="A1523" s="2" t="s">
        <v>4163</v>
      </c>
      <c r="B1523" s="2" t="s">
        <v>4164</v>
      </c>
      <c r="C1523" s="2" t="s">
        <v>30</v>
      </c>
      <c r="D1523" s="2" t="s">
        <v>105</v>
      </c>
      <c r="E1523" s="2" t="s">
        <v>212</v>
      </c>
      <c r="F1523" s="2">
        <v>29.12</v>
      </c>
      <c r="G1523" s="2" t="s">
        <v>206</v>
      </c>
      <c r="H1523" s="2">
        <v>100</v>
      </c>
      <c r="I1523" s="2">
        <v>29.12</v>
      </c>
      <c r="J1523" s="2" t="s">
        <v>101</v>
      </c>
      <c r="K1523" s="20">
        <v>45140</v>
      </c>
      <c r="L1523" s="20">
        <v>45142</v>
      </c>
      <c r="M1523" s="20">
        <v>45142</v>
      </c>
      <c r="N1523" s="2" t="s">
        <v>213</v>
      </c>
      <c r="O1523" s="2" t="s">
        <v>33</v>
      </c>
      <c r="P1523" s="2" t="s">
        <v>34</v>
      </c>
      <c r="Q1523" s="2">
        <f t="shared" si="23"/>
        <v>1</v>
      </c>
    </row>
    <row r="1524" spans="1:17" x14ac:dyDescent="0.25">
      <c r="A1524" s="2" t="s">
        <v>4166</v>
      </c>
      <c r="B1524" s="2" t="s">
        <v>4167</v>
      </c>
      <c r="C1524" s="2" t="s">
        <v>19</v>
      </c>
      <c r="D1524" s="2" t="s">
        <v>139</v>
      </c>
      <c r="E1524" s="2" t="s">
        <v>21</v>
      </c>
      <c r="F1524" s="2">
        <v>645.13599999999997</v>
      </c>
      <c r="G1524" s="2" t="s">
        <v>22</v>
      </c>
      <c r="H1524" s="2">
        <v>0</v>
      </c>
      <c r="I1524" s="2">
        <v>0</v>
      </c>
      <c r="J1524" s="2" t="s">
        <v>101</v>
      </c>
      <c r="K1524" s="20">
        <v>45148</v>
      </c>
      <c r="L1524" s="20">
        <v>45151</v>
      </c>
      <c r="M1524" s="20">
        <v>45151</v>
      </c>
      <c r="N1524" s="2" t="s">
        <v>32</v>
      </c>
      <c r="O1524" s="2" t="s">
        <v>54</v>
      </c>
      <c r="P1524" s="2" t="s">
        <v>26</v>
      </c>
      <c r="Q1524" s="2">
        <f t="shared" si="23"/>
        <v>1</v>
      </c>
    </row>
    <row r="1525" spans="1:17" x14ac:dyDescent="0.25">
      <c r="A1525" s="2" t="s">
        <v>4169</v>
      </c>
      <c r="B1525" s="2" t="s">
        <v>4170</v>
      </c>
      <c r="C1525" s="2" t="s">
        <v>19</v>
      </c>
      <c r="D1525" s="2" t="s">
        <v>370</v>
      </c>
      <c r="E1525" s="2" t="s">
        <v>205</v>
      </c>
      <c r="F1525" s="2">
        <v>30.36</v>
      </c>
      <c r="G1525" s="2" t="s">
        <v>206</v>
      </c>
      <c r="H1525" s="2">
        <v>80</v>
      </c>
      <c r="I1525" s="2">
        <v>24.288</v>
      </c>
      <c r="J1525" s="2" t="s">
        <v>101</v>
      </c>
      <c r="K1525" s="20">
        <v>45151</v>
      </c>
      <c r="L1525" s="20">
        <v>45155</v>
      </c>
      <c r="M1525" s="20">
        <v>45155</v>
      </c>
      <c r="N1525" s="2" t="s">
        <v>234</v>
      </c>
      <c r="O1525" s="2" t="s">
        <v>40</v>
      </c>
      <c r="P1525" s="2" t="s">
        <v>34</v>
      </c>
      <c r="Q1525" s="2">
        <f t="shared" si="23"/>
        <v>1</v>
      </c>
    </row>
    <row r="1526" spans="1:17" x14ac:dyDescent="0.25">
      <c r="A1526" s="2" t="s">
        <v>4171</v>
      </c>
      <c r="B1526" s="2" t="s">
        <v>4172</v>
      </c>
      <c r="C1526" s="2" t="s">
        <v>19</v>
      </c>
      <c r="D1526" s="2" t="s">
        <v>31</v>
      </c>
      <c r="E1526" s="2" t="s">
        <v>205</v>
      </c>
      <c r="F1526" s="2">
        <v>61.192</v>
      </c>
      <c r="G1526" s="2" t="s">
        <v>206</v>
      </c>
      <c r="H1526" s="2">
        <v>80</v>
      </c>
      <c r="I1526" s="2">
        <v>48.953600000000002</v>
      </c>
      <c r="J1526" s="2" t="s">
        <v>101</v>
      </c>
      <c r="K1526" s="20">
        <v>45153</v>
      </c>
      <c r="L1526" s="20">
        <v>45155</v>
      </c>
      <c r="M1526" s="20">
        <v>45155</v>
      </c>
      <c r="N1526" s="2" t="s">
        <v>248</v>
      </c>
      <c r="O1526" s="2" t="s">
        <v>40</v>
      </c>
      <c r="P1526" s="2" t="s">
        <v>34</v>
      </c>
      <c r="Q1526" s="2">
        <f t="shared" si="23"/>
        <v>1</v>
      </c>
    </row>
    <row r="1527" spans="1:17" x14ac:dyDescent="0.25">
      <c r="A1527" s="2" t="s">
        <v>4174</v>
      </c>
      <c r="B1527" s="2" t="s">
        <v>4175</v>
      </c>
      <c r="C1527" s="2" t="s">
        <v>30</v>
      </c>
      <c r="D1527" s="2" t="s">
        <v>150</v>
      </c>
      <c r="E1527" s="2" t="s">
        <v>212</v>
      </c>
      <c r="F1527" s="2">
        <v>10.7799999999999</v>
      </c>
      <c r="G1527" s="2" t="s">
        <v>206</v>
      </c>
      <c r="H1527" s="2">
        <v>100</v>
      </c>
      <c r="I1527" s="2">
        <v>10.7799999999999</v>
      </c>
      <c r="J1527" s="2" t="s">
        <v>101</v>
      </c>
      <c r="K1527" s="20">
        <v>45155</v>
      </c>
      <c r="L1527" s="20">
        <v>45158</v>
      </c>
      <c r="M1527" s="20">
        <v>45158</v>
      </c>
      <c r="N1527" s="2" t="s">
        <v>213</v>
      </c>
      <c r="O1527" s="2" t="s">
        <v>82</v>
      </c>
      <c r="P1527" s="2" t="s">
        <v>47</v>
      </c>
      <c r="Q1527" s="2">
        <f t="shared" si="23"/>
        <v>1</v>
      </c>
    </row>
    <row r="1528" spans="1:17" x14ac:dyDescent="0.25">
      <c r="A1528" s="2" t="s">
        <v>4176</v>
      </c>
      <c r="B1528" s="2" t="s">
        <v>4177</v>
      </c>
      <c r="C1528" s="2" t="s">
        <v>30</v>
      </c>
      <c r="D1528" s="2" t="s">
        <v>38</v>
      </c>
      <c r="E1528" s="2" t="s">
        <v>212</v>
      </c>
      <c r="F1528" s="2">
        <v>38.432000000000002</v>
      </c>
      <c r="G1528" s="2" t="s">
        <v>206</v>
      </c>
      <c r="H1528" s="2">
        <v>100</v>
      </c>
      <c r="I1528" s="2">
        <v>38.432000000000002</v>
      </c>
      <c r="J1528" s="2" t="s">
        <v>101</v>
      </c>
      <c r="K1528" s="20">
        <v>45160</v>
      </c>
      <c r="L1528" s="20">
        <v>45162</v>
      </c>
      <c r="M1528" s="20">
        <v>45162</v>
      </c>
      <c r="N1528" s="2" t="s">
        <v>238</v>
      </c>
      <c r="O1528" s="2" t="s">
        <v>82</v>
      </c>
      <c r="P1528" s="2" t="s">
        <v>47</v>
      </c>
      <c r="Q1528" s="2">
        <f t="shared" si="23"/>
        <v>1</v>
      </c>
    </row>
    <row r="1529" spans="1:17" x14ac:dyDescent="0.25">
      <c r="A1529" s="2" t="s">
        <v>4178</v>
      </c>
      <c r="B1529" s="2" t="s">
        <v>4179</v>
      </c>
      <c r="C1529" s="2" t="s">
        <v>19</v>
      </c>
      <c r="D1529" s="2" t="s">
        <v>115</v>
      </c>
      <c r="E1529" s="2" t="s">
        <v>205</v>
      </c>
      <c r="F1529" s="2">
        <v>127.554</v>
      </c>
      <c r="G1529" s="2" t="s">
        <v>206</v>
      </c>
      <c r="H1529" s="2">
        <v>80</v>
      </c>
      <c r="I1529" s="2">
        <v>102.04320000000001</v>
      </c>
      <c r="J1529" s="2" t="s">
        <v>101</v>
      </c>
      <c r="K1529" s="20">
        <v>45160</v>
      </c>
      <c r="L1529" s="20">
        <v>45164</v>
      </c>
      <c r="M1529" s="20">
        <v>45164</v>
      </c>
      <c r="N1529" s="2" t="s">
        <v>238</v>
      </c>
      <c r="O1529" s="2" t="s">
        <v>97</v>
      </c>
      <c r="P1529" s="2" t="s">
        <v>68</v>
      </c>
      <c r="Q1529" s="2">
        <f t="shared" si="23"/>
        <v>1</v>
      </c>
    </row>
    <row r="1530" spans="1:17" x14ac:dyDescent="0.25">
      <c r="A1530" s="2" t="s">
        <v>4181</v>
      </c>
      <c r="B1530" s="2" t="s">
        <v>4182</v>
      </c>
      <c r="C1530" s="2" t="s">
        <v>19</v>
      </c>
      <c r="D1530" s="2" t="s">
        <v>77</v>
      </c>
      <c r="E1530" s="2" t="s">
        <v>212</v>
      </c>
      <c r="F1530" s="2">
        <v>81.575999999999993</v>
      </c>
      <c r="G1530" s="2" t="s">
        <v>206</v>
      </c>
      <c r="H1530" s="2">
        <v>100</v>
      </c>
      <c r="I1530" s="2">
        <v>81.575999999999993</v>
      </c>
      <c r="J1530" s="2" t="s">
        <v>101</v>
      </c>
      <c r="K1530" s="20">
        <v>45161</v>
      </c>
      <c r="L1530" s="20">
        <v>45168</v>
      </c>
      <c r="M1530" s="20">
        <v>45168</v>
      </c>
      <c r="N1530" s="2" t="s">
        <v>238</v>
      </c>
      <c r="O1530" s="2" t="s">
        <v>97</v>
      </c>
      <c r="P1530" s="2" t="s">
        <v>68</v>
      </c>
      <c r="Q1530" s="2">
        <f t="shared" si="23"/>
        <v>1</v>
      </c>
    </row>
    <row r="1531" spans="1:17" x14ac:dyDescent="0.25">
      <c r="A1531" s="2" t="s">
        <v>4183</v>
      </c>
      <c r="B1531" s="2" t="s">
        <v>4184</v>
      </c>
      <c r="C1531" s="2" t="s">
        <v>30</v>
      </c>
      <c r="D1531" s="2" t="s">
        <v>86</v>
      </c>
      <c r="E1531" s="2" t="s">
        <v>212</v>
      </c>
      <c r="F1531" s="2">
        <v>24.783999999999999</v>
      </c>
      <c r="G1531" s="2" t="s">
        <v>206</v>
      </c>
      <c r="H1531" s="2">
        <v>100</v>
      </c>
      <c r="I1531" s="2">
        <v>24.783999999999999</v>
      </c>
      <c r="J1531" s="2" t="s">
        <v>101</v>
      </c>
      <c r="K1531" s="20">
        <v>45165</v>
      </c>
      <c r="L1531" s="20">
        <v>45170</v>
      </c>
      <c r="M1531" s="20">
        <v>45170</v>
      </c>
      <c r="N1531" s="2" t="s">
        <v>234</v>
      </c>
      <c r="O1531" s="2" t="s">
        <v>33</v>
      </c>
      <c r="P1531" s="2" t="s">
        <v>34</v>
      </c>
      <c r="Q1531" s="2">
        <f t="shared" si="23"/>
        <v>1</v>
      </c>
    </row>
    <row r="1532" spans="1:17" x14ac:dyDescent="0.25">
      <c r="A1532" s="2" t="s">
        <v>4185</v>
      </c>
      <c r="B1532" s="2" t="s">
        <v>4186</v>
      </c>
      <c r="C1532" s="2" t="s">
        <v>30</v>
      </c>
      <c r="D1532" s="2" t="s">
        <v>105</v>
      </c>
      <c r="E1532" s="2" t="s">
        <v>205</v>
      </c>
      <c r="F1532" s="2">
        <v>7.0679999999999996</v>
      </c>
      <c r="G1532" s="2" t="s">
        <v>206</v>
      </c>
      <c r="H1532" s="2">
        <v>80</v>
      </c>
      <c r="I1532" s="2">
        <v>5.6543999999999999</v>
      </c>
      <c r="J1532" s="2" t="s">
        <v>101</v>
      </c>
      <c r="K1532" s="20">
        <v>45165</v>
      </c>
      <c r="L1532" s="20">
        <v>45168</v>
      </c>
      <c r="M1532" s="20">
        <v>45168</v>
      </c>
      <c r="N1532" s="2" t="s">
        <v>213</v>
      </c>
      <c r="O1532" s="2" t="s">
        <v>82</v>
      </c>
      <c r="P1532" s="2" t="s">
        <v>47</v>
      </c>
      <c r="Q1532" s="2">
        <f t="shared" si="23"/>
        <v>1</v>
      </c>
    </row>
    <row r="1533" spans="1:17" x14ac:dyDescent="0.25">
      <c r="A1533" s="2" t="s">
        <v>4187</v>
      </c>
      <c r="B1533" s="2" t="s">
        <v>4188</v>
      </c>
      <c r="C1533" s="2" t="s">
        <v>30</v>
      </c>
      <c r="D1533" s="2" t="s">
        <v>62</v>
      </c>
      <c r="E1533" s="2" t="s">
        <v>205</v>
      </c>
      <c r="F1533" s="2">
        <v>33.520000000000003</v>
      </c>
      <c r="G1533" s="2" t="s">
        <v>206</v>
      </c>
      <c r="H1533" s="2">
        <v>80</v>
      </c>
      <c r="I1533" s="2">
        <v>26.816000000000003</v>
      </c>
      <c r="J1533" s="2" t="s">
        <v>101</v>
      </c>
      <c r="K1533" s="20">
        <v>45168</v>
      </c>
      <c r="L1533" s="20">
        <v>45173</v>
      </c>
      <c r="M1533" s="20">
        <v>45173</v>
      </c>
      <c r="N1533" s="2" t="s">
        <v>238</v>
      </c>
      <c r="O1533" s="2" t="s">
        <v>67</v>
      </c>
      <c r="P1533" s="2" t="s">
        <v>68</v>
      </c>
      <c r="Q1533" s="2">
        <f t="shared" si="23"/>
        <v>1</v>
      </c>
    </row>
    <row r="1534" spans="1:17" x14ac:dyDescent="0.25">
      <c r="A1534" s="2" t="s">
        <v>4189</v>
      </c>
      <c r="B1534" s="2" t="s">
        <v>4190</v>
      </c>
      <c r="C1534" s="2" t="s">
        <v>19</v>
      </c>
      <c r="D1534" s="2" t="s">
        <v>31</v>
      </c>
      <c r="E1534" s="2" t="s">
        <v>212</v>
      </c>
      <c r="F1534" s="2">
        <v>9.94</v>
      </c>
      <c r="G1534" s="2" t="s">
        <v>206</v>
      </c>
      <c r="H1534" s="2">
        <v>100</v>
      </c>
      <c r="I1534" s="2">
        <v>9.94</v>
      </c>
      <c r="J1534" s="2" t="s">
        <v>101</v>
      </c>
      <c r="K1534" s="20">
        <v>45170</v>
      </c>
      <c r="L1534" s="20">
        <v>45176</v>
      </c>
      <c r="M1534" s="20">
        <v>45176</v>
      </c>
      <c r="N1534" s="2" t="s">
        <v>213</v>
      </c>
      <c r="O1534" s="2" t="s">
        <v>82</v>
      </c>
      <c r="P1534" s="2" t="s">
        <v>47</v>
      </c>
      <c r="Q1534" s="2">
        <f t="shared" si="23"/>
        <v>1</v>
      </c>
    </row>
    <row r="1535" spans="1:17" x14ac:dyDescent="0.25">
      <c r="A1535" s="2" t="s">
        <v>4191</v>
      </c>
      <c r="B1535" s="2" t="s">
        <v>4192</v>
      </c>
      <c r="C1535" s="2" t="s">
        <v>30</v>
      </c>
      <c r="D1535" s="2" t="s">
        <v>86</v>
      </c>
      <c r="E1535" s="2" t="s">
        <v>212</v>
      </c>
      <c r="F1535" s="2">
        <v>494.98200000000003</v>
      </c>
      <c r="G1535" s="2" t="s">
        <v>206</v>
      </c>
      <c r="H1535" s="2">
        <v>100</v>
      </c>
      <c r="I1535" s="2">
        <v>494.98200000000003</v>
      </c>
      <c r="J1535" s="2" t="s">
        <v>101</v>
      </c>
      <c r="K1535" s="20">
        <v>45171</v>
      </c>
      <c r="L1535" s="20">
        <v>45174</v>
      </c>
      <c r="M1535" s="20">
        <v>45174</v>
      </c>
      <c r="N1535" s="2" t="s">
        <v>220</v>
      </c>
      <c r="O1535" s="2" t="s">
        <v>67</v>
      </c>
      <c r="P1535" s="2" t="s">
        <v>68</v>
      </c>
      <c r="Q1535" s="2">
        <f t="shared" si="23"/>
        <v>1</v>
      </c>
    </row>
    <row r="1536" spans="1:17" x14ac:dyDescent="0.25">
      <c r="A1536" s="2" t="s">
        <v>4193</v>
      </c>
      <c r="B1536" s="2" t="s">
        <v>4194</v>
      </c>
      <c r="C1536" s="2" t="s">
        <v>30</v>
      </c>
      <c r="D1536" s="2" t="s">
        <v>51</v>
      </c>
      <c r="E1536" s="2" t="s">
        <v>21</v>
      </c>
      <c r="F1536" s="2">
        <v>4438.6859999999997</v>
      </c>
      <c r="G1536" s="2" t="s">
        <v>22</v>
      </c>
      <c r="H1536" s="2">
        <v>0</v>
      </c>
      <c r="I1536" s="2">
        <v>0</v>
      </c>
      <c r="J1536" s="2" t="s">
        <v>101</v>
      </c>
      <c r="K1536" s="20">
        <v>45171</v>
      </c>
      <c r="L1536" s="20">
        <v>45173</v>
      </c>
      <c r="M1536" s="20">
        <v>45173</v>
      </c>
      <c r="N1536" s="2" t="s">
        <v>24</v>
      </c>
      <c r="O1536" s="2" t="s">
        <v>82</v>
      </c>
      <c r="P1536" s="2" t="s">
        <v>47</v>
      </c>
      <c r="Q1536" s="2">
        <f t="shared" si="23"/>
        <v>1</v>
      </c>
    </row>
    <row r="1537" spans="1:17" x14ac:dyDescent="0.25">
      <c r="A1537" s="2" t="s">
        <v>4195</v>
      </c>
      <c r="B1537" s="2" t="s">
        <v>4196</v>
      </c>
      <c r="C1537" s="2" t="s">
        <v>19</v>
      </c>
      <c r="D1537" s="2" t="s">
        <v>51</v>
      </c>
      <c r="E1537" s="2" t="s">
        <v>212</v>
      </c>
      <c r="F1537" s="2">
        <v>82.26</v>
      </c>
      <c r="G1537" s="2" t="s">
        <v>206</v>
      </c>
      <c r="H1537" s="2">
        <v>100</v>
      </c>
      <c r="I1537" s="2">
        <v>82.26</v>
      </c>
      <c r="J1537" s="2" t="s">
        <v>101</v>
      </c>
      <c r="K1537" s="20">
        <v>45171</v>
      </c>
      <c r="L1537" s="20">
        <v>45173</v>
      </c>
      <c r="M1537" s="20">
        <v>45173</v>
      </c>
      <c r="N1537" s="2" t="s">
        <v>213</v>
      </c>
      <c r="O1537" s="2" t="s">
        <v>72</v>
      </c>
      <c r="P1537" s="2" t="s">
        <v>73</v>
      </c>
      <c r="Q1537" s="2">
        <f t="shared" si="23"/>
        <v>1</v>
      </c>
    </row>
    <row r="1538" spans="1:17" x14ac:dyDescent="0.25">
      <c r="A1538" s="2" t="s">
        <v>4197</v>
      </c>
      <c r="B1538" s="2" t="s">
        <v>4198</v>
      </c>
      <c r="C1538" s="2" t="s">
        <v>19</v>
      </c>
      <c r="D1538" s="2" t="s">
        <v>81</v>
      </c>
      <c r="E1538" s="2" t="s">
        <v>205</v>
      </c>
      <c r="F1538" s="2">
        <v>7.3120000000000003</v>
      </c>
      <c r="G1538" s="2" t="s">
        <v>206</v>
      </c>
      <c r="H1538" s="2">
        <v>80</v>
      </c>
      <c r="I1538" s="2">
        <v>5.8496000000000006</v>
      </c>
      <c r="J1538" s="2" t="s">
        <v>101</v>
      </c>
      <c r="K1538" s="20">
        <v>45172</v>
      </c>
      <c r="L1538" s="20">
        <v>45178</v>
      </c>
      <c r="M1538" s="20">
        <v>45178</v>
      </c>
      <c r="N1538" s="2" t="s">
        <v>207</v>
      </c>
      <c r="O1538" s="2" t="s">
        <v>33</v>
      </c>
      <c r="P1538" s="2" t="s">
        <v>34</v>
      </c>
      <c r="Q1538" s="2">
        <f t="shared" ref="Q1538:Q1601" si="24">COUNTIF($A$2:$A$1778,A1538)</f>
        <v>1</v>
      </c>
    </row>
    <row r="1539" spans="1:17" x14ac:dyDescent="0.25">
      <c r="A1539" s="2" t="s">
        <v>4200</v>
      </c>
      <c r="B1539" s="2" t="s">
        <v>4201</v>
      </c>
      <c r="C1539" s="2" t="s">
        <v>19</v>
      </c>
      <c r="D1539" s="2" t="s">
        <v>370</v>
      </c>
      <c r="E1539" s="2" t="s">
        <v>212</v>
      </c>
      <c r="F1539" s="2">
        <v>6.8879999999999999</v>
      </c>
      <c r="G1539" s="2" t="s">
        <v>206</v>
      </c>
      <c r="H1539" s="2">
        <v>100</v>
      </c>
      <c r="I1539" s="2">
        <v>6.8879999999999999</v>
      </c>
      <c r="J1539" s="2" t="s">
        <v>101</v>
      </c>
      <c r="K1539" s="20">
        <v>45173</v>
      </c>
      <c r="L1539" s="20">
        <v>45180</v>
      </c>
      <c r="M1539" s="20">
        <v>45180</v>
      </c>
      <c r="N1539" s="2" t="s">
        <v>234</v>
      </c>
      <c r="O1539" s="2" t="s">
        <v>54</v>
      </c>
      <c r="P1539" s="2" t="s">
        <v>26</v>
      </c>
      <c r="Q1539" s="2">
        <f t="shared" si="24"/>
        <v>1</v>
      </c>
    </row>
    <row r="1540" spans="1:17" x14ac:dyDescent="0.25">
      <c r="A1540" s="2" t="s">
        <v>4202</v>
      </c>
      <c r="B1540" s="2" t="s">
        <v>4203</v>
      </c>
      <c r="C1540" s="2" t="s">
        <v>30</v>
      </c>
      <c r="D1540" s="2" t="s">
        <v>38</v>
      </c>
      <c r="E1540" s="2" t="s">
        <v>205</v>
      </c>
      <c r="F1540" s="2">
        <v>32.543999999999997</v>
      </c>
      <c r="G1540" s="2" t="s">
        <v>206</v>
      </c>
      <c r="H1540" s="2">
        <v>80</v>
      </c>
      <c r="I1540" s="2">
        <v>26.0352</v>
      </c>
      <c r="J1540" s="2" t="s">
        <v>101</v>
      </c>
      <c r="K1540" s="20">
        <v>45173</v>
      </c>
      <c r="L1540" s="20">
        <v>45179</v>
      </c>
      <c r="M1540" s="20">
        <v>45179</v>
      </c>
      <c r="N1540" s="2" t="s">
        <v>213</v>
      </c>
      <c r="O1540" s="2" t="s">
        <v>146</v>
      </c>
      <c r="P1540" s="2" t="s">
        <v>73</v>
      </c>
      <c r="Q1540" s="2">
        <f t="shared" si="24"/>
        <v>1</v>
      </c>
    </row>
    <row r="1541" spans="1:17" x14ac:dyDescent="0.25">
      <c r="A1541" s="2" t="s">
        <v>4205</v>
      </c>
      <c r="B1541" s="2" t="s">
        <v>4206</v>
      </c>
      <c r="C1541" s="2" t="s">
        <v>30</v>
      </c>
      <c r="D1541" s="2" t="s">
        <v>324</v>
      </c>
      <c r="E1541" s="2" t="s">
        <v>212</v>
      </c>
      <c r="F1541" s="2">
        <v>268.70400000000001</v>
      </c>
      <c r="G1541" s="2" t="s">
        <v>206</v>
      </c>
      <c r="H1541" s="2">
        <v>100</v>
      </c>
      <c r="I1541" s="2">
        <v>268.70400000000001</v>
      </c>
      <c r="J1541" s="2" t="s">
        <v>101</v>
      </c>
      <c r="K1541" s="20">
        <v>45174</v>
      </c>
      <c r="L1541" s="20">
        <v>45179</v>
      </c>
      <c r="M1541" s="20">
        <v>45179</v>
      </c>
      <c r="N1541" s="2" t="s">
        <v>213</v>
      </c>
      <c r="O1541" s="2" t="s">
        <v>82</v>
      </c>
      <c r="P1541" s="2" t="s">
        <v>47</v>
      </c>
      <c r="Q1541" s="2">
        <f t="shared" si="24"/>
        <v>1</v>
      </c>
    </row>
    <row r="1542" spans="1:17" x14ac:dyDescent="0.25">
      <c r="A1542" s="2" t="s">
        <v>4207</v>
      </c>
      <c r="B1542" s="2" t="s">
        <v>4208</v>
      </c>
      <c r="C1542" s="2" t="s">
        <v>19</v>
      </c>
      <c r="D1542" s="2" t="s">
        <v>370</v>
      </c>
      <c r="E1542" s="2" t="s">
        <v>205</v>
      </c>
      <c r="F1542" s="2">
        <v>48.72</v>
      </c>
      <c r="G1542" s="2" t="s">
        <v>206</v>
      </c>
      <c r="H1542" s="2">
        <v>80</v>
      </c>
      <c r="I1542" s="2">
        <v>38.975999999999999</v>
      </c>
      <c r="J1542" s="2" t="s">
        <v>101</v>
      </c>
      <c r="K1542" s="20">
        <v>45175</v>
      </c>
      <c r="L1542" s="20">
        <v>45181</v>
      </c>
      <c r="M1542" s="20">
        <v>45181</v>
      </c>
      <c r="N1542" s="2" t="s">
        <v>234</v>
      </c>
      <c r="O1542" s="2" t="s">
        <v>67</v>
      </c>
      <c r="P1542" s="2" t="s">
        <v>68</v>
      </c>
      <c r="Q1542" s="2">
        <f t="shared" si="24"/>
        <v>1</v>
      </c>
    </row>
    <row r="1543" spans="1:17" x14ac:dyDescent="0.25">
      <c r="A1543" s="2" t="s">
        <v>4209</v>
      </c>
      <c r="B1543" s="2" t="s">
        <v>4210</v>
      </c>
      <c r="C1543" s="2" t="s">
        <v>30</v>
      </c>
      <c r="D1543" s="2" t="s">
        <v>164</v>
      </c>
      <c r="E1543" s="2" t="s">
        <v>212</v>
      </c>
      <c r="F1543" s="2">
        <v>205.666</v>
      </c>
      <c r="G1543" s="2" t="s">
        <v>206</v>
      </c>
      <c r="H1543" s="2">
        <v>100</v>
      </c>
      <c r="I1543" s="2">
        <v>205.666</v>
      </c>
      <c r="J1543" s="2" t="s">
        <v>101</v>
      </c>
      <c r="K1543" s="20">
        <v>45175</v>
      </c>
      <c r="L1543" s="20">
        <v>45177</v>
      </c>
      <c r="M1543" s="20">
        <v>45177</v>
      </c>
      <c r="N1543" s="2" t="s">
        <v>248</v>
      </c>
      <c r="O1543" s="2" t="s">
        <v>146</v>
      </c>
      <c r="P1543" s="2" t="s">
        <v>73</v>
      </c>
      <c r="Q1543" s="2">
        <f t="shared" si="24"/>
        <v>1</v>
      </c>
    </row>
    <row r="1544" spans="1:17" x14ac:dyDescent="0.25">
      <c r="A1544" s="2" t="s">
        <v>4211</v>
      </c>
      <c r="B1544" s="2" t="s">
        <v>4212</v>
      </c>
      <c r="C1544" s="2" t="s">
        <v>30</v>
      </c>
      <c r="D1544" s="2" t="s">
        <v>38</v>
      </c>
      <c r="E1544" s="2" t="s">
        <v>212</v>
      </c>
      <c r="F1544" s="2">
        <v>9.3919999999999995</v>
      </c>
      <c r="G1544" s="2" t="s">
        <v>206</v>
      </c>
      <c r="H1544" s="2">
        <v>100</v>
      </c>
      <c r="I1544" s="2">
        <v>9.3919999999999995</v>
      </c>
      <c r="J1544" s="2" t="s">
        <v>101</v>
      </c>
      <c r="K1544" s="20">
        <v>45179</v>
      </c>
      <c r="L1544" s="20">
        <v>45181</v>
      </c>
      <c r="M1544" s="20">
        <v>45181</v>
      </c>
      <c r="N1544" s="2" t="s">
        <v>213</v>
      </c>
      <c r="O1544" s="2" t="s">
        <v>72</v>
      </c>
      <c r="P1544" s="2" t="s">
        <v>73</v>
      </c>
      <c r="Q1544" s="2">
        <f t="shared" si="24"/>
        <v>1</v>
      </c>
    </row>
    <row r="1545" spans="1:17" x14ac:dyDescent="0.25">
      <c r="A1545" s="2" t="s">
        <v>4214</v>
      </c>
      <c r="B1545" s="2" t="s">
        <v>4215</v>
      </c>
      <c r="C1545" s="2" t="s">
        <v>19</v>
      </c>
      <c r="D1545" s="2" t="s">
        <v>115</v>
      </c>
      <c r="E1545" s="2" t="s">
        <v>212</v>
      </c>
      <c r="F1545" s="2">
        <v>9.3279999999999994</v>
      </c>
      <c r="G1545" s="2" t="s">
        <v>206</v>
      </c>
      <c r="H1545" s="2">
        <v>100</v>
      </c>
      <c r="I1545" s="2">
        <v>9.3279999999999994</v>
      </c>
      <c r="J1545" s="2" t="s">
        <v>101</v>
      </c>
      <c r="K1545" s="20">
        <v>45179</v>
      </c>
      <c r="L1545" s="20">
        <v>45183</v>
      </c>
      <c r="M1545" s="20">
        <v>45183</v>
      </c>
      <c r="N1545" s="2" t="s">
        <v>238</v>
      </c>
      <c r="O1545" s="2" t="s">
        <v>82</v>
      </c>
      <c r="P1545" s="2" t="s">
        <v>47</v>
      </c>
      <c r="Q1545" s="2">
        <f t="shared" si="24"/>
        <v>1</v>
      </c>
    </row>
    <row r="1546" spans="1:17" x14ac:dyDescent="0.25">
      <c r="A1546" s="2" t="s">
        <v>4217</v>
      </c>
      <c r="B1546" s="2" t="s">
        <v>4218</v>
      </c>
      <c r="C1546" s="2" t="s">
        <v>19</v>
      </c>
      <c r="D1546" s="2" t="s">
        <v>105</v>
      </c>
      <c r="E1546" s="2" t="s">
        <v>205</v>
      </c>
      <c r="F1546" s="2">
        <v>679.96</v>
      </c>
      <c r="G1546" s="2" t="s">
        <v>206</v>
      </c>
      <c r="H1546" s="2">
        <v>80</v>
      </c>
      <c r="I1546" s="2">
        <v>543.96800000000007</v>
      </c>
      <c r="J1546" s="2" t="s">
        <v>101</v>
      </c>
      <c r="K1546" s="20">
        <v>45180</v>
      </c>
      <c r="L1546" s="20">
        <v>45185</v>
      </c>
      <c r="M1546" s="20">
        <v>45185</v>
      </c>
      <c r="N1546" s="2" t="s">
        <v>238</v>
      </c>
      <c r="O1546" s="2" t="s">
        <v>33</v>
      </c>
      <c r="P1546" s="2" t="s">
        <v>34</v>
      </c>
      <c r="Q1546" s="2">
        <f t="shared" si="24"/>
        <v>1</v>
      </c>
    </row>
    <row r="1547" spans="1:17" x14ac:dyDescent="0.25">
      <c r="A1547" s="2" t="s">
        <v>4219</v>
      </c>
      <c r="B1547" s="2" t="s">
        <v>4220</v>
      </c>
      <c r="C1547" s="2" t="s">
        <v>30</v>
      </c>
      <c r="D1547" s="2" t="s">
        <v>38</v>
      </c>
      <c r="E1547" s="2" t="s">
        <v>21</v>
      </c>
      <c r="F1547" s="2">
        <v>33.216000000000001</v>
      </c>
      <c r="G1547" s="2" t="s">
        <v>22</v>
      </c>
      <c r="H1547" s="2">
        <v>0</v>
      </c>
      <c r="I1547" s="2">
        <v>0</v>
      </c>
      <c r="J1547" s="2" t="s">
        <v>101</v>
      </c>
      <c r="K1547" s="20">
        <v>45181</v>
      </c>
      <c r="L1547" s="20">
        <v>45183</v>
      </c>
      <c r="M1547" s="20">
        <v>45183</v>
      </c>
      <c r="N1547" s="2" t="s">
        <v>53</v>
      </c>
      <c r="O1547" s="2" t="s">
        <v>46</v>
      </c>
      <c r="P1547" s="2" t="s">
        <v>47</v>
      </c>
      <c r="Q1547" s="2">
        <f t="shared" si="24"/>
        <v>1</v>
      </c>
    </row>
    <row r="1548" spans="1:17" x14ac:dyDescent="0.25">
      <c r="A1548" s="2" t="s">
        <v>4222</v>
      </c>
      <c r="B1548" s="2" t="s">
        <v>4223</v>
      </c>
      <c r="C1548" s="2" t="s">
        <v>30</v>
      </c>
      <c r="D1548" s="2" t="s">
        <v>31</v>
      </c>
      <c r="E1548" s="2" t="s">
        <v>212</v>
      </c>
      <c r="F1548" s="2">
        <v>35.520000000000003</v>
      </c>
      <c r="G1548" s="2" t="s">
        <v>206</v>
      </c>
      <c r="H1548" s="2">
        <v>100</v>
      </c>
      <c r="I1548" s="2">
        <v>35.520000000000003</v>
      </c>
      <c r="J1548" s="2" t="s">
        <v>101</v>
      </c>
      <c r="K1548" s="20">
        <v>45182</v>
      </c>
      <c r="L1548" s="20">
        <v>45188</v>
      </c>
      <c r="M1548" s="20">
        <v>45188</v>
      </c>
      <c r="N1548" s="2" t="s">
        <v>248</v>
      </c>
      <c r="O1548" s="2" t="s">
        <v>54</v>
      </c>
      <c r="P1548" s="2" t="s">
        <v>26</v>
      </c>
      <c r="Q1548" s="2">
        <f t="shared" si="24"/>
        <v>1</v>
      </c>
    </row>
    <row r="1549" spans="1:17" x14ac:dyDescent="0.25">
      <c r="A1549" s="2" t="s">
        <v>4224</v>
      </c>
      <c r="B1549" s="2" t="s">
        <v>4225</v>
      </c>
      <c r="C1549" s="2" t="s">
        <v>19</v>
      </c>
      <c r="D1549" s="2" t="s">
        <v>211</v>
      </c>
      <c r="E1549" s="2" t="s">
        <v>205</v>
      </c>
      <c r="F1549" s="2">
        <v>6.0960000000000001</v>
      </c>
      <c r="G1549" s="2" t="s">
        <v>206</v>
      </c>
      <c r="H1549" s="2">
        <v>80</v>
      </c>
      <c r="I1549" s="2">
        <v>4.8768000000000002</v>
      </c>
      <c r="J1549" s="2" t="s">
        <v>101</v>
      </c>
      <c r="K1549" s="20">
        <v>45185</v>
      </c>
      <c r="L1549" s="20">
        <v>45190</v>
      </c>
      <c r="M1549" s="20">
        <v>45190</v>
      </c>
      <c r="N1549" s="2" t="s">
        <v>207</v>
      </c>
      <c r="O1549" s="2" t="s">
        <v>146</v>
      </c>
      <c r="P1549" s="2" t="s">
        <v>73</v>
      </c>
      <c r="Q1549" s="2">
        <f t="shared" si="24"/>
        <v>1</v>
      </c>
    </row>
    <row r="1550" spans="1:17" x14ac:dyDescent="0.25">
      <c r="A1550" s="2" t="s">
        <v>4226</v>
      </c>
      <c r="B1550" s="2" t="s">
        <v>4227</v>
      </c>
      <c r="C1550" s="2" t="s">
        <v>19</v>
      </c>
      <c r="D1550" s="2" t="s">
        <v>51</v>
      </c>
      <c r="E1550" s="2" t="s">
        <v>205</v>
      </c>
      <c r="F1550" s="2">
        <v>1114.2719999999999</v>
      </c>
      <c r="G1550" s="2" t="s">
        <v>206</v>
      </c>
      <c r="H1550" s="2">
        <v>80</v>
      </c>
      <c r="I1550" s="2">
        <v>891.41759999999999</v>
      </c>
      <c r="J1550" s="2" t="s">
        <v>101</v>
      </c>
      <c r="K1550" s="20">
        <v>45185</v>
      </c>
      <c r="L1550" s="20">
        <v>45190</v>
      </c>
      <c r="M1550" s="20">
        <v>45190</v>
      </c>
      <c r="N1550" s="2" t="s">
        <v>238</v>
      </c>
      <c r="O1550" s="2" t="s">
        <v>25</v>
      </c>
      <c r="P1550" s="2" t="s">
        <v>26</v>
      </c>
      <c r="Q1550" s="2">
        <f t="shared" si="24"/>
        <v>1</v>
      </c>
    </row>
    <row r="1551" spans="1:17" x14ac:dyDescent="0.25">
      <c r="A1551" s="2" t="s">
        <v>4228</v>
      </c>
      <c r="B1551" s="2" t="s">
        <v>4229</v>
      </c>
      <c r="C1551" s="2" t="s">
        <v>30</v>
      </c>
      <c r="D1551" s="2" t="s">
        <v>96</v>
      </c>
      <c r="E1551" s="2" t="s">
        <v>205</v>
      </c>
      <c r="F1551" s="2">
        <v>51.84</v>
      </c>
      <c r="G1551" s="2" t="s">
        <v>206</v>
      </c>
      <c r="H1551" s="2">
        <v>80</v>
      </c>
      <c r="I1551" s="2">
        <v>41.472000000000008</v>
      </c>
      <c r="J1551" s="2" t="s">
        <v>101</v>
      </c>
      <c r="K1551" s="20">
        <v>45187</v>
      </c>
      <c r="L1551" s="20">
        <v>45192</v>
      </c>
      <c r="M1551" s="20">
        <v>45192</v>
      </c>
      <c r="N1551" s="2" t="s">
        <v>238</v>
      </c>
      <c r="O1551" s="2" t="s">
        <v>146</v>
      </c>
      <c r="P1551" s="2" t="s">
        <v>73</v>
      </c>
      <c r="Q1551" s="2">
        <f t="shared" si="24"/>
        <v>1</v>
      </c>
    </row>
    <row r="1552" spans="1:17" x14ac:dyDescent="0.25">
      <c r="A1552" s="2" t="s">
        <v>4230</v>
      </c>
      <c r="B1552" s="2" t="s">
        <v>4231</v>
      </c>
      <c r="C1552" s="2" t="s">
        <v>19</v>
      </c>
      <c r="D1552" s="2" t="s">
        <v>345</v>
      </c>
      <c r="E1552" s="2" t="s">
        <v>205</v>
      </c>
      <c r="F1552" s="2">
        <v>46.53</v>
      </c>
      <c r="G1552" s="2" t="s">
        <v>206</v>
      </c>
      <c r="H1552" s="2">
        <v>80</v>
      </c>
      <c r="I1552" s="2">
        <v>37.224000000000004</v>
      </c>
      <c r="J1552" s="2" t="s">
        <v>101</v>
      </c>
      <c r="K1552" s="20">
        <v>45188</v>
      </c>
      <c r="L1552" s="20">
        <v>45193</v>
      </c>
      <c r="M1552" s="20">
        <v>45193</v>
      </c>
      <c r="N1552" s="2" t="s">
        <v>220</v>
      </c>
      <c r="O1552" s="2" t="s">
        <v>82</v>
      </c>
      <c r="P1552" s="2" t="s">
        <v>47</v>
      </c>
      <c r="Q1552" s="2">
        <f t="shared" si="24"/>
        <v>1</v>
      </c>
    </row>
    <row r="1553" spans="1:17" x14ac:dyDescent="0.25">
      <c r="A1553" s="2" t="s">
        <v>4233</v>
      </c>
      <c r="B1553" s="2" t="s">
        <v>4234</v>
      </c>
      <c r="C1553" s="2" t="s">
        <v>19</v>
      </c>
      <c r="D1553" s="2" t="s">
        <v>115</v>
      </c>
      <c r="E1553" s="2" t="s">
        <v>205</v>
      </c>
      <c r="F1553" s="2">
        <v>18.920000000000002</v>
      </c>
      <c r="G1553" s="2" t="s">
        <v>206</v>
      </c>
      <c r="H1553" s="2">
        <v>80</v>
      </c>
      <c r="I1553" s="2">
        <v>15.136000000000003</v>
      </c>
      <c r="J1553" s="2" t="s">
        <v>101</v>
      </c>
      <c r="K1553" s="20">
        <v>45188</v>
      </c>
      <c r="L1553" s="20">
        <v>45192</v>
      </c>
      <c r="M1553" s="20">
        <v>45192</v>
      </c>
      <c r="N1553" s="2" t="s">
        <v>238</v>
      </c>
      <c r="O1553" s="2" t="s">
        <v>82</v>
      </c>
      <c r="P1553" s="2" t="s">
        <v>47</v>
      </c>
      <c r="Q1553" s="2">
        <f t="shared" si="24"/>
        <v>1</v>
      </c>
    </row>
    <row r="1554" spans="1:17" x14ac:dyDescent="0.25">
      <c r="A1554" s="2" t="s">
        <v>4235</v>
      </c>
      <c r="B1554" s="2" t="s">
        <v>4236</v>
      </c>
      <c r="C1554" s="2" t="s">
        <v>30</v>
      </c>
      <c r="D1554" s="2" t="s">
        <v>154</v>
      </c>
      <c r="E1554" s="2" t="s">
        <v>212</v>
      </c>
      <c r="F1554" s="2">
        <v>11.84</v>
      </c>
      <c r="G1554" s="2" t="s">
        <v>206</v>
      </c>
      <c r="H1554" s="2">
        <v>100</v>
      </c>
      <c r="I1554" s="2">
        <v>11.84</v>
      </c>
      <c r="J1554" s="2" t="s">
        <v>101</v>
      </c>
      <c r="K1554" s="20">
        <v>45190</v>
      </c>
      <c r="L1554" s="20">
        <v>45194</v>
      </c>
      <c r="M1554" s="20">
        <v>45194</v>
      </c>
      <c r="N1554" s="2" t="s">
        <v>213</v>
      </c>
      <c r="O1554" s="2" t="s">
        <v>72</v>
      </c>
      <c r="P1554" s="2" t="s">
        <v>73</v>
      </c>
      <c r="Q1554" s="2">
        <f t="shared" si="24"/>
        <v>1</v>
      </c>
    </row>
    <row r="1555" spans="1:17" x14ac:dyDescent="0.25">
      <c r="A1555" s="2" t="s">
        <v>4237</v>
      </c>
      <c r="B1555" s="2" t="s">
        <v>4238</v>
      </c>
      <c r="C1555" s="2" t="s">
        <v>30</v>
      </c>
      <c r="D1555" s="2" t="s">
        <v>31</v>
      </c>
      <c r="E1555" s="2" t="s">
        <v>205</v>
      </c>
      <c r="F1555" s="2">
        <v>89.97</v>
      </c>
      <c r="G1555" s="2" t="s">
        <v>206</v>
      </c>
      <c r="H1555" s="2">
        <v>80</v>
      </c>
      <c r="I1555" s="2">
        <v>71.975999999999999</v>
      </c>
      <c r="J1555" s="2" t="s">
        <v>101</v>
      </c>
      <c r="K1555" s="20">
        <v>45192</v>
      </c>
      <c r="L1555" s="20">
        <v>45199</v>
      </c>
      <c r="M1555" s="20">
        <v>45199</v>
      </c>
      <c r="N1555" s="2" t="s">
        <v>238</v>
      </c>
      <c r="O1555" s="2" t="s">
        <v>97</v>
      </c>
      <c r="P1555" s="2" t="s">
        <v>68</v>
      </c>
      <c r="Q1555" s="2">
        <f t="shared" si="24"/>
        <v>1</v>
      </c>
    </row>
    <row r="1556" spans="1:17" x14ac:dyDescent="0.25">
      <c r="A1556" s="2" t="s">
        <v>4240</v>
      </c>
      <c r="B1556" s="2" t="s">
        <v>4241</v>
      </c>
      <c r="C1556" s="2" t="s">
        <v>30</v>
      </c>
      <c r="D1556" s="2" t="s">
        <v>139</v>
      </c>
      <c r="E1556" s="2" t="s">
        <v>205</v>
      </c>
      <c r="F1556" s="2">
        <v>44.688000000000002</v>
      </c>
      <c r="G1556" s="2" t="s">
        <v>206</v>
      </c>
      <c r="H1556" s="2">
        <v>80</v>
      </c>
      <c r="I1556" s="2">
        <v>35.750400000000006</v>
      </c>
      <c r="J1556" s="2" t="s">
        <v>101</v>
      </c>
      <c r="K1556" s="20">
        <v>45192</v>
      </c>
      <c r="L1556" s="20">
        <v>45198</v>
      </c>
      <c r="M1556" s="20">
        <v>45198</v>
      </c>
      <c r="N1556" s="2" t="s">
        <v>213</v>
      </c>
      <c r="O1556" s="2" t="s">
        <v>146</v>
      </c>
      <c r="P1556" s="2" t="s">
        <v>73</v>
      </c>
      <c r="Q1556" s="2">
        <f t="shared" si="24"/>
        <v>1</v>
      </c>
    </row>
    <row r="1557" spans="1:17" x14ac:dyDescent="0.25">
      <c r="A1557" s="2" t="s">
        <v>4242</v>
      </c>
      <c r="B1557" s="2" t="s">
        <v>4243</v>
      </c>
      <c r="C1557" s="2" t="s">
        <v>19</v>
      </c>
      <c r="D1557" s="2" t="s">
        <v>51</v>
      </c>
      <c r="E1557" s="2" t="s">
        <v>212</v>
      </c>
      <c r="F1557" s="2">
        <v>8.82</v>
      </c>
      <c r="G1557" s="2" t="s">
        <v>206</v>
      </c>
      <c r="H1557" s="2">
        <v>100</v>
      </c>
      <c r="I1557" s="2">
        <v>8.82</v>
      </c>
      <c r="J1557" s="2" t="s">
        <v>101</v>
      </c>
      <c r="K1557" s="20">
        <v>45192</v>
      </c>
      <c r="L1557" s="20">
        <v>45196</v>
      </c>
      <c r="M1557" s="20">
        <v>45196</v>
      </c>
      <c r="N1557" s="2" t="s">
        <v>248</v>
      </c>
      <c r="O1557" s="2" t="s">
        <v>40</v>
      </c>
      <c r="P1557" s="2" t="s">
        <v>34</v>
      </c>
      <c r="Q1557" s="2">
        <f t="shared" si="24"/>
        <v>1</v>
      </c>
    </row>
    <row r="1558" spans="1:17" x14ac:dyDescent="0.25">
      <c r="A1558" s="2" t="s">
        <v>4244</v>
      </c>
      <c r="B1558" s="2" t="s">
        <v>4245</v>
      </c>
      <c r="C1558" s="2" t="s">
        <v>19</v>
      </c>
      <c r="D1558" s="2" t="s">
        <v>81</v>
      </c>
      <c r="E1558" s="2" t="s">
        <v>212</v>
      </c>
      <c r="F1558" s="2">
        <v>70.56</v>
      </c>
      <c r="G1558" s="2" t="s">
        <v>206</v>
      </c>
      <c r="H1558" s="2">
        <v>100</v>
      </c>
      <c r="I1558" s="2">
        <v>70.56</v>
      </c>
      <c r="J1558" s="2" t="s">
        <v>101</v>
      </c>
      <c r="K1558" s="20">
        <v>45193</v>
      </c>
      <c r="L1558" s="20">
        <v>45198</v>
      </c>
      <c r="M1558" s="20">
        <v>45198</v>
      </c>
      <c r="N1558" s="2" t="s">
        <v>248</v>
      </c>
      <c r="O1558" s="2" t="s">
        <v>33</v>
      </c>
      <c r="P1558" s="2" t="s">
        <v>34</v>
      </c>
      <c r="Q1558" s="2">
        <f t="shared" si="24"/>
        <v>1</v>
      </c>
    </row>
    <row r="1559" spans="1:17" x14ac:dyDescent="0.25">
      <c r="A1559" s="2" t="s">
        <v>4246</v>
      </c>
      <c r="B1559" s="2" t="s">
        <v>4247</v>
      </c>
      <c r="C1559" s="2" t="s">
        <v>30</v>
      </c>
      <c r="D1559" s="2" t="s">
        <v>44</v>
      </c>
      <c r="E1559" s="2" t="s">
        <v>205</v>
      </c>
      <c r="F1559" s="2">
        <v>20.72</v>
      </c>
      <c r="G1559" s="2" t="s">
        <v>206</v>
      </c>
      <c r="H1559" s="2">
        <v>80</v>
      </c>
      <c r="I1559" s="2">
        <v>16.576000000000001</v>
      </c>
      <c r="J1559" s="2" t="s">
        <v>101</v>
      </c>
      <c r="K1559" s="20">
        <v>45194</v>
      </c>
      <c r="L1559" s="20">
        <v>45201</v>
      </c>
      <c r="M1559" s="20">
        <v>45201</v>
      </c>
      <c r="N1559" s="2" t="s">
        <v>234</v>
      </c>
      <c r="O1559" s="2" t="s">
        <v>82</v>
      </c>
      <c r="P1559" s="2" t="s">
        <v>47</v>
      </c>
      <c r="Q1559" s="2">
        <f t="shared" si="24"/>
        <v>1</v>
      </c>
    </row>
    <row r="1560" spans="1:17" x14ac:dyDescent="0.25">
      <c r="A1560" s="2" t="s">
        <v>4248</v>
      </c>
      <c r="B1560" s="2" t="s">
        <v>4249</v>
      </c>
      <c r="C1560" s="2" t="s">
        <v>19</v>
      </c>
      <c r="D1560" s="2" t="s">
        <v>51</v>
      </c>
      <c r="E1560" s="2" t="s">
        <v>212</v>
      </c>
      <c r="F1560" s="2">
        <v>474.43</v>
      </c>
      <c r="G1560" s="2" t="s">
        <v>206</v>
      </c>
      <c r="H1560" s="2">
        <v>100</v>
      </c>
      <c r="I1560" s="2">
        <v>474.43</v>
      </c>
      <c r="J1560" s="2" t="s">
        <v>101</v>
      </c>
      <c r="K1560" s="20">
        <v>45196</v>
      </c>
      <c r="L1560" s="20">
        <v>45197</v>
      </c>
      <c r="M1560" s="20">
        <v>45197</v>
      </c>
      <c r="N1560" s="2" t="s">
        <v>207</v>
      </c>
      <c r="O1560" s="2" t="s">
        <v>54</v>
      </c>
      <c r="P1560" s="2" t="s">
        <v>26</v>
      </c>
      <c r="Q1560" s="2">
        <f t="shared" si="24"/>
        <v>1</v>
      </c>
    </row>
    <row r="1561" spans="1:17" x14ac:dyDescent="0.25">
      <c r="A1561" s="2" t="s">
        <v>4250</v>
      </c>
      <c r="B1561" s="2" t="s">
        <v>4251</v>
      </c>
      <c r="C1561" s="2" t="s">
        <v>19</v>
      </c>
      <c r="D1561" s="2" t="s">
        <v>44</v>
      </c>
      <c r="E1561" s="2" t="s">
        <v>205</v>
      </c>
      <c r="F1561" s="2">
        <v>429.6</v>
      </c>
      <c r="G1561" s="2" t="s">
        <v>206</v>
      </c>
      <c r="H1561" s="2">
        <v>80</v>
      </c>
      <c r="I1561" s="2">
        <v>343.68000000000006</v>
      </c>
      <c r="J1561" s="2" t="s">
        <v>101</v>
      </c>
      <c r="K1561" s="20">
        <v>45199</v>
      </c>
      <c r="L1561" s="20">
        <v>45203</v>
      </c>
      <c r="M1561" s="20">
        <v>45203</v>
      </c>
      <c r="N1561" s="2" t="s">
        <v>220</v>
      </c>
      <c r="O1561" s="2" t="s">
        <v>54</v>
      </c>
      <c r="P1561" s="2" t="s">
        <v>26</v>
      </c>
      <c r="Q1561" s="2">
        <f t="shared" si="24"/>
        <v>1</v>
      </c>
    </row>
    <row r="1562" spans="1:17" x14ac:dyDescent="0.25">
      <c r="A1562" s="2" t="s">
        <v>4253</v>
      </c>
      <c r="B1562" s="2" t="s">
        <v>4254</v>
      </c>
      <c r="C1562" s="2" t="s">
        <v>30</v>
      </c>
      <c r="D1562" s="2" t="s">
        <v>115</v>
      </c>
      <c r="E1562" s="2" t="s">
        <v>212</v>
      </c>
      <c r="F1562" s="2">
        <v>24.2</v>
      </c>
      <c r="G1562" s="2" t="s">
        <v>206</v>
      </c>
      <c r="H1562" s="2">
        <v>100</v>
      </c>
      <c r="I1562" s="2">
        <v>24.2</v>
      </c>
      <c r="J1562" s="2" t="s">
        <v>101</v>
      </c>
      <c r="K1562" s="20">
        <v>45199</v>
      </c>
      <c r="L1562" s="20">
        <v>45203</v>
      </c>
      <c r="M1562" s="20">
        <v>45203</v>
      </c>
      <c r="N1562" s="2" t="s">
        <v>248</v>
      </c>
      <c r="O1562" s="2" t="s">
        <v>72</v>
      </c>
      <c r="P1562" s="2" t="s">
        <v>73</v>
      </c>
      <c r="Q1562" s="2">
        <f t="shared" si="24"/>
        <v>1</v>
      </c>
    </row>
    <row r="1563" spans="1:17" x14ac:dyDescent="0.25">
      <c r="A1563" s="2" t="s">
        <v>4255</v>
      </c>
      <c r="B1563" s="2" t="s">
        <v>4256</v>
      </c>
      <c r="C1563" s="2" t="s">
        <v>19</v>
      </c>
      <c r="D1563" s="2" t="s">
        <v>20</v>
      </c>
      <c r="E1563" s="2" t="s">
        <v>212</v>
      </c>
      <c r="F1563" s="2">
        <v>110.352</v>
      </c>
      <c r="G1563" s="2" t="s">
        <v>206</v>
      </c>
      <c r="H1563" s="2">
        <v>100</v>
      </c>
      <c r="I1563" s="2">
        <v>110.352</v>
      </c>
      <c r="J1563" s="2" t="s">
        <v>101</v>
      </c>
      <c r="K1563" s="20">
        <v>45202</v>
      </c>
      <c r="L1563" s="20">
        <v>45206</v>
      </c>
      <c r="M1563" s="20">
        <v>45206</v>
      </c>
      <c r="N1563" s="2" t="s">
        <v>220</v>
      </c>
      <c r="O1563" s="2" t="s">
        <v>25</v>
      </c>
      <c r="P1563" s="2" t="s">
        <v>26</v>
      </c>
      <c r="Q1563" s="2">
        <f t="shared" si="24"/>
        <v>1</v>
      </c>
    </row>
    <row r="1564" spans="1:17" x14ac:dyDescent="0.25">
      <c r="A1564" s="2" t="s">
        <v>4258</v>
      </c>
      <c r="B1564" s="2" t="s">
        <v>4259</v>
      </c>
      <c r="C1564" s="2" t="s">
        <v>30</v>
      </c>
      <c r="D1564" s="2" t="s">
        <v>139</v>
      </c>
      <c r="E1564" s="2" t="s">
        <v>212</v>
      </c>
      <c r="F1564" s="2">
        <v>12.96</v>
      </c>
      <c r="G1564" s="2" t="s">
        <v>206</v>
      </c>
      <c r="H1564" s="2">
        <v>100</v>
      </c>
      <c r="I1564" s="2">
        <v>12.96</v>
      </c>
      <c r="J1564" s="2" t="s">
        <v>101</v>
      </c>
      <c r="K1564" s="20">
        <v>45204</v>
      </c>
      <c r="L1564" s="20">
        <v>45204</v>
      </c>
      <c r="M1564" s="20">
        <v>45204</v>
      </c>
      <c r="N1564" s="2" t="s">
        <v>248</v>
      </c>
      <c r="O1564" s="2" t="s">
        <v>46</v>
      </c>
      <c r="P1564" s="2" t="s">
        <v>47</v>
      </c>
      <c r="Q1564" s="2">
        <f t="shared" si="24"/>
        <v>1</v>
      </c>
    </row>
    <row r="1565" spans="1:17" x14ac:dyDescent="0.25">
      <c r="A1565" s="2" t="s">
        <v>4261</v>
      </c>
      <c r="B1565" s="2" t="s">
        <v>4262</v>
      </c>
      <c r="C1565" s="2" t="s">
        <v>19</v>
      </c>
      <c r="D1565" s="2" t="s">
        <v>31</v>
      </c>
      <c r="E1565" s="2" t="s">
        <v>205</v>
      </c>
      <c r="F1565" s="2">
        <v>46.8</v>
      </c>
      <c r="G1565" s="2" t="s">
        <v>206</v>
      </c>
      <c r="H1565" s="2">
        <v>80</v>
      </c>
      <c r="I1565" s="2">
        <v>37.44</v>
      </c>
      <c r="J1565" s="2" t="s">
        <v>101</v>
      </c>
      <c r="K1565" s="20">
        <v>45207</v>
      </c>
      <c r="L1565" s="20">
        <v>45213</v>
      </c>
      <c r="M1565" s="20">
        <v>45213</v>
      </c>
      <c r="N1565" s="2" t="s">
        <v>248</v>
      </c>
      <c r="O1565" s="2" t="s">
        <v>72</v>
      </c>
      <c r="P1565" s="2" t="s">
        <v>73</v>
      </c>
      <c r="Q1565" s="2">
        <f t="shared" si="24"/>
        <v>1</v>
      </c>
    </row>
    <row r="1566" spans="1:17" x14ac:dyDescent="0.25">
      <c r="A1566" s="2" t="s">
        <v>4264</v>
      </c>
      <c r="B1566" s="2" t="s">
        <v>4265</v>
      </c>
      <c r="C1566" s="2" t="s">
        <v>30</v>
      </c>
      <c r="D1566" s="2" t="s">
        <v>38</v>
      </c>
      <c r="E1566" s="2" t="s">
        <v>205</v>
      </c>
      <c r="F1566" s="2">
        <v>5.22</v>
      </c>
      <c r="G1566" s="2" t="s">
        <v>206</v>
      </c>
      <c r="H1566" s="2">
        <v>80</v>
      </c>
      <c r="I1566" s="2">
        <v>4.1760000000000002</v>
      </c>
      <c r="J1566" s="2" t="s">
        <v>101</v>
      </c>
      <c r="K1566" s="20">
        <v>45207</v>
      </c>
      <c r="L1566" s="20">
        <v>45211</v>
      </c>
      <c r="M1566" s="20">
        <v>45211</v>
      </c>
      <c r="N1566" s="2" t="s">
        <v>234</v>
      </c>
      <c r="O1566" s="2" t="s">
        <v>146</v>
      </c>
      <c r="P1566" s="2" t="s">
        <v>73</v>
      </c>
      <c r="Q1566" s="2">
        <f t="shared" si="24"/>
        <v>1</v>
      </c>
    </row>
    <row r="1567" spans="1:17" x14ac:dyDescent="0.25">
      <c r="A1567" s="2" t="s">
        <v>4266</v>
      </c>
      <c r="B1567" s="2" t="s">
        <v>4267</v>
      </c>
      <c r="C1567" s="2" t="s">
        <v>19</v>
      </c>
      <c r="D1567" s="2" t="s">
        <v>62</v>
      </c>
      <c r="E1567" s="2" t="s">
        <v>212</v>
      </c>
      <c r="F1567" s="2">
        <v>1640.69999999999</v>
      </c>
      <c r="G1567" s="2" t="s">
        <v>206</v>
      </c>
      <c r="H1567" s="2">
        <v>100</v>
      </c>
      <c r="I1567" s="2">
        <v>1640.69999999999</v>
      </c>
      <c r="J1567" s="2" t="s">
        <v>101</v>
      </c>
      <c r="K1567" s="20">
        <v>45208</v>
      </c>
      <c r="L1567" s="20">
        <v>45214</v>
      </c>
      <c r="M1567" s="20">
        <v>45214</v>
      </c>
      <c r="N1567" s="2" t="s">
        <v>234</v>
      </c>
      <c r="O1567" s="2" t="s">
        <v>54</v>
      </c>
      <c r="P1567" s="2" t="s">
        <v>26</v>
      </c>
      <c r="Q1567" s="2">
        <f t="shared" si="24"/>
        <v>1</v>
      </c>
    </row>
    <row r="1568" spans="1:17" x14ac:dyDescent="0.25">
      <c r="A1568" s="2" t="s">
        <v>4269</v>
      </c>
      <c r="B1568" s="2" t="s">
        <v>4270</v>
      </c>
      <c r="C1568" s="2" t="s">
        <v>19</v>
      </c>
      <c r="D1568" s="2" t="s">
        <v>86</v>
      </c>
      <c r="E1568" s="2" t="s">
        <v>212</v>
      </c>
      <c r="F1568" s="2">
        <v>203.983</v>
      </c>
      <c r="G1568" s="2" t="s">
        <v>206</v>
      </c>
      <c r="H1568" s="2">
        <v>100</v>
      </c>
      <c r="I1568" s="2">
        <v>203.983</v>
      </c>
      <c r="J1568" s="2" t="s">
        <v>101</v>
      </c>
      <c r="K1568" s="20">
        <v>45216</v>
      </c>
      <c r="L1568" s="20">
        <v>45220</v>
      </c>
      <c r="M1568" s="20">
        <v>45220</v>
      </c>
      <c r="N1568" s="2" t="s">
        <v>234</v>
      </c>
      <c r="O1568" s="2" t="s">
        <v>146</v>
      </c>
      <c r="P1568" s="2" t="s">
        <v>73</v>
      </c>
      <c r="Q1568" s="2">
        <f t="shared" si="24"/>
        <v>1</v>
      </c>
    </row>
    <row r="1569" spans="1:17" x14ac:dyDescent="0.25">
      <c r="A1569" s="2" t="s">
        <v>4272</v>
      </c>
      <c r="B1569" s="2" t="s">
        <v>4273</v>
      </c>
      <c r="C1569" s="2" t="s">
        <v>19</v>
      </c>
      <c r="D1569" s="2" t="s">
        <v>96</v>
      </c>
      <c r="E1569" s="2" t="s">
        <v>205</v>
      </c>
      <c r="F1569" s="2">
        <v>109.53</v>
      </c>
      <c r="G1569" s="2" t="s">
        <v>206</v>
      </c>
      <c r="H1569" s="2">
        <v>80</v>
      </c>
      <c r="I1569" s="2">
        <v>87.624000000000009</v>
      </c>
      <c r="J1569" s="2" t="s">
        <v>101</v>
      </c>
      <c r="K1569" s="20">
        <v>45220</v>
      </c>
      <c r="L1569" s="20">
        <v>45226</v>
      </c>
      <c r="M1569" s="20">
        <v>45226</v>
      </c>
      <c r="N1569" s="2" t="s">
        <v>248</v>
      </c>
      <c r="O1569" s="2" t="s">
        <v>33</v>
      </c>
      <c r="P1569" s="2" t="s">
        <v>34</v>
      </c>
      <c r="Q1569" s="2">
        <f t="shared" si="24"/>
        <v>1</v>
      </c>
    </row>
    <row r="1570" spans="1:17" x14ac:dyDescent="0.25">
      <c r="A1570" s="2" t="s">
        <v>4274</v>
      </c>
      <c r="B1570" s="2" t="s">
        <v>4275</v>
      </c>
      <c r="C1570" s="2" t="s">
        <v>19</v>
      </c>
      <c r="D1570" s="2" t="s">
        <v>62</v>
      </c>
      <c r="E1570" s="2" t="s">
        <v>212</v>
      </c>
      <c r="F1570" s="2">
        <v>11.76</v>
      </c>
      <c r="G1570" s="2" t="s">
        <v>206</v>
      </c>
      <c r="H1570" s="2">
        <v>100</v>
      </c>
      <c r="I1570" s="2">
        <v>11.76</v>
      </c>
      <c r="J1570" s="2" t="s">
        <v>101</v>
      </c>
      <c r="K1570" s="20">
        <v>45220</v>
      </c>
      <c r="L1570" s="20">
        <v>45222</v>
      </c>
      <c r="M1570" s="20">
        <v>45222</v>
      </c>
      <c r="N1570" s="2" t="s">
        <v>213</v>
      </c>
      <c r="O1570" s="2" t="s">
        <v>146</v>
      </c>
      <c r="P1570" s="2" t="s">
        <v>73</v>
      </c>
      <c r="Q1570" s="2">
        <f t="shared" si="24"/>
        <v>1</v>
      </c>
    </row>
    <row r="1571" spans="1:17" x14ac:dyDescent="0.25">
      <c r="A1571" s="2" t="s">
        <v>4276</v>
      </c>
      <c r="B1571" s="2" t="s">
        <v>4277</v>
      </c>
      <c r="C1571" s="2" t="s">
        <v>30</v>
      </c>
      <c r="D1571" s="2" t="s">
        <v>31</v>
      </c>
      <c r="E1571" s="2" t="s">
        <v>212</v>
      </c>
      <c r="F1571" s="2">
        <v>166.45</v>
      </c>
      <c r="G1571" s="2" t="s">
        <v>206</v>
      </c>
      <c r="H1571" s="2">
        <v>100</v>
      </c>
      <c r="I1571" s="2">
        <v>166.45</v>
      </c>
      <c r="J1571" s="2" t="s">
        <v>101</v>
      </c>
      <c r="K1571" s="20">
        <v>45221</v>
      </c>
      <c r="L1571" s="20">
        <v>45222</v>
      </c>
      <c r="M1571" s="20">
        <v>45222</v>
      </c>
      <c r="N1571" s="2" t="s">
        <v>248</v>
      </c>
      <c r="O1571" s="2" t="s">
        <v>46</v>
      </c>
      <c r="P1571" s="2" t="s">
        <v>47</v>
      </c>
      <c r="Q1571" s="2">
        <f t="shared" si="24"/>
        <v>1</v>
      </c>
    </row>
    <row r="1572" spans="1:17" x14ac:dyDescent="0.25">
      <c r="A1572" s="2" t="s">
        <v>4278</v>
      </c>
      <c r="B1572" s="2" t="s">
        <v>4279</v>
      </c>
      <c r="C1572" s="2" t="s">
        <v>30</v>
      </c>
      <c r="D1572" s="2" t="s">
        <v>164</v>
      </c>
      <c r="E1572" s="2" t="s">
        <v>212</v>
      </c>
      <c r="F1572" s="2">
        <v>1319.8</v>
      </c>
      <c r="G1572" s="2" t="s">
        <v>206</v>
      </c>
      <c r="H1572" s="2">
        <v>100</v>
      </c>
      <c r="I1572" s="2">
        <v>1319.8</v>
      </c>
      <c r="J1572" s="2" t="s">
        <v>101</v>
      </c>
      <c r="K1572" s="20">
        <v>45221</v>
      </c>
      <c r="L1572" s="20">
        <v>45224</v>
      </c>
      <c r="M1572" s="20">
        <v>45224</v>
      </c>
      <c r="N1572" s="2" t="s">
        <v>207</v>
      </c>
      <c r="O1572" s="2" t="s">
        <v>97</v>
      </c>
      <c r="P1572" s="2" t="s">
        <v>68</v>
      </c>
      <c r="Q1572" s="2">
        <f t="shared" si="24"/>
        <v>1</v>
      </c>
    </row>
    <row r="1573" spans="1:17" x14ac:dyDescent="0.25">
      <c r="A1573" s="2" t="s">
        <v>4280</v>
      </c>
      <c r="B1573" s="2" t="s">
        <v>4281</v>
      </c>
      <c r="C1573" s="2" t="s">
        <v>30</v>
      </c>
      <c r="D1573" s="2" t="s">
        <v>86</v>
      </c>
      <c r="E1573" s="2" t="s">
        <v>212</v>
      </c>
      <c r="F1573" s="2">
        <v>91.96</v>
      </c>
      <c r="G1573" s="2" t="s">
        <v>206</v>
      </c>
      <c r="H1573" s="2">
        <v>100</v>
      </c>
      <c r="I1573" s="2">
        <v>91.96</v>
      </c>
      <c r="J1573" s="2" t="s">
        <v>101</v>
      </c>
      <c r="K1573" s="20">
        <v>45223</v>
      </c>
      <c r="L1573" s="20">
        <v>45229</v>
      </c>
      <c r="M1573" s="20">
        <v>45229</v>
      </c>
      <c r="N1573" s="2" t="s">
        <v>248</v>
      </c>
      <c r="O1573" s="2" t="s">
        <v>46</v>
      </c>
      <c r="P1573" s="2" t="s">
        <v>47</v>
      </c>
      <c r="Q1573" s="2">
        <f t="shared" si="24"/>
        <v>1</v>
      </c>
    </row>
    <row r="1574" spans="1:17" x14ac:dyDescent="0.25">
      <c r="A1574" s="2" t="s">
        <v>4282</v>
      </c>
      <c r="B1574" s="2" t="s">
        <v>4283</v>
      </c>
      <c r="C1574" s="2" t="s">
        <v>30</v>
      </c>
      <c r="D1574" s="2" t="s">
        <v>345</v>
      </c>
      <c r="E1574" s="2" t="s">
        <v>212</v>
      </c>
      <c r="F1574" s="2">
        <v>2.464</v>
      </c>
      <c r="G1574" s="2" t="s">
        <v>206</v>
      </c>
      <c r="H1574" s="2">
        <v>100</v>
      </c>
      <c r="I1574" s="2">
        <v>2.464</v>
      </c>
      <c r="J1574" s="2" t="s">
        <v>101</v>
      </c>
      <c r="K1574" s="20">
        <v>45224</v>
      </c>
      <c r="L1574" s="20">
        <v>45228</v>
      </c>
      <c r="M1574" s="20">
        <v>45228</v>
      </c>
      <c r="N1574" s="2" t="s">
        <v>234</v>
      </c>
      <c r="O1574" s="2" t="s">
        <v>46</v>
      </c>
      <c r="P1574" s="2" t="s">
        <v>47</v>
      </c>
      <c r="Q1574" s="2">
        <f t="shared" si="24"/>
        <v>1</v>
      </c>
    </row>
    <row r="1575" spans="1:17" x14ac:dyDescent="0.25">
      <c r="A1575" s="2" t="s">
        <v>4285</v>
      </c>
      <c r="B1575" s="2" t="s">
        <v>4286</v>
      </c>
      <c r="C1575" s="2" t="s">
        <v>30</v>
      </c>
      <c r="D1575" s="2" t="s">
        <v>211</v>
      </c>
      <c r="E1575" s="2" t="s">
        <v>205</v>
      </c>
      <c r="F1575" s="2">
        <v>15.25</v>
      </c>
      <c r="G1575" s="2" t="s">
        <v>206</v>
      </c>
      <c r="H1575" s="2">
        <v>80</v>
      </c>
      <c r="I1575" s="2">
        <v>12.200000000000001</v>
      </c>
      <c r="J1575" s="2" t="s">
        <v>101</v>
      </c>
      <c r="K1575" s="20">
        <v>45224</v>
      </c>
      <c r="L1575" s="20">
        <v>45224</v>
      </c>
      <c r="M1575" s="20">
        <v>45224</v>
      </c>
      <c r="N1575" s="2" t="s">
        <v>234</v>
      </c>
      <c r="O1575" s="2" t="s">
        <v>46</v>
      </c>
      <c r="P1575" s="2" t="s">
        <v>47</v>
      </c>
      <c r="Q1575" s="2">
        <f t="shared" si="24"/>
        <v>1</v>
      </c>
    </row>
    <row r="1576" spans="1:17" x14ac:dyDescent="0.25">
      <c r="A1576" s="2" t="s">
        <v>4287</v>
      </c>
      <c r="B1576" s="2" t="s">
        <v>4288</v>
      </c>
      <c r="C1576" s="2" t="s">
        <v>30</v>
      </c>
      <c r="D1576" s="2" t="s">
        <v>86</v>
      </c>
      <c r="E1576" s="2" t="s">
        <v>212</v>
      </c>
      <c r="F1576" s="2">
        <v>23.88</v>
      </c>
      <c r="G1576" s="2" t="s">
        <v>206</v>
      </c>
      <c r="H1576" s="2">
        <v>100</v>
      </c>
      <c r="I1576" s="2">
        <v>23.88</v>
      </c>
      <c r="J1576" s="2" t="s">
        <v>101</v>
      </c>
      <c r="K1576" s="20">
        <v>45227</v>
      </c>
      <c r="L1576" s="20">
        <v>45231</v>
      </c>
      <c r="M1576" s="20">
        <v>45231</v>
      </c>
      <c r="N1576" s="2" t="s">
        <v>234</v>
      </c>
      <c r="O1576" s="2" t="s">
        <v>146</v>
      </c>
      <c r="P1576" s="2" t="s">
        <v>73</v>
      </c>
      <c r="Q1576" s="2">
        <f t="shared" si="24"/>
        <v>1</v>
      </c>
    </row>
    <row r="1577" spans="1:17" x14ac:dyDescent="0.25">
      <c r="A1577" s="2" t="s">
        <v>4289</v>
      </c>
      <c r="B1577" s="2" t="s">
        <v>4290</v>
      </c>
      <c r="C1577" s="2" t="s">
        <v>19</v>
      </c>
      <c r="D1577" s="2" t="s">
        <v>51</v>
      </c>
      <c r="E1577" s="2" t="s">
        <v>21</v>
      </c>
      <c r="F1577" s="2">
        <v>100.49600000000001</v>
      </c>
      <c r="G1577" s="2" t="s">
        <v>22</v>
      </c>
      <c r="H1577" s="2">
        <v>0</v>
      </c>
      <c r="I1577" s="2">
        <v>0</v>
      </c>
      <c r="J1577" s="2" t="s">
        <v>101</v>
      </c>
      <c r="K1577" s="20">
        <v>45228</v>
      </c>
      <c r="L1577" s="20">
        <v>45229</v>
      </c>
      <c r="M1577" s="20">
        <v>45229</v>
      </c>
      <c r="N1577" s="2" t="s">
        <v>39</v>
      </c>
      <c r="O1577" s="2" t="s">
        <v>67</v>
      </c>
      <c r="P1577" s="2" t="s">
        <v>68</v>
      </c>
      <c r="Q1577" s="2">
        <f t="shared" si="24"/>
        <v>1</v>
      </c>
    </row>
    <row r="1578" spans="1:17" x14ac:dyDescent="0.25">
      <c r="A1578" s="2" t="s">
        <v>4292</v>
      </c>
      <c r="B1578" s="2" t="s">
        <v>4293</v>
      </c>
      <c r="C1578" s="2" t="s">
        <v>30</v>
      </c>
      <c r="D1578" s="2" t="s">
        <v>96</v>
      </c>
      <c r="E1578" s="2" t="s">
        <v>205</v>
      </c>
      <c r="F1578" s="2">
        <v>776.849999999999</v>
      </c>
      <c r="G1578" s="2" t="s">
        <v>206</v>
      </c>
      <c r="H1578" s="2">
        <v>80</v>
      </c>
      <c r="I1578" s="2">
        <v>621.47999999999922</v>
      </c>
      <c r="J1578" s="2" t="s">
        <v>101</v>
      </c>
      <c r="K1578" s="20">
        <v>45230</v>
      </c>
      <c r="L1578" s="20">
        <v>45235</v>
      </c>
      <c r="M1578" s="20">
        <v>45235</v>
      </c>
      <c r="N1578" s="2" t="s">
        <v>220</v>
      </c>
      <c r="O1578" s="2" t="s">
        <v>40</v>
      </c>
      <c r="P1578" s="2" t="s">
        <v>34</v>
      </c>
      <c r="Q1578" s="2">
        <f t="shared" si="24"/>
        <v>1</v>
      </c>
    </row>
    <row r="1579" spans="1:17" x14ac:dyDescent="0.25">
      <c r="A1579" s="2" t="s">
        <v>4295</v>
      </c>
      <c r="B1579" s="2" t="s">
        <v>4296</v>
      </c>
      <c r="C1579" s="2" t="s">
        <v>30</v>
      </c>
      <c r="D1579" s="2" t="s">
        <v>77</v>
      </c>
      <c r="E1579" s="2" t="s">
        <v>21</v>
      </c>
      <c r="F1579" s="2">
        <v>1489.7239999999999</v>
      </c>
      <c r="G1579" s="2" t="s">
        <v>22</v>
      </c>
      <c r="H1579" s="2">
        <v>0</v>
      </c>
      <c r="I1579" s="2">
        <v>0</v>
      </c>
      <c r="J1579" s="2" t="s">
        <v>101</v>
      </c>
      <c r="K1579" s="20">
        <v>45234</v>
      </c>
      <c r="L1579" s="20">
        <v>45237</v>
      </c>
      <c r="M1579" s="20">
        <v>45237</v>
      </c>
      <c r="N1579" s="2" t="s">
        <v>32</v>
      </c>
      <c r="O1579" s="2" t="s">
        <v>67</v>
      </c>
      <c r="P1579" s="2" t="s">
        <v>68</v>
      </c>
      <c r="Q1579" s="2">
        <f t="shared" si="24"/>
        <v>1</v>
      </c>
    </row>
    <row r="1580" spans="1:17" x14ac:dyDescent="0.25">
      <c r="A1580" s="2" t="s">
        <v>4298</v>
      </c>
      <c r="B1580" s="2" t="s">
        <v>4299</v>
      </c>
      <c r="C1580" s="2" t="s">
        <v>30</v>
      </c>
      <c r="D1580" s="2" t="s">
        <v>164</v>
      </c>
      <c r="E1580" s="2" t="s">
        <v>212</v>
      </c>
      <c r="F1580" s="2">
        <v>10.272</v>
      </c>
      <c r="G1580" s="2" t="s">
        <v>206</v>
      </c>
      <c r="H1580" s="2">
        <v>100</v>
      </c>
      <c r="I1580" s="2">
        <v>10.272</v>
      </c>
      <c r="J1580" s="2" t="s">
        <v>101</v>
      </c>
      <c r="K1580" s="20">
        <v>45234</v>
      </c>
      <c r="L1580" s="20">
        <v>45238</v>
      </c>
      <c r="M1580" s="20">
        <v>45238</v>
      </c>
      <c r="N1580" s="2" t="s">
        <v>234</v>
      </c>
      <c r="O1580" s="2" t="s">
        <v>67</v>
      </c>
      <c r="P1580" s="2" t="s">
        <v>68</v>
      </c>
      <c r="Q1580" s="2">
        <f t="shared" si="24"/>
        <v>1</v>
      </c>
    </row>
    <row r="1581" spans="1:17" x14ac:dyDescent="0.25">
      <c r="A1581" s="2" t="s">
        <v>4300</v>
      </c>
      <c r="B1581" s="2" t="s">
        <v>4301</v>
      </c>
      <c r="C1581" s="2" t="s">
        <v>19</v>
      </c>
      <c r="D1581" s="2" t="s">
        <v>211</v>
      </c>
      <c r="E1581" s="2" t="s">
        <v>212</v>
      </c>
      <c r="F1581" s="2">
        <v>140.66999999999999</v>
      </c>
      <c r="G1581" s="2" t="s">
        <v>206</v>
      </c>
      <c r="H1581" s="2">
        <v>100</v>
      </c>
      <c r="I1581" s="2">
        <v>140.66999999999999</v>
      </c>
      <c r="J1581" s="2" t="s">
        <v>101</v>
      </c>
      <c r="K1581" s="20">
        <v>45235</v>
      </c>
      <c r="L1581" s="20">
        <v>45235</v>
      </c>
      <c r="M1581" s="20">
        <v>45235</v>
      </c>
      <c r="N1581" s="2" t="s">
        <v>248</v>
      </c>
      <c r="O1581" s="2" t="s">
        <v>33</v>
      </c>
      <c r="P1581" s="2" t="s">
        <v>34</v>
      </c>
      <c r="Q1581" s="2">
        <f t="shared" si="24"/>
        <v>1</v>
      </c>
    </row>
    <row r="1582" spans="1:17" x14ac:dyDescent="0.25">
      <c r="A1582" s="2" t="s">
        <v>4303</v>
      </c>
      <c r="B1582" s="2" t="s">
        <v>4304</v>
      </c>
      <c r="C1582" s="2" t="s">
        <v>19</v>
      </c>
      <c r="D1582" s="2" t="s">
        <v>86</v>
      </c>
      <c r="E1582" s="2" t="s">
        <v>994</v>
      </c>
      <c r="F1582" s="2">
        <v>842.35199999999998</v>
      </c>
      <c r="G1582" s="2" t="s">
        <v>995</v>
      </c>
      <c r="H1582" s="2">
        <v>15</v>
      </c>
      <c r="I1582" s="2">
        <v>126.35279999999999</v>
      </c>
      <c r="J1582" s="2" t="s">
        <v>101</v>
      </c>
      <c r="K1582" s="20">
        <v>45238</v>
      </c>
      <c r="L1582" s="20">
        <v>45243</v>
      </c>
      <c r="M1582" s="20"/>
      <c r="O1582" s="2" t="s">
        <v>46</v>
      </c>
      <c r="P1582" s="2" t="s">
        <v>47</v>
      </c>
      <c r="Q1582" s="2">
        <f t="shared" si="24"/>
        <v>1</v>
      </c>
    </row>
    <row r="1583" spans="1:17" x14ac:dyDescent="0.25">
      <c r="A1583" s="2" t="s">
        <v>4305</v>
      </c>
      <c r="B1583" s="2" t="s">
        <v>4306</v>
      </c>
      <c r="C1583" s="2" t="s">
        <v>30</v>
      </c>
      <c r="D1583" s="2" t="s">
        <v>126</v>
      </c>
      <c r="E1583" s="2" t="s">
        <v>21</v>
      </c>
      <c r="F1583" s="2">
        <v>90.396000000000001</v>
      </c>
      <c r="G1583" s="2" t="s">
        <v>22</v>
      </c>
      <c r="H1583" s="2">
        <v>0</v>
      </c>
      <c r="I1583" s="2">
        <v>0</v>
      </c>
      <c r="J1583" s="2" t="s">
        <v>101</v>
      </c>
      <c r="K1583" s="20">
        <v>45238</v>
      </c>
      <c r="L1583" s="20">
        <v>45240</v>
      </c>
      <c r="M1583" s="20">
        <v>45240</v>
      </c>
      <c r="N1583" s="2" t="s">
        <v>24</v>
      </c>
      <c r="O1583" s="2" t="s">
        <v>54</v>
      </c>
      <c r="P1583" s="2" t="s">
        <v>26</v>
      </c>
      <c r="Q1583" s="2">
        <f t="shared" si="24"/>
        <v>1</v>
      </c>
    </row>
    <row r="1584" spans="1:17" x14ac:dyDescent="0.25">
      <c r="A1584" s="2" t="s">
        <v>4308</v>
      </c>
      <c r="B1584" s="2" t="s">
        <v>4309</v>
      </c>
      <c r="C1584" s="2" t="s">
        <v>19</v>
      </c>
      <c r="D1584" s="2" t="s">
        <v>154</v>
      </c>
      <c r="E1584" s="2" t="s">
        <v>1006</v>
      </c>
      <c r="F1584" s="2">
        <v>22.96</v>
      </c>
      <c r="G1584" s="2" t="s">
        <v>995</v>
      </c>
      <c r="H1584" s="2">
        <v>0</v>
      </c>
      <c r="I1584" s="2">
        <v>0</v>
      </c>
      <c r="J1584" s="2" t="s">
        <v>101</v>
      </c>
      <c r="K1584" s="20">
        <v>45238</v>
      </c>
      <c r="L1584" s="20">
        <v>45243</v>
      </c>
      <c r="M1584" s="20"/>
      <c r="O1584" s="2" t="s">
        <v>46</v>
      </c>
      <c r="P1584" s="2" t="s">
        <v>47</v>
      </c>
      <c r="Q1584" s="2">
        <f t="shared" si="24"/>
        <v>1</v>
      </c>
    </row>
    <row r="1585" spans="1:17" x14ac:dyDescent="0.25">
      <c r="A1585" s="2" t="s">
        <v>4310</v>
      </c>
      <c r="B1585" s="2" t="s">
        <v>4311</v>
      </c>
      <c r="C1585" s="2" t="s">
        <v>30</v>
      </c>
      <c r="D1585" s="2" t="s">
        <v>186</v>
      </c>
      <c r="E1585" s="2" t="s">
        <v>1002</v>
      </c>
      <c r="F1585" s="2">
        <v>2.5019999999999998</v>
      </c>
      <c r="G1585" s="2" t="s">
        <v>995</v>
      </c>
      <c r="H1585" s="2">
        <v>40</v>
      </c>
      <c r="I1585" s="2">
        <v>1.0007999999999999</v>
      </c>
      <c r="J1585" s="2" t="s">
        <v>101</v>
      </c>
      <c r="K1585" s="20">
        <v>45241</v>
      </c>
      <c r="L1585" s="20">
        <v>45246</v>
      </c>
      <c r="M1585" s="20"/>
      <c r="O1585" s="2" t="s">
        <v>146</v>
      </c>
      <c r="P1585" s="2" t="s">
        <v>73</v>
      </c>
      <c r="Q1585" s="2">
        <f t="shared" si="24"/>
        <v>1</v>
      </c>
    </row>
    <row r="1586" spans="1:17" x14ac:dyDescent="0.25">
      <c r="A1586" s="2" t="s">
        <v>4313</v>
      </c>
      <c r="B1586" s="2" t="s">
        <v>4314</v>
      </c>
      <c r="C1586" s="2" t="s">
        <v>19</v>
      </c>
      <c r="D1586" s="2" t="s">
        <v>96</v>
      </c>
      <c r="E1586" s="2" t="s">
        <v>21</v>
      </c>
      <c r="F1586" s="2">
        <v>225.82799999999997</v>
      </c>
      <c r="G1586" s="2" t="s">
        <v>22</v>
      </c>
      <c r="H1586" s="2">
        <v>0</v>
      </c>
      <c r="I1586" s="2">
        <v>0</v>
      </c>
      <c r="J1586" s="2" t="s">
        <v>101</v>
      </c>
      <c r="K1586" s="20">
        <v>45241</v>
      </c>
      <c r="L1586" s="20">
        <v>45243</v>
      </c>
      <c r="M1586" s="20">
        <v>45243</v>
      </c>
      <c r="N1586" s="2" t="s">
        <v>53</v>
      </c>
      <c r="O1586" s="2" t="s">
        <v>46</v>
      </c>
      <c r="P1586" s="2" t="s">
        <v>47</v>
      </c>
      <c r="Q1586" s="2">
        <f t="shared" si="24"/>
        <v>1</v>
      </c>
    </row>
    <row r="1587" spans="1:17" x14ac:dyDescent="0.25">
      <c r="A1587" s="2" t="s">
        <v>4316</v>
      </c>
      <c r="B1587" s="2" t="s">
        <v>4317</v>
      </c>
      <c r="C1587" s="2" t="s">
        <v>19</v>
      </c>
      <c r="D1587" s="2" t="s">
        <v>44</v>
      </c>
      <c r="E1587" s="2" t="s">
        <v>1006</v>
      </c>
      <c r="F1587" s="2">
        <v>328.77600000000001</v>
      </c>
      <c r="G1587" s="2" t="s">
        <v>995</v>
      </c>
      <c r="H1587" s="2">
        <v>0</v>
      </c>
      <c r="I1587" s="2">
        <v>0</v>
      </c>
      <c r="J1587" s="2" t="s">
        <v>101</v>
      </c>
      <c r="K1587" s="20">
        <v>45242</v>
      </c>
      <c r="L1587" s="20">
        <v>45247</v>
      </c>
      <c r="M1587" s="20"/>
      <c r="O1587" s="2" t="s">
        <v>97</v>
      </c>
      <c r="P1587" s="2" t="s">
        <v>68</v>
      </c>
      <c r="Q1587" s="2">
        <f t="shared" si="24"/>
        <v>1</v>
      </c>
    </row>
    <row r="1588" spans="1:17" x14ac:dyDescent="0.25">
      <c r="A1588" s="2" t="s">
        <v>4319</v>
      </c>
      <c r="B1588" s="2" t="s">
        <v>4320</v>
      </c>
      <c r="C1588" s="2" t="s">
        <v>19</v>
      </c>
      <c r="D1588" s="2" t="s">
        <v>44</v>
      </c>
      <c r="E1588" s="2" t="s">
        <v>994</v>
      </c>
      <c r="F1588" s="2">
        <v>7.04</v>
      </c>
      <c r="G1588" s="2" t="s">
        <v>995</v>
      </c>
      <c r="H1588" s="2">
        <v>40</v>
      </c>
      <c r="I1588" s="2">
        <v>2.8160000000000003</v>
      </c>
      <c r="J1588" s="2" t="s">
        <v>101</v>
      </c>
      <c r="K1588" s="20">
        <v>45242</v>
      </c>
      <c r="L1588" s="20">
        <v>45246</v>
      </c>
      <c r="M1588" s="20"/>
      <c r="O1588" s="2" t="s">
        <v>72</v>
      </c>
      <c r="P1588" s="2" t="s">
        <v>73</v>
      </c>
      <c r="Q1588" s="2">
        <f t="shared" si="24"/>
        <v>1</v>
      </c>
    </row>
    <row r="1589" spans="1:17" x14ac:dyDescent="0.25">
      <c r="A1589" s="2" t="s">
        <v>4322</v>
      </c>
      <c r="B1589" s="2" t="s">
        <v>4323</v>
      </c>
      <c r="C1589" s="2" t="s">
        <v>19</v>
      </c>
      <c r="D1589" s="2" t="s">
        <v>164</v>
      </c>
      <c r="E1589" s="2" t="s">
        <v>1006</v>
      </c>
      <c r="F1589" s="2">
        <v>1352.39759999999</v>
      </c>
      <c r="G1589" s="2" t="s">
        <v>995</v>
      </c>
      <c r="H1589" s="2">
        <v>0</v>
      </c>
      <c r="I1589" s="2">
        <v>0</v>
      </c>
      <c r="J1589" s="2" t="s">
        <v>101</v>
      </c>
      <c r="K1589" s="20">
        <v>45242</v>
      </c>
      <c r="L1589" s="20">
        <v>45247</v>
      </c>
      <c r="M1589" s="20"/>
      <c r="O1589" s="2" t="s">
        <v>46</v>
      </c>
      <c r="P1589" s="2" t="s">
        <v>47</v>
      </c>
      <c r="Q1589" s="2">
        <f t="shared" si="24"/>
        <v>1</v>
      </c>
    </row>
    <row r="1590" spans="1:17" x14ac:dyDescent="0.25">
      <c r="A1590" s="2" t="s">
        <v>4324</v>
      </c>
      <c r="B1590" s="2" t="s">
        <v>4325</v>
      </c>
      <c r="C1590" s="2" t="s">
        <v>30</v>
      </c>
      <c r="D1590" s="2" t="s">
        <v>51</v>
      </c>
      <c r="E1590" s="2" t="s">
        <v>1002</v>
      </c>
      <c r="F1590" s="2">
        <v>99.372</v>
      </c>
      <c r="G1590" s="2" t="s">
        <v>995</v>
      </c>
      <c r="H1590" s="2">
        <v>40</v>
      </c>
      <c r="I1590" s="2">
        <v>39.748800000000003</v>
      </c>
      <c r="J1590" s="2" t="s">
        <v>101</v>
      </c>
      <c r="K1590" s="20">
        <v>45242</v>
      </c>
      <c r="L1590" s="20">
        <v>45248</v>
      </c>
      <c r="M1590" s="20"/>
      <c r="O1590" s="2" t="s">
        <v>54</v>
      </c>
      <c r="P1590" s="2" t="s">
        <v>26</v>
      </c>
      <c r="Q1590" s="2">
        <f t="shared" si="24"/>
        <v>1</v>
      </c>
    </row>
    <row r="1591" spans="1:17" x14ac:dyDescent="0.25">
      <c r="A1591" s="2" t="s">
        <v>4326</v>
      </c>
      <c r="B1591" s="2" t="s">
        <v>4327</v>
      </c>
      <c r="C1591" s="2" t="s">
        <v>19</v>
      </c>
      <c r="D1591" s="2" t="s">
        <v>115</v>
      </c>
      <c r="E1591" s="2" t="s">
        <v>21</v>
      </c>
      <c r="F1591" s="2">
        <v>878.32799999999997</v>
      </c>
      <c r="G1591" s="2" t="s">
        <v>22</v>
      </c>
      <c r="H1591" s="2">
        <v>0</v>
      </c>
      <c r="I1591" s="2">
        <v>0</v>
      </c>
      <c r="J1591" s="2" t="s">
        <v>101</v>
      </c>
      <c r="K1591" s="20">
        <v>45243</v>
      </c>
      <c r="L1591" s="20">
        <v>45246</v>
      </c>
      <c r="M1591" s="20">
        <v>45246</v>
      </c>
      <c r="N1591" s="2" t="s">
        <v>53</v>
      </c>
      <c r="O1591" s="2" t="s">
        <v>40</v>
      </c>
      <c r="P1591" s="2" t="s">
        <v>34</v>
      </c>
      <c r="Q1591" s="2">
        <f t="shared" si="24"/>
        <v>1</v>
      </c>
    </row>
    <row r="1592" spans="1:17" x14ac:dyDescent="0.25">
      <c r="A1592" s="2" t="s">
        <v>4329</v>
      </c>
      <c r="B1592" s="2" t="s">
        <v>4330</v>
      </c>
      <c r="C1592" s="2" t="s">
        <v>19</v>
      </c>
      <c r="D1592" s="2" t="s">
        <v>126</v>
      </c>
      <c r="E1592" s="2" t="s">
        <v>994</v>
      </c>
      <c r="F1592" s="2">
        <v>10.16</v>
      </c>
      <c r="G1592" s="2" t="s">
        <v>995</v>
      </c>
      <c r="H1592" s="2">
        <v>40</v>
      </c>
      <c r="I1592" s="2">
        <v>4.0640000000000001</v>
      </c>
      <c r="J1592" s="2" t="s">
        <v>101</v>
      </c>
      <c r="K1592" s="20">
        <v>45244</v>
      </c>
      <c r="L1592" s="20">
        <v>45248</v>
      </c>
      <c r="M1592" s="20"/>
      <c r="O1592" s="2" t="s">
        <v>72</v>
      </c>
      <c r="P1592" s="2" t="s">
        <v>73</v>
      </c>
      <c r="Q1592" s="2">
        <f t="shared" si="24"/>
        <v>1</v>
      </c>
    </row>
    <row r="1593" spans="1:17" x14ac:dyDescent="0.25">
      <c r="A1593" s="2" t="s">
        <v>4331</v>
      </c>
      <c r="B1593" s="2" t="s">
        <v>4332</v>
      </c>
      <c r="C1593" s="2" t="s">
        <v>30</v>
      </c>
      <c r="D1593" s="2" t="s">
        <v>77</v>
      </c>
      <c r="E1593" s="2" t="s">
        <v>1002</v>
      </c>
      <c r="F1593" s="2">
        <v>201.56800000000001</v>
      </c>
      <c r="G1593" s="2" t="s">
        <v>995</v>
      </c>
      <c r="H1593" s="2">
        <v>40</v>
      </c>
      <c r="I1593" s="2">
        <v>80.627200000000016</v>
      </c>
      <c r="J1593" s="2" t="s">
        <v>101</v>
      </c>
      <c r="K1593" s="20">
        <v>45244</v>
      </c>
      <c r="L1593" s="20">
        <v>45250</v>
      </c>
      <c r="M1593" s="20"/>
      <c r="O1593" s="2" t="s">
        <v>67</v>
      </c>
      <c r="P1593" s="2" t="s">
        <v>68</v>
      </c>
      <c r="Q1593" s="2">
        <f t="shared" si="24"/>
        <v>1</v>
      </c>
    </row>
    <row r="1594" spans="1:17" x14ac:dyDescent="0.25">
      <c r="A1594" s="2" t="s">
        <v>4334</v>
      </c>
      <c r="B1594" s="2" t="s">
        <v>4335</v>
      </c>
      <c r="C1594" s="2" t="s">
        <v>19</v>
      </c>
      <c r="D1594" s="2" t="s">
        <v>154</v>
      </c>
      <c r="E1594" s="2" t="s">
        <v>1006</v>
      </c>
      <c r="F1594" s="2">
        <v>32.4</v>
      </c>
      <c r="G1594" s="2" t="s">
        <v>995</v>
      </c>
      <c r="H1594" s="2">
        <v>0</v>
      </c>
      <c r="I1594" s="2">
        <v>0</v>
      </c>
      <c r="J1594" s="2" t="s">
        <v>101</v>
      </c>
      <c r="K1594" s="20">
        <v>45245</v>
      </c>
      <c r="L1594" s="20">
        <v>45250</v>
      </c>
      <c r="M1594" s="20"/>
      <c r="O1594" s="2" t="s">
        <v>40</v>
      </c>
      <c r="P1594" s="2" t="s">
        <v>34</v>
      </c>
      <c r="Q1594" s="2">
        <f t="shared" si="24"/>
        <v>1</v>
      </c>
    </row>
    <row r="1595" spans="1:17" x14ac:dyDescent="0.25">
      <c r="A1595" s="2" t="s">
        <v>4336</v>
      </c>
      <c r="B1595" s="2" t="s">
        <v>4337</v>
      </c>
      <c r="C1595" s="2" t="s">
        <v>30</v>
      </c>
      <c r="D1595" s="2" t="s">
        <v>77</v>
      </c>
      <c r="E1595" s="2" t="s">
        <v>994</v>
      </c>
      <c r="F1595" s="2">
        <v>3.4239999999999999</v>
      </c>
      <c r="G1595" s="2" t="s">
        <v>995</v>
      </c>
      <c r="H1595" s="2">
        <v>15</v>
      </c>
      <c r="I1595" s="2">
        <v>0.51359999999999995</v>
      </c>
      <c r="J1595" s="2" t="s">
        <v>101</v>
      </c>
      <c r="K1595" s="20">
        <v>45246</v>
      </c>
      <c r="L1595" s="20">
        <v>45246</v>
      </c>
      <c r="M1595" s="20"/>
      <c r="O1595" s="2" t="s">
        <v>72</v>
      </c>
      <c r="P1595" s="2" t="s">
        <v>73</v>
      </c>
      <c r="Q1595" s="2">
        <f t="shared" si="24"/>
        <v>1</v>
      </c>
    </row>
    <row r="1596" spans="1:17" x14ac:dyDescent="0.25">
      <c r="A1596" s="2" t="s">
        <v>4338</v>
      </c>
      <c r="B1596" s="2" t="s">
        <v>4339</v>
      </c>
      <c r="C1596" s="2" t="s">
        <v>30</v>
      </c>
      <c r="D1596" s="2" t="s">
        <v>51</v>
      </c>
      <c r="E1596" s="2" t="s">
        <v>1002</v>
      </c>
      <c r="F1596" s="2">
        <v>79.959999999999894</v>
      </c>
      <c r="G1596" s="2" t="s">
        <v>995</v>
      </c>
      <c r="H1596" s="2">
        <v>40</v>
      </c>
      <c r="I1596" s="2">
        <v>31.983999999999959</v>
      </c>
      <c r="J1596" s="2" t="s">
        <v>101</v>
      </c>
      <c r="K1596" s="20">
        <v>45246</v>
      </c>
      <c r="L1596" s="20">
        <v>45253</v>
      </c>
      <c r="M1596" s="20"/>
      <c r="O1596" s="2" t="s">
        <v>54</v>
      </c>
      <c r="P1596" s="2" t="s">
        <v>26</v>
      </c>
      <c r="Q1596" s="2">
        <f t="shared" si="24"/>
        <v>1</v>
      </c>
    </row>
    <row r="1597" spans="1:17" x14ac:dyDescent="0.25">
      <c r="A1597" s="2" t="s">
        <v>4340</v>
      </c>
      <c r="B1597" s="2" t="s">
        <v>4341</v>
      </c>
      <c r="C1597" s="2" t="s">
        <v>19</v>
      </c>
      <c r="D1597" s="2" t="s">
        <v>115</v>
      </c>
      <c r="E1597" s="2" t="s">
        <v>21</v>
      </c>
      <c r="F1597" s="2">
        <v>82.408000000000001</v>
      </c>
      <c r="G1597" s="2" t="s">
        <v>22</v>
      </c>
      <c r="H1597" s="2">
        <v>0</v>
      </c>
      <c r="I1597" s="2">
        <v>0</v>
      </c>
      <c r="J1597" s="2" t="s">
        <v>101</v>
      </c>
      <c r="K1597" s="20">
        <v>45248</v>
      </c>
      <c r="L1597" s="20">
        <v>45249</v>
      </c>
      <c r="M1597" s="20">
        <v>45249</v>
      </c>
      <c r="N1597" s="2" t="s">
        <v>32</v>
      </c>
      <c r="O1597" s="2" t="s">
        <v>54</v>
      </c>
      <c r="P1597" s="2" t="s">
        <v>26</v>
      </c>
      <c r="Q1597" s="2">
        <f t="shared" si="24"/>
        <v>1</v>
      </c>
    </row>
    <row r="1598" spans="1:17" x14ac:dyDescent="0.25">
      <c r="A1598" s="2" t="s">
        <v>4342</v>
      </c>
      <c r="B1598" s="2" t="s">
        <v>4343</v>
      </c>
      <c r="C1598" s="2" t="s">
        <v>19</v>
      </c>
      <c r="D1598" s="2" t="s">
        <v>77</v>
      </c>
      <c r="E1598" s="2" t="s">
        <v>1002</v>
      </c>
      <c r="F1598" s="2">
        <v>154.9</v>
      </c>
      <c r="G1598" s="2" t="s">
        <v>995</v>
      </c>
      <c r="H1598" s="2">
        <v>40</v>
      </c>
      <c r="I1598" s="2">
        <v>61.960000000000008</v>
      </c>
      <c r="J1598" s="2" t="s">
        <v>101</v>
      </c>
      <c r="K1598" s="20">
        <v>45250</v>
      </c>
      <c r="L1598" s="20">
        <v>45253</v>
      </c>
      <c r="M1598" s="20"/>
      <c r="O1598" s="2" t="s">
        <v>25</v>
      </c>
      <c r="P1598" s="2" t="s">
        <v>26</v>
      </c>
      <c r="Q1598" s="2">
        <f t="shared" si="24"/>
        <v>1</v>
      </c>
    </row>
    <row r="1599" spans="1:17" x14ac:dyDescent="0.25">
      <c r="A1599" s="2" t="s">
        <v>4345</v>
      </c>
      <c r="B1599" s="2" t="s">
        <v>4346</v>
      </c>
      <c r="C1599" s="2" t="s">
        <v>30</v>
      </c>
      <c r="D1599" s="2" t="s">
        <v>164</v>
      </c>
      <c r="E1599" s="2" t="s">
        <v>994</v>
      </c>
      <c r="F1599" s="2">
        <v>209.6</v>
      </c>
      <c r="G1599" s="2" t="s">
        <v>995</v>
      </c>
      <c r="H1599" s="2">
        <v>40</v>
      </c>
      <c r="I1599" s="2">
        <v>83.84</v>
      </c>
      <c r="J1599" s="2" t="s">
        <v>101</v>
      </c>
      <c r="K1599" s="20">
        <v>45251</v>
      </c>
      <c r="L1599" s="20">
        <v>45255</v>
      </c>
      <c r="M1599" s="20"/>
      <c r="O1599" s="2" t="s">
        <v>97</v>
      </c>
      <c r="P1599" s="2" t="s">
        <v>68</v>
      </c>
      <c r="Q1599" s="2">
        <f t="shared" si="24"/>
        <v>1</v>
      </c>
    </row>
    <row r="1600" spans="1:17" x14ac:dyDescent="0.25">
      <c r="A1600" s="2" t="s">
        <v>4347</v>
      </c>
      <c r="B1600" s="2" t="s">
        <v>4348</v>
      </c>
      <c r="C1600" s="2" t="s">
        <v>19</v>
      </c>
      <c r="D1600" s="2" t="s">
        <v>77</v>
      </c>
      <c r="E1600" s="2" t="s">
        <v>994</v>
      </c>
      <c r="F1600" s="2">
        <v>81.438000000000002</v>
      </c>
      <c r="G1600" s="2" t="s">
        <v>995</v>
      </c>
      <c r="H1600" s="2">
        <v>40</v>
      </c>
      <c r="I1600" s="2">
        <v>32.575200000000002</v>
      </c>
      <c r="J1600" s="2" t="s">
        <v>101</v>
      </c>
      <c r="K1600" s="20">
        <v>45252</v>
      </c>
      <c r="L1600" s="20">
        <v>45259</v>
      </c>
      <c r="M1600" s="20"/>
      <c r="O1600" s="2" t="s">
        <v>72</v>
      </c>
      <c r="P1600" s="2" t="s">
        <v>73</v>
      </c>
      <c r="Q1600" s="2">
        <f t="shared" si="24"/>
        <v>1</v>
      </c>
    </row>
    <row r="1601" spans="1:17" x14ac:dyDescent="0.25">
      <c r="A1601" s="2" t="s">
        <v>4349</v>
      </c>
      <c r="B1601" s="2" t="s">
        <v>4350</v>
      </c>
      <c r="C1601" s="2" t="s">
        <v>19</v>
      </c>
      <c r="D1601" s="2" t="s">
        <v>154</v>
      </c>
      <c r="E1601" s="2" t="s">
        <v>1002</v>
      </c>
      <c r="F1601" s="2">
        <v>17.38</v>
      </c>
      <c r="G1601" s="2" t="s">
        <v>995</v>
      </c>
      <c r="H1601" s="2">
        <v>40</v>
      </c>
      <c r="I1601" s="2">
        <v>6.952</v>
      </c>
      <c r="J1601" s="2" t="s">
        <v>101</v>
      </c>
      <c r="K1601" s="20">
        <v>45252</v>
      </c>
      <c r="L1601" s="20">
        <v>45257</v>
      </c>
      <c r="M1601" s="20"/>
      <c r="O1601" s="2" t="s">
        <v>97</v>
      </c>
      <c r="P1601" s="2" t="s">
        <v>68</v>
      </c>
      <c r="Q1601" s="2">
        <f t="shared" si="24"/>
        <v>1</v>
      </c>
    </row>
    <row r="1602" spans="1:17" x14ac:dyDescent="0.25">
      <c r="A1602" s="2" t="s">
        <v>4352</v>
      </c>
      <c r="B1602" s="2" t="s">
        <v>4353</v>
      </c>
      <c r="C1602" s="2" t="s">
        <v>30</v>
      </c>
      <c r="D1602" s="2" t="s">
        <v>58</v>
      </c>
      <c r="E1602" s="2" t="s">
        <v>1002</v>
      </c>
      <c r="F1602" s="2">
        <v>332.70400000000001</v>
      </c>
      <c r="G1602" s="2" t="s">
        <v>995</v>
      </c>
      <c r="H1602" s="2">
        <v>40</v>
      </c>
      <c r="I1602" s="2">
        <v>133.08160000000001</v>
      </c>
      <c r="J1602" s="2" t="s">
        <v>101</v>
      </c>
      <c r="K1602" s="20">
        <v>45255</v>
      </c>
      <c r="L1602" s="20">
        <v>45262</v>
      </c>
      <c r="M1602" s="20"/>
      <c r="O1602" s="2" t="s">
        <v>82</v>
      </c>
      <c r="P1602" s="2" t="s">
        <v>47</v>
      </c>
      <c r="Q1602" s="2">
        <f t="shared" ref="Q1602:Q1668" si="25">COUNTIF($A$2:$A$1778,A1602)</f>
        <v>1</v>
      </c>
    </row>
    <row r="1603" spans="1:17" x14ac:dyDescent="0.25">
      <c r="A1603" s="2" t="s">
        <v>4354</v>
      </c>
      <c r="B1603" s="2" t="s">
        <v>4355</v>
      </c>
      <c r="C1603" s="2" t="s">
        <v>19</v>
      </c>
      <c r="D1603" s="2" t="s">
        <v>96</v>
      </c>
      <c r="E1603" s="2" t="s">
        <v>1002</v>
      </c>
      <c r="F1603" s="2">
        <v>139.58000000000001</v>
      </c>
      <c r="G1603" s="2" t="s">
        <v>995</v>
      </c>
      <c r="H1603" s="2">
        <v>40</v>
      </c>
      <c r="I1603" s="2">
        <v>55.832000000000008</v>
      </c>
      <c r="J1603" s="2" t="s">
        <v>101</v>
      </c>
      <c r="K1603" s="20">
        <v>45255</v>
      </c>
      <c r="L1603" s="20">
        <v>45259</v>
      </c>
      <c r="M1603" s="20"/>
      <c r="O1603" s="2" t="s">
        <v>146</v>
      </c>
      <c r="P1603" s="2" t="s">
        <v>73</v>
      </c>
      <c r="Q1603" s="2">
        <f t="shared" si="25"/>
        <v>1</v>
      </c>
    </row>
    <row r="1604" spans="1:17" x14ac:dyDescent="0.25">
      <c r="A1604" s="2" t="s">
        <v>4356</v>
      </c>
      <c r="B1604" s="2" t="s">
        <v>4357</v>
      </c>
      <c r="C1604" s="2" t="s">
        <v>30</v>
      </c>
      <c r="D1604" s="2" t="s">
        <v>115</v>
      </c>
      <c r="E1604" s="2" t="s">
        <v>1006</v>
      </c>
      <c r="F1604" s="2">
        <v>131.88</v>
      </c>
      <c r="G1604" s="2" t="s">
        <v>995</v>
      </c>
      <c r="H1604" s="2">
        <v>0</v>
      </c>
      <c r="I1604" s="2">
        <v>0</v>
      </c>
      <c r="J1604" s="2" t="s">
        <v>101</v>
      </c>
      <c r="K1604" s="20">
        <v>45255</v>
      </c>
      <c r="L1604" s="20">
        <v>45262</v>
      </c>
      <c r="M1604" s="20"/>
      <c r="O1604" s="2" t="s">
        <v>33</v>
      </c>
      <c r="P1604" s="2" t="s">
        <v>34</v>
      </c>
      <c r="Q1604" s="2">
        <f t="shared" si="25"/>
        <v>1</v>
      </c>
    </row>
    <row r="1605" spans="1:17" x14ac:dyDescent="0.25">
      <c r="A1605" s="2" t="s">
        <v>4358</v>
      </c>
      <c r="B1605" s="2" t="s">
        <v>4359</v>
      </c>
      <c r="C1605" s="2" t="s">
        <v>30</v>
      </c>
      <c r="D1605" s="2" t="s">
        <v>44</v>
      </c>
      <c r="E1605" s="2" t="s">
        <v>1002</v>
      </c>
      <c r="F1605" s="2">
        <v>147.91999999999999</v>
      </c>
      <c r="G1605" s="2" t="s">
        <v>995</v>
      </c>
      <c r="H1605" s="2">
        <v>40</v>
      </c>
      <c r="I1605" s="2">
        <v>59.167999999999999</v>
      </c>
      <c r="J1605" s="2" t="s">
        <v>101</v>
      </c>
      <c r="K1605" s="20">
        <v>45256</v>
      </c>
      <c r="L1605" s="20">
        <v>45261</v>
      </c>
      <c r="M1605" s="20"/>
      <c r="O1605" s="2" t="s">
        <v>97</v>
      </c>
      <c r="P1605" s="2" t="s">
        <v>68</v>
      </c>
      <c r="Q1605" s="2">
        <f t="shared" si="25"/>
        <v>1</v>
      </c>
    </row>
    <row r="1606" spans="1:17" x14ac:dyDescent="0.25">
      <c r="A1606" s="2" t="s">
        <v>4360</v>
      </c>
      <c r="B1606" s="2" t="s">
        <v>4361</v>
      </c>
      <c r="C1606" s="2" t="s">
        <v>30</v>
      </c>
      <c r="D1606" s="2" t="s">
        <v>211</v>
      </c>
      <c r="E1606" s="2" t="s">
        <v>1002</v>
      </c>
      <c r="F1606" s="2">
        <v>122.97</v>
      </c>
      <c r="G1606" s="2" t="s">
        <v>995</v>
      </c>
      <c r="H1606" s="2">
        <v>40</v>
      </c>
      <c r="I1606" s="2">
        <v>49.188000000000002</v>
      </c>
      <c r="J1606" s="2" t="s">
        <v>101</v>
      </c>
      <c r="K1606" s="20">
        <v>45259</v>
      </c>
      <c r="L1606" s="20">
        <v>45263</v>
      </c>
      <c r="M1606" s="20"/>
      <c r="O1606" s="2" t="s">
        <v>46</v>
      </c>
      <c r="P1606" s="2" t="s">
        <v>47</v>
      </c>
      <c r="Q1606" s="2">
        <f t="shared" si="25"/>
        <v>1</v>
      </c>
    </row>
    <row r="1607" spans="1:17" x14ac:dyDescent="0.25">
      <c r="A1607" s="2" t="s">
        <v>4362</v>
      </c>
      <c r="B1607" s="2" t="s">
        <v>4363</v>
      </c>
      <c r="C1607" s="2" t="s">
        <v>19</v>
      </c>
      <c r="D1607" s="2" t="s">
        <v>20</v>
      </c>
      <c r="E1607" s="2" t="s">
        <v>1002</v>
      </c>
      <c r="F1607" s="2">
        <v>23.975999999999999</v>
      </c>
      <c r="G1607" s="2" t="s">
        <v>995</v>
      </c>
      <c r="H1607" s="2">
        <v>40</v>
      </c>
      <c r="I1607" s="2">
        <v>9.5904000000000007</v>
      </c>
      <c r="J1607" s="2" t="s">
        <v>101</v>
      </c>
      <c r="K1607" s="20">
        <v>45260</v>
      </c>
      <c r="L1607" s="20">
        <v>45265</v>
      </c>
      <c r="M1607" s="20"/>
      <c r="O1607" s="2" t="s">
        <v>72</v>
      </c>
      <c r="P1607" s="2" t="s">
        <v>73</v>
      </c>
      <c r="Q1607" s="2">
        <f t="shared" si="25"/>
        <v>1</v>
      </c>
    </row>
    <row r="1608" spans="1:17" x14ac:dyDescent="0.25">
      <c r="A1608" s="2" t="s">
        <v>4364</v>
      </c>
      <c r="B1608" s="2" t="s">
        <v>4365</v>
      </c>
      <c r="C1608" s="2" t="s">
        <v>19</v>
      </c>
      <c r="D1608" s="2" t="s">
        <v>186</v>
      </c>
      <c r="E1608" s="2" t="s">
        <v>1002</v>
      </c>
      <c r="F1608" s="2">
        <v>24.56</v>
      </c>
      <c r="G1608" s="2" t="s">
        <v>995</v>
      </c>
      <c r="H1608" s="2">
        <v>40</v>
      </c>
      <c r="I1608" s="2">
        <v>9.8239999999999998</v>
      </c>
      <c r="J1608" s="2" t="s">
        <v>101</v>
      </c>
      <c r="K1608" s="20">
        <v>45262</v>
      </c>
      <c r="L1608" s="20">
        <v>45266</v>
      </c>
      <c r="M1608" s="20"/>
      <c r="O1608" s="2" t="s">
        <v>82</v>
      </c>
      <c r="P1608" s="2" t="s">
        <v>47</v>
      </c>
      <c r="Q1608" s="2">
        <f t="shared" si="25"/>
        <v>1</v>
      </c>
    </row>
    <row r="1609" spans="1:17" x14ac:dyDescent="0.25">
      <c r="A1609" s="2" t="s">
        <v>4367</v>
      </c>
      <c r="B1609" s="2" t="s">
        <v>4368</v>
      </c>
      <c r="C1609" s="2" t="s">
        <v>19</v>
      </c>
      <c r="D1609" s="2" t="s">
        <v>96</v>
      </c>
      <c r="E1609" s="2" t="s">
        <v>1006</v>
      </c>
      <c r="F1609" s="2">
        <v>12.224</v>
      </c>
      <c r="G1609" s="2" t="s">
        <v>995</v>
      </c>
      <c r="H1609" s="2">
        <v>0</v>
      </c>
      <c r="I1609" s="2">
        <v>0</v>
      </c>
      <c r="J1609" s="2" t="s">
        <v>101</v>
      </c>
      <c r="K1609" s="20">
        <v>45262</v>
      </c>
      <c r="L1609" s="20">
        <v>45268</v>
      </c>
      <c r="M1609" s="20"/>
      <c r="O1609" s="2" t="s">
        <v>82</v>
      </c>
      <c r="P1609" s="2" t="s">
        <v>47</v>
      </c>
      <c r="Q1609" s="2">
        <f t="shared" si="25"/>
        <v>1</v>
      </c>
    </row>
    <row r="1610" spans="1:17" x14ac:dyDescent="0.25">
      <c r="A1610" s="2" t="s">
        <v>4369</v>
      </c>
      <c r="B1610" s="2" t="s">
        <v>4370</v>
      </c>
      <c r="C1610" s="2" t="s">
        <v>30</v>
      </c>
      <c r="D1610" s="2" t="s">
        <v>115</v>
      </c>
      <c r="E1610" s="2" t="s">
        <v>1006</v>
      </c>
      <c r="F1610" s="2">
        <v>9.5519999999999996</v>
      </c>
      <c r="G1610" s="2" t="s">
        <v>995</v>
      </c>
      <c r="H1610" s="2">
        <v>0</v>
      </c>
      <c r="I1610" s="2">
        <v>0</v>
      </c>
      <c r="J1610" s="2" t="s">
        <v>101</v>
      </c>
      <c r="K1610" s="20">
        <v>45263</v>
      </c>
      <c r="L1610" s="20">
        <v>45269</v>
      </c>
      <c r="M1610" s="20"/>
      <c r="O1610" s="2" t="s">
        <v>146</v>
      </c>
      <c r="P1610" s="2" t="s">
        <v>73</v>
      </c>
      <c r="Q1610" s="2">
        <f t="shared" si="25"/>
        <v>1</v>
      </c>
    </row>
    <row r="1611" spans="1:17" x14ac:dyDescent="0.25">
      <c r="A1611" s="2" t="s">
        <v>4371</v>
      </c>
      <c r="B1611" s="2" t="s">
        <v>4372</v>
      </c>
      <c r="C1611" s="2" t="s">
        <v>19</v>
      </c>
      <c r="D1611" s="2" t="s">
        <v>230</v>
      </c>
      <c r="E1611" s="2" t="s">
        <v>1002</v>
      </c>
      <c r="F1611" s="2">
        <v>23.99</v>
      </c>
      <c r="G1611" s="2" t="s">
        <v>995</v>
      </c>
      <c r="H1611" s="2">
        <v>40</v>
      </c>
      <c r="I1611" s="2">
        <v>9.5960000000000001</v>
      </c>
      <c r="J1611" s="2" t="s">
        <v>101</v>
      </c>
      <c r="K1611" s="20">
        <v>45264</v>
      </c>
      <c r="L1611" s="20">
        <v>45270</v>
      </c>
      <c r="M1611" s="20"/>
      <c r="O1611" s="2" t="s">
        <v>46</v>
      </c>
      <c r="P1611" s="2" t="s">
        <v>47</v>
      </c>
      <c r="Q1611" s="2">
        <f t="shared" si="25"/>
        <v>1</v>
      </c>
    </row>
    <row r="1612" spans="1:17" x14ac:dyDescent="0.25">
      <c r="A1612" s="2" t="s">
        <v>4374</v>
      </c>
      <c r="B1612" s="2" t="s">
        <v>4375</v>
      </c>
      <c r="C1612" s="2" t="s">
        <v>30</v>
      </c>
      <c r="D1612" s="2" t="s">
        <v>324</v>
      </c>
      <c r="E1612" s="2" t="s">
        <v>1006</v>
      </c>
      <c r="F1612" s="2">
        <v>239.45599999999999</v>
      </c>
      <c r="G1612" s="2" t="s">
        <v>995</v>
      </c>
      <c r="H1612" s="2">
        <v>0</v>
      </c>
      <c r="I1612" s="2">
        <v>0</v>
      </c>
      <c r="J1612" s="2" t="s">
        <v>101</v>
      </c>
      <c r="K1612" s="20">
        <v>45265</v>
      </c>
      <c r="L1612" s="20">
        <v>45269</v>
      </c>
      <c r="M1612" s="20"/>
      <c r="O1612" s="2" t="s">
        <v>54</v>
      </c>
      <c r="P1612" s="2" t="s">
        <v>26</v>
      </c>
      <c r="Q1612" s="2">
        <f t="shared" si="25"/>
        <v>1</v>
      </c>
    </row>
    <row r="1613" spans="1:17" x14ac:dyDescent="0.25">
      <c r="A1613" s="2" t="s">
        <v>4376</v>
      </c>
      <c r="B1613" s="2" t="s">
        <v>4377</v>
      </c>
      <c r="C1613" s="2" t="s">
        <v>30</v>
      </c>
      <c r="D1613" s="2" t="s">
        <v>150</v>
      </c>
      <c r="E1613" s="2" t="s">
        <v>994</v>
      </c>
      <c r="F1613" s="2">
        <v>20.952000000000002</v>
      </c>
      <c r="G1613" s="2" t="s">
        <v>995</v>
      </c>
      <c r="H1613" s="2">
        <v>15</v>
      </c>
      <c r="I1613" s="2">
        <v>3.1428000000000003</v>
      </c>
      <c r="J1613" s="2" t="s">
        <v>101</v>
      </c>
      <c r="K1613" s="20">
        <v>45265</v>
      </c>
      <c r="L1613" s="20">
        <v>45270</v>
      </c>
      <c r="M1613" s="20"/>
      <c r="O1613" s="2" t="s">
        <v>67</v>
      </c>
      <c r="P1613" s="2" t="s">
        <v>68</v>
      </c>
      <c r="Q1613" s="2">
        <f t="shared" si="25"/>
        <v>1</v>
      </c>
    </row>
    <row r="1614" spans="1:17" x14ac:dyDescent="0.25">
      <c r="A1614" s="2" t="s">
        <v>4378</v>
      </c>
      <c r="B1614" s="2" t="s">
        <v>4379</v>
      </c>
      <c r="C1614" s="2" t="s">
        <v>30</v>
      </c>
      <c r="D1614" s="2" t="s">
        <v>51</v>
      </c>
      <c r="E1614" s="2" t="s">
        <v>994</v>
      </c>
      <c r="F1614" s="2">
        <v>18.239999999999998</v>
      </c>
      <c r="G1614" s="2" t="s">
        <v>995</v>
      </c>
      <c r="H1614" s="2">
        <v>40</v>
      </c>
      <c r="I1614" s="2">
        <v>7.2959999999999994</v>
      </c>
      <c r="J1614" s="2" t="s">
        <v>101</v>
      </c>
      <c r="K1614" s="20">
        <v>45266</v>
      </c>
      <c r="L1614" s="20">
        <v>45271</v>
      </c>
      <c r="M1614" s="20"/>
      <c r="O1614" s="2" t="s">
        <v>33</v>
      </c>
      <c r="P1614" s="2" t="s">
        <v>34</v>
      </c>
      <c r="Q1614" s="2">
        <f t="shared" si="25"/>
        <v>1</v>
      </c>
    </row>
    <row r="1615" spans="1:17" x14ac:dyDescent="0.25">
      <c r="A1615" s="2" t="s">
        <v>4380</v>
      </c>
      <c r="B1615" s="2" t="s">
        <v>4381</v>
      </c>
      <c r="C1615" s="2" t="s">
        <v>19</v>
      </c>
      <c r="D1615" s="2" t="s">
        <v>154</v>
      </c>
      <c r="E1615" s="2" t="s">
        <v>994</v>
      </c>
      <c r="F1615" s="2">
        <v>301.95999999999998</v>
      </c>
      <c r="G1615" s="2" t="s">
        <v>995</v>
      </c>
      <c r="H1615" s="2">
        <v>40</v>
      </c>
      <c r="I1615" s="2">
        <v>120.78399999999999</v>
      </c>
      <c r="J1615" s="2" t="s">
        <v>101</v>
      </c>
      <c r="K1615" s="20">
        <v>45266</v>
      </c>
      <c r="L1615" s="20">
        <v>45270</v>
      </c>
      <c r="M1615" s="20"/>
      <c r="O1615" s="2" t="s">
        <v>97</v>
      </c>
      <c r="P1615" s="2" t="s">
        <v>68</v>
      </c>
      <c r="Q1615" s="2">
        <f t="shared" si="25"/>
        <v>1</v>
      </c>
    </row>
    <row r="1616" spans="1:17" x14ac:dyDescent="0.25">
      <c r="A1616" s="2" t="s">
        <v>4382</v>
      </c>
      <c r="B1616" s="2" t="s">
        <v>4383</v>
      </c>
      <c r="C1616" s="2" t="s">
        <v>30</v>
      </c>
      <c r="D1616" s="2" t="s">
        <v>96</v>
      </c>
      <c r="E1616" s="2" t="s">
        <v>1002</v>
      </c>
      <c r="F1616" s="2">
        <v>161.376</v>
      </c>
      <c r="G1616" s="2" t="s">
        <v>995</v>
      </c>
      <c r="H1616" s="2">
        <v>40</v>
      </c>
      <c r="I1616" s="2">
        <v>64.55040000000001</v>
      </c>
      <c r="J1616" s="2" t="s">
        <v>101</v>
      </c>
      <c r="K1616" s="20">
        <v>45267</v>
      </c>
      <c r="L1616" s="20">
        <v>45268</v>
      </c>
      <c r="M1616" s="20"/>
      <c r="O1616" s="2" t="s">
        <v>40</v>
      </c>
      <c r="P1616" s="2" t="s">
        <v>34</v>
      </c>
      <c r="Q1616" s="2">
        <f t="shared" si="25"/>
        <v>1</v>
      </c>
    </row>
    <row r="1617" spans="1:17" x14ac:dyDescent="0.25">
      <c r="A1617" s="2" t="s">
        <v>4384</v>
      </c>
      <c r="B1617" s="2" t="s">
        <v>4385</v>
      </c>
      <c r="C1617" s="2" t="s">
        <v>30</v>
      </c>
      <c r="D1617" s="2" t="s">
        <v>86</v>
      </c>
      <c r="E1617" s="2" t="s">
        <v>994</v>
      </c>
      <c r="F1617" s="2">
        <v>17.712</v>
      </c>
      <c r="G1617" s="2" t="s">
        <v>995</v>
      </c>
      <c r="H1617" s="2">
        <v>15</v>
      </c>
      <c r="I1617" s="2">
        <v>2.6568000000000001</v>
      </c>
      <c r="J1617" s="2" t="s">
        <v>101</v>
      </c>
      <c r="K1617" s="20">
        <v>45269</v>
      </c>
      <c r="L1617" s="20">
        <v>45273</v>
      </c>
      <c r="M1617" s="20"/>
      <c r="O1617" s="2" t="s">
        <v>25</v>
      </c>
      <c r="P1617" s="2" t="s">
        <v>26</v>
      </c>
      <c r="Q1617" s="2">
        <f t="shared" si="25"/>
        <v>1</v>
      </c>
    </row>
    <row r="1618" spans="1:17" x14ac:dyDescent="0.25">
      <c r="A1618" s="2" t="s">
        <v>4386</v>
      </c>
      <c r="B1618" s="2" t="s">
        <v>4387</v>
      </c>
      <c r="C1618" s="2" t="s">
        <v>19</v>
      </c>
      <c r="D1618" s="2" t="s">
        <v>38</v>
      </c>
      <c r="E1618" s="2" t="s">
        <v>994</v>
      </c>
      <c r="F1618" s="2">
        <v>5.3879999999999999</v>
      </c>
      <c r="G1618" s="2" t="s">
        <v>995</v>
      </c>
      <c r="H1618" s="2">
        <v>15</v>
      </c>
      <c r="I1618" s="2">
        <v>0.80819999999999992</v>
      </c>
      <c r="J1618" s="2" t="s">
        <v>101</v>
      </c>
      <c r="K1618" s="20">
        <v>45269</v>
      </c>
      <c r="L1618" s="20">
        <v>45273</v>
      </c>
      <c r="M1618" s="20"/>
      <c r="O1618" s="2" t="s">
        <v>97</v>
      </c>
      <c r="P1618" s="2" t="s">
        <v>68</v>
      </c>
      <c r="Q1618" s="2">
        <f t="shared" si="25"/>
        <v>1</v>
      </c>
    </row>
    <row r="1619" spans="1:17" x14ac:dyDescent="0.25">
      <c r="A1619" s="2" t="s">
        <v>4388</v>
      </c>
      <c r="B1619" s="2" t="s">
        <v>4389</v>
      </c>
      <c r="C1619" s="2" t="s">
        <v>30</v>
      </c>
      <c r="D1619" s="2" t="s">
        <v>119</v>
      </c>
      <c r="E1619" s="2" t="s">
        <v>21</v>
      </c>
      <c r="F1619" s="2">
        <v>1288.4640000000002</v>
      </c>
      <c r="G1619" s="2" t="s">
        <v>22</v>
      </c>
      <c r="H1619" s="2">
        <v>0</v>
      </c>
      <c r="I1619" s="2">
        <v>0</v>
      </c>
      <c r="J1619" s="2" t="s">
        <v>101</v>
      </c>
      <c r="K1619" s="20">
        <v>45269</v>
      </c>
      <c r="L1619" s="20">
        <v>45271</v>
      </c>
      <c r="M1619" s="20">
        <v>45271</v>
      </c>
      <c r="N1619" s="2" t="s">
        <v>53</v>
      </c>
      <c r="O1619" s="2" t="s">
        <v>40</v>
      </c>
      <c r="P1619" s="2" t="s">
        <v>34</v>
      </c>
      <c r="Q1619" s="2">
        <f t="shared" si="25"/>
        <v>1</v>
      </c>
    </row>
    <row r="1620" spans="1:17" x14ac:dyDescent="0.25">
      <c r="A1620" s="2" t="s">
        <v>4391</v>
      </c>
      <c r="B1620" s="2" t="s">
        <v>4392</v>
      </c>
      <c r="C1620" s="2" t="s">
        <v>30</v>
      </c>
      <c r="D1620" s="2" t="s">
        <v>230</v>
      </c>
      <c r="E1620" s="2" t="s">
        <v>1006</v>
      </c>
      <c r="F1620" s="2">
        <v>79.98</v>
      </c>
      <c r="G1620" s="2" t="s">
        <v>995</v>
      </c>
      <c r="H1620" s="2">
        <v>0</v>
      </c>
      <c r="I1620" s="2">
        <v>0</v>
      </c>
      <c r="J1620" s="2" t="s">
        <v>101</v>
      </c>
      <c r="K1620" s="20">
        <v>45271</v>
      </c>
      <c r="L1620" s="20">
        <v>45276</v>
      </c>
      <c r="M1620" s="20"/>
      <c r="O1620" s="2" t="s">
        <v>54</v>
      </c>
      <c r="P1620" s="2" t="s">
        <v>26</v>
      </c>
      <c r="Q1620" s="2">
        <f t="shared" si="25"/>
        <v>1</v>
      </c>
    </row>
    <row r="1621" spans="1:17" x14ac:dyDescent="0.25">
      <c r="A1621" s="2" t="s">
        <v>4394</v>
      </c>
      <c r="B1621" s="2" t="s">
        <v>4395</v>
      </c>
      <c r="C1621" s="2" t="s">
        <v>19</v>
      </c>
      <c r="D1621" s="2" t="s">
        <v>105</v>
      </c>
      <c r="E1621" s="2" t="s">
        <v>1002</v>
      </c>
      <c r="F1621" s="2">
        <v>8.82</v>
      </c>
      <c r="G1621" s="2" t="s">
        <v>995</v>
      </c>
      <c r="H1621" s="2">
        <v>40</v>
      </c>
      <c r="I1621" s="2">
        <v>3.5280000000000005</v>
      </c>
      <c r="J1621" s="2" t="s">
        <v>101</v>
      </c>
      <c r="K1621" s="20">
        <v>45271</v>
      </c>
      <c r="L1621" s="20">
        <v>45273</v>
      </c>
      <c r="M1621" s="20"/>
      <c r="O1621" s="2" t="s">
        <v>33</v>
      </c>
      <c r="P1621" s="2" t="s">
        <v>34</v>
      </c>
      <c r="Q1621" s="2">
        <f t="shared" si="25"/>
        <v>1</v>
      </c>
    </row>
    <row r="1622" spans="1:17" x14ac:dyDescent="0.25">
      <c r="A1622" s="2" t="s">
        <v>4396</v>
      </c>
      <c r="B1622" s="2" t="s">
        <v>4397</v>
      </c>
      <c r="C1622" s="2" t="s">
        <v>30</v>
      </c>
      <c r="D1622" s="2" t="s">
        <v>77</v>
      </c>
      <c r="E1622" s="2" t="s">
        <v>1002</v>
      </c>
      <c r="F1622" s="2">
        <v>1071</v>
      </c>
      <c r="G1622" s="2" t="s">
        <v>995</v>
      </c>
      <c r="H1622" s="2">
        <v>40</v>
      </c>
      <c r="I1622" s="2">
        <v>428.40000000000003</v>
      </c>
      <c r="J1622" s="2" t="s">
        <v>101</v>
      </c>
      <c r="K1622" s="20">
        <v>45272</v>
      </c>
      <c r="L1622" s="20">
        <v>45272</v>
      </c>
      <c r="M1622" s="20"/>
      <c r="O1622" s="2" t="s">
        <v>46</v>
      </c>
      <c r="P1622" s="2" t="s">
        <v>47</v>
      </c>
      <c r="Q1622" s="2">
        <f t="shared" si="25"/>
        <v>1</v>
      </c>
    </row>
    <row r="1623" spans="1:17" x14ac:dyDescent="0.25">
      <c r="A1623" s="2" t="s">
        <v>4398</v>
      </c>
      <c r="B1623" s="2" t="s">
        <v>4399</v>
      </c>
      <c r="C1623" s="2" t="s">
        <v>30</v>
      </c>
      <c r="D1623" s="2" t="s">
        <v>115</v>
      </c>
      <c r="E1623" s="2" t="s">
        <v>1006</v>
      </c>
      <c r="F1623" s="2">
        <v>55.86</v>
      </c>
      <c r="G1623" s="2" t="s">
        <v>995</v>
      </c>
      <c r="H1623" s="2">
        <v>0</v>
      </c>
      <c r="I1623" s="2">
        <v>0</v>
      </c>
      <c r="J1623" s="2" t="s">
        <v>101</v>
      </c>
      <c r="K1623" s="20">
        <v>45274</v>
      </c>
      <c r="L1623" s="20">
        <v>45280</v>
      </c>
      <c r="M1623" s="20"/>
      <c r="O1623" s="2" t="s">
        <v>40</v>
      </c>
      <c r="P1623" s="2" t="s">
        <v>34</v>
      </c>
      <c r="Q1623" s="2">
        <f t="shared" si="25"/>
        <v>1</v>
      </c>
    </row>
    <row r="1624" spans="1:17" x14ac:dyDescent="0.25">
      <c r="A1624" s="2" t="s">
        <v>4401</v>
      </c>
      <c r="B1624" s="2" t="s">
        <v>4402</v>
      </c>
      <c r="C1624" s="2" t="s">
        <v>30</v>
      </c>
      <c r="D1624" s="2" t="s">
        <v>154</v>
      </c>
      <c r="E1624" s="2" t="s">
        <v>1002</v>
      </c>
      <c r="F1624" s="2">
        <v>89.584000000000003</v>
      </c>
      <c r="G1624" s="2" t="s">
        <v>995</v>
      </c>
      <c r="H1624" s="2">
        <v>40</v>
      </c>
      <c r="I1624" s="2">
        <v>35.833600000000004</v>
      </c>
      <c r="J1624" s="2" t="s">
        <v>101</v>
      </c>
      <c r="K1624" s="20">
        <v>45274</v>
      </c>
      <c r="L1624" s="20">
        <v>45278</v>
      </c>
      <c r="M1624" s="20"/>
      <c r="O1624" s="2" t="s">
        <v>33</v>
      </c>
      <c r="P1624" s="2" t="s">
        <v>34</v>
      </c>
      <c r="Q1624" s="2">
        <f t="shared" si="25"/>
        <v>1</v>
      </c>
    </row>
    <row r="1625" spans="1:17" x14ac:dyDescent="0.25">
      <c r="A1625" s="2" t="s">
        <v>4404</v>
      </c>
      <c r="B1625" s="2" t="s">
        <v>4405</v>
      </c>
      <c r="C1625" s="2" t="s">
        <v>19</v>
      </c>
      <c r="D1625" s="2" t="s">
        <v>96</v>
      </c>
      <c r="E1625" s="2" t="s">
        <v>994</v>
      </c>
      <c r="F1625" s="2">
        <v>29.95</v>
      </c>
      <c r="G1625" s="2" t="s">
        <v>995</v>
      </c>
      <c r="H1625" s="2">
        <v>40</v>
      </c>
      <c r="I1625" s="2">
        <v>11.98</v>
      </c>
      <c r="J1625" s="2" t="s">
        <v>101</v>
      </c>
      <c r="K1625" s="20">
        <v>45276</v>
      </c>
      <c r="L1625" s="20">
        <v>45280</v>
      </c>
      <c r="M1625" s="20"/>
      <c r="O1625" s="2" t="s">
        <v>54</v>
      </c>
      <c r="P1625" s="2" t="s">
        <v>26</v>
      </c>
      <c r="Q1625" s="2">
        <f t="shared" si="25"/>
        <v>1</v>
      </c>
    </row>
    <row r="1626" spans="1:17" x14ac:dyDescent="0.25">
      <c r="A1626" s="2" t="s">
        <v>4407</v>
      </c>
      <c r="B1626" s="2" t="s">
        <v>4408</v>
      </c>
      <c r="C1626" s="2" t="s">
        <v>30</v>
      </c>
      <c r="D1626" s="2" t="s">
        <v>96</v>
      </c>
      <c r="E1626" s="2" t="s">
        <v>1002</v>
      </c>
      <c r="F1626" s="2">
        <v>336.51</v>
      </c>
      <c r="G1626" s="2" t="s">
        <v>995</v>
      </c>
      <c r="H1626" s="2">
        <v>40</v>
      </c>
      <c r="I1626" s="2">
        <v>134.60400000000001</v>
      </c>
      <c r="J1626" s="2" t="s">
        <v>101</v>
      </c>
      <c r="K1626" s="20">
        <v>45279</v>
      </c>
      <c r="L1626" s="20">
        <v>45281</v>
      </c>
      <c r="M1626" s="20"/>
      <c r="O1626" s="2" t="s">
        <v>82</v>
      </c>
      <c r="P1626" s="2" t="s">
        <v>47</v>
      </c>
      <c r="Q1626" s="2">
        <f t="shared" si="25"/>
        <v>1</v>
      </c>
    </row>
    <row r="1627" spans="1:17" x14ac:dyDescent="0.25">
      <c r="A1627" s="2" t="s">
        <v>4410</v>
      </c>
      <c r="B1627" s="2" t="s">
        <v>4411</v>
      </c>
      <c r="C1627" s="2" t="s">
        <v>19</v>
      </c>
      <c r="D1627" s="2" t="s">
        <v>154</v>
      </c>
      <c r="E1627" s="2" t="s">
        <v>1006</v>
      </c>
      <c r="F1627" s="2">
        <v>35</v>
      </c>
      <c r="G1627" s="2" t="s">
        <v>995</v>
      </c>
      <c r="H1627" s="2">
        <v>0</v>
      </c>
      <c r="I1627" s="2">
        <v>0</v>
      </c>
      <c r="J1627" s="2" t="s">
        <v>101</v>
      </c>
      <c r="K1627" s="20">
        <v>45279</v>
      </c>
      <c r="L1627" s="20">
        <v>45282</v>
      </c>
      <c r="M1627" s="20"/>
      <c r="O1627" s="2" t="s">
        <v>67</v>
      </c>
      <c r="P1627" s="2" t="s">
        <v>68</v>
      </c>
      <c r="Q1627" s="2">
        <f t="shared" si="25"/>
        <v>1</v>
      </c>
    </row>
    <row r="1628" spans="1:17" x14ac:dyDescent="0.25">
      <c r="A1628" s="2" t="s">
        <v>4412</v>
      </c>
      <c r="B1628" s="2" t="s">
        <v>4413</v>
      </c>
      <c r="C1628" s="2" t="s">
        <v>19</v>
      </c>
      <c r="D1628" s="2" t="s">
        <v>164</v>
      </c>
      <c r="E1628" s="2" t="s">
        <v>1006</v>
      </c>
      <c r="F1628" s="2">
        <v>27.36</v>
      </c>
      <c r="G1628" s="2" t="s">
        <v>995</v>
      </c>
      <c r="H1628" s="2">
        <v>0</v>
      </c>
      <c r="I1628" s="2">
        <v>0</v>
      </c>
      <c r="J1628" s="2" t="s">
        <v>101</v>
      </c>
      <c r="K1628" s="20">
        <v>45281</v>
      </c>
      <c r="L1628" s="20">
        <v>45284</v>
      </c>
      <c r="M1628" s="20"/>
      <c r="O1628" s="2" t="s">
        <v>46</v>
      </c>
      <c r="P1628" s="2" t="s">
        <v>47</v>
      </c>
      <c r="Q1628" s="2">
        <f t="shared" si="25"/>
        <v>1</v>
      </c>
    </row>
    <row r="1629" spans="1:17" x14ac:dyDescent="0.25">
      <c r="A1629" s="2" t="s">
        <v>4414</v>
      </c>
      <c r="B1629" s="2" t="s">
        <v>4415</v>
      </c>
      <c r="C1629" s="2" t="s">
        <v>30</v>
      </c>
      <c r="D1629" s="2" t="s">
        <v>119</v>
      </c>
      <c r="E1629" s="2" t="s">
        <v>1006</v>
      </c>
      <c r="F1629" s="2">
        <v>15.8</v>
      </c>
      <c r="G1629" s="2" t="s">
        <v>995</v>
      </c>
      <c r="H1629" s="2">
        <v>0</v>
      </c>
      <c r="I1629" s="2">
        <v>0</v>
      </c>
      <c r="J1629" s="2" t="s">
        <v>101</v>
      </c>
      <c r="K1629" s="20">
        <v>45287</v>
      </c>
      <c r="L1629" s="20">
        <v>45291</v>
      </c>
      <c r="M1629" s="20"/>
      <c r="O1629" s="2" t="s">
        <v>72</v>
      </c>
      <c r="P1629" s="2" t="s">
        <v>73</v>
      </c>
      <c r="Q1629" s="2">
        <f t="shared" si="25"/>
        <v>1</v>
      </c>
    </row>
    <row r="1630" spans="1:17" x14ac:dyDescent="0.25">
      <c r="A1630" s="2" t="s">
        <v>4417</v>
      </c>
      <c r="B1630" s="2" t="s">
        <v>4418</v>
      </c>
      <c r="C1630" s="2" t="s">
        <v>19</v>
      </c>
      <c r="D1630" s="2" t="s">
        <v>345</v>
      </c>
      <c r="E1630" s="2" t="s">
        <v>1002</v>
      </c>
      <c r="F1630" s="2">
        <v>42.76</v>
      </c>
      <c r="G1630" s="2" t="s">
        <v>995</v>
      </c>
      <c r="H1630" s="2">
        <v>40</v>
      </c>
      <c r="I1630" s="2">
        <v>17.103999999999999</v>
      </c>
      <c r="J1630" s="2" t="s">
        <v>101</v>
      </c>
      <c r="K1630" s="20">
        <v>45288</v>
      </c>
      <c r="L1630" s="20">
        <v>45294</v>
      </c>
      <c r="M1630" s="20"/>
      <c r="O1630" s="2" t="s">
        <v>97</v>
      </c>
      <c r="P1630" s="2" t="s">
        <v>68</v>
      </c>
      <c r="Q1630" s="2">
        <f t="shared" si="25"/>
        <v>1</v>
      </c>
    </row>
    <row r="1631" spans="1:17" x14ac:dyDescent="0.25">
      <c r="A1631" s="2" t="s">
        <v>4419</v>
      </c>
      <c r="B1631" s="2" t="s">
        <v>4420</v>
      </c>
      <c r="C1631" s="2" t="s">
        <v>19</v>
      </c>
      <c r="D1631" s="2" t="s">
        <v>345</v>
      </c>
      <c r="E1631" s="2" t="s">
        <v>1006</v>
      </c>
      <c r="F1631" s="2">
        <v>39.984000000000002</v>
      </c>
      <c r="G1631" s="2" t="s">
        <v>995</v>
      </c>
      <c r="H1631" s="2">
        <v>0</v>
      </c>
      <c r="I1631" s="2">
        <v>0</v>
      </c>
      <c r="J1631" s="2" t="s">
        <v>101</v>
      </c>
      <c r="K1631" s="20">
        <v>45290</v>
      </c>
      <c r="L1631" s="20">
        <v>45292</v>
      </c>
      <c r="M1631" s="20"/>
      <c r="O1631" s="2" t="s">
        <v>146</v>
      </c>
      <c r="P1631" s="2" t="s">
        <v>73</v>
      </c>
      <c r="Q1631" s="2">
        <f t="shared" si="25"/>
        <v>1</v>
      </c>
    </row>
    <row r="1632" spans="1:17" x14ac:dyDescent="0.25">
      <c r="A1632" s="2" t="s">
        <v>4422</v>
      </c>
      <c r="B1632" s="2" t="s">
        <v>4423</v>
      </c>
      <c r="C1632" s="2" t="s">
        <v>19</v>
      </c>
      <c r="D1632" s="2" t="s">
        <v>20</v>
      </c>
      <c r="E1632" s="2" t="s">
        <v>1006</v>
      </c>
      <c r="F1632" s="2">
        <v>49.96</v>
      </c>
      <c r="G1632" s="2" t="s">
        <v>995</v>
      </c>
      <c r="H1632" s="2">
        <v>0</v>
      </c>
      <c r="I1632" s="2">
        <v>0</v>
      </c>
      <c r="J1632" s="2" t="s">
        <v>101</v>
      </c>
      <c r="K1632" s="20">
        <v>45292</v>
      </c>
      <c r="L1632" s="20">
        <v>45297</v>
      </c>
      <c r="M1632" s="20"/>
      <c r="O1632" s="2" t="s">
        <v>25</v>
      </c>
      <c r="P1632" s="2" t="s">
        <v>26</v>
      </c>
      <c r="Q1632" s="2">
        <f t="shared" si="25"/>
        <v>1</v>
      </c>
    </row>
    <row r="1633" spans="1:17" x14ac:dyDescent="0.25">
      <c r="A1633" s="2" t="s">
        <v>4425</v>
      </c>
      <c r="B1633" s="2" t="s">
        <v>4426</v>
      </c>
      <c r="C1633" s="2" t="s">
        <v>19</v>
      </c>
      <c r="D1633" s="2" t="s">
        <v>154</v>
      </c>
      <c r="E1633" s="2" t="s">
        <v>994</v>
      </c>
      <c r="F1633" s="2">
        <v>263.88</v>
      </c>
      <c r="G1633" s="2" t="s">
        <v>995</v>
      </c>
      <c r="H1633" s="2">
        <v>15</v>
      </c>
      <c r="I1633" s="2">
        <v>39.582000000000001</v>
      </c>
      <c r="J1633" s="2" t="s">
        <v>101</v>
      </c>
      <c r="K1633" s="20">
        <v>45292</v>
      </c>
      <c r="L1633" s="20">
        <v>45298</v>
      </c>
      <c r="M1633" s="20"/>
      <c r="O1633" s="2" t="s">
        <v>54</v>
      </c>
      <c r="P1633" s="2" t="s">
        <v>26</v>
      </c>
      <c r="Q1633" s="2">
        <f t="shared" si="25"/>
        <v>1</v>
      </c>
    </row>
    <row r="1634" spans="1:17" x14ac:dyDescent="0.25">
      <c r="A1634" s="2" t="s">
        <v>4428</v>
      </c>
      <c r="B1634" s="2" t="s">
        <v>4429</v>
      </c>
      <c r="C1634" s="2" t="s">
        <v>30</v>
      </c>
      <c r="D1634" s="2" t="s">
        <v>38</v>
      </c>
      <c r="E1634" s="2" t="s">
        <v>1006</v>
      </c>
      <c r="F1634" s="2">
        <v>13.05</v>
      </c>
      <c r="G1634" s="2" t="s">
        <v>995</v>
      </c>
      <c r="H1634" s="2">
        <v>0</v>
      </c>
      <c r="I1634" s="2">
        <v>0</v>
      </c>
      <c r="J1634" s="2" t="s">
        <v>101</v>
      </c>
      <c r="K1634" s="20">
        <v>45293</v>
      </c>
      <c r="L1634" s="20">
        <v>45297</v>
      </c>
      <c r="M1634" s="20"/>
      <c r="O1634" s="2" t="s">
        <v>33</v>
      </c>
      <c r="P1634" s="2" t="s">
        <v>34</v>
      </c>
      <c r="Q1634" s="2">
        <f t="shared" si="25"/>
        <v>1</v>
      </c>
    </row>
    <row r="1635" spans="1:17" x14ac:dyDescent="0.25">
      <c r="A1635" s="2" t="s">
        <v>4430</v>
      </c>
      <c r="B1635" s="2" t="s">
        <v>4431</v>
      </c>
      <c r="C1635" s="2" t="s">
        <v>30</v>
      </c>
      <c r="D1635" s="2" t="s">
        <v>370</v>
      </c>
      <c r="E1635" s="2" t="s">
        <v>1006</v>
      </c>
      <c r="F1635" s="2">
        <v>39.624000000000002</v>
      </c>
      <c r="G1635" s="2" t="s">
        <v>995</v>
      </c>
      <c r="H1635" s="2">
        <v>0</v>
      </c>
      <c r="I1635" s="2">
        <v>0</v>
      </c>
      <c r="J1635" s="2" t="s">
        <v>101</v>
      </c>
      <c r="K1635" s="20">
        <v>45301</v>
      </c>
      <c r="L1635" s="20">
        <v>45305</v>
      </c>
      <c r="M1635" s="20"/>
      <c r="O1635" s="2" t="s">
        <v>72</v>
      </c>
      <c r="P1635" s="2" t="s">
        <v>73</v>
      </c>
      <c r="Q1635" s="2">
        <f t="shared" si="25"/>
        <v>1</v>
      </c>
    </row>
    <row r="1636" spans="1:17" x14ac:dyDescent="0.25">
      <c r="A1636" s="2" t="s">
        <v>4432</v>
      </c>
      <c r="B1636" s="2" t="s">
        <v>4433</v>
      </c>
      <c r="C1636" s="2" t="s">
        <v>30</v>
      </c>
      <c r="D1636" s="2" t="s">
        <v>115</v>
      </c>
      <c r="E1636" s="2" t="s">
        <v>1006</v>
      </c>
      <c r="F1636" s="2">
        <v>45.527999999999999</v>
      </c>
      <c r="G1636" s="2" t="s">
        <v>995</v>
      </c>
      <c r="H1636" s="2">
        <v>0</v>
      </c>
      <c r="I1636" s="2">
        <v>0</v>
      </c>
      <c r="J1636" s="2" t="s">
        <v>101</v>
      </c>
      <c r="K1636" s="20">
        <v>45306</v>
      </c>
      <c r="L1636" s="20">
        <v>45311</v>
      </c>
      <c r="M1636" s="20"/>
      <c r="O1636" s="2" t="s">
        <v>33</v>
      </c>
      <c r="P1636" s="2" t="s">
        <v>34</v>
      </c>
      <c r="Q1636" s="2">
        <f t="shared" si="25"/>
        <v>1</v>
      </c>
    </row>
    <row r="1637" spans="1:17" x14ac:dyDescent="0.25">
      <c r="A1637" s="12" t="s">
        <v>4774</v>
      </c>
      <c r="B1637" s="2" t="s">
        <v>4433</v>
      </c>
      <c r="C1637" s="2" t="s">
        <v>30</v>
      </c>
      <c r="D1637" s="2" t="s">
        <v>115</v>
      </c>
      <c r="E1637" s="2" t="s">
        <v>1006</v>
      </c>
      <c r="F1637" s="2">
        <v>45.527999999999999</v>
      </c>
      <c r="G1637" s="2" t="s">
        <v>995</v>
      </c>
      <c r="H1637" s="2">
        <v>0</v>
      </c>
      <c r="I1637" s="2">
        <v>0</v>
      </c>
      <c r="J1637" s="2" t="s">
        <v>101</v>
      </c>
      <c r="K1637" s="20">
        <v>45306</v>
      </c>
      <c r="L1637" s="20">
        <v>45311</v>
      </c>
      <c r="M1637" s="20"/>
      <c r="O1637" s="2" t="s">
        <v>33</v>
      </c>
      <c r="P1637" s="2" t="s">
        <v>34</v>
      </c>
      <c r="Q1637" s="2">
        <f t="shared" si="25"/>
        <v>8</v>
      </c>
    </row>
    <row r="1638" spans="1:17" x14ac:dyDescent="0.25">
      <c r="A1638" s="2" t="s">
        <v>4434</v>
      </c>
      <c r="B1638" s="2" t="s">
        <v>4435</v>
      </c>
      <c r="C1638" s="2" t="s">
        <v>19</v>
      </c>
      <c r="D1638" s="2" t="s">
        <v>81</v>
      </c>
      <c r="E1638" s="2" t="s">
        <v>994</v>
      </c>
      <c r="F1638" s="2">
        <v>23.18</v>
      </c>
      <c r="G1638" s="2" t="s">
        <v>995</v>
      </c>
      <c r="H1638" s="2">
        <v>40</v>
      </c>
      <c r="I1638" s="2">
        <v>9.2720000000000002</v>
      </c>
      <c r="J1638" s="2" t="s">
        <v>101</v>
      </c>
      <c r="K1638" s="20">
        <v>45312</v>
      </c>
      <c r="L1638" s="20">
        <v>45318</v>
      </c>
      <c r="M1638" s="20"/>
      <c r="O1638" s="2" t="s">
        <v>46</v>
      </c>
      <c r="P1638" s="2" t="s">
        <v>47</v>
      </c>
      <c r="Q1638" s="2">
        <f t="shared" si="25"/>
        <v>1</v>
      </c>
    </row>
    <row r="1639" spans="1:17" x14ac:dyDescent="0.25">
      <c r="A1639" s="2" t="s">
        <v>4436</v>
      </c>
      <c r="B1639" s="2" t="s">
        <v>4437</v>
      </c>
      <c r="C1639" s="2" t="s">
        <v>19</v>
      </c>
      <c r="D1639" s="2" t="s">
        <v>31</v>
      </c>
      <c r="E1639" s="2" t="s">
        <v>994</v>
      </c>
      <c r="F1639" s="2">
        <v>313.72199999999998</v>
      </c>
      <c r="G1639" s="2" t="s">
        <v>995</v>
      </c>
      <c r="H1639" s="2">
        <v>40</v>
      </c>
      <c r="I1639" s="2">
        <v>125.4888</v>
      </c>
      <c r="J1639" s="2" t="s">
        <v>101</v>
      </c>
      <c r="K1639" s="20">
        <v>45319</v>
      </c>
      <c r="L1639" s="20">
        <v>45323</v>
      </c>
      <c r="M1639" s="20"/>
      <c r="O1639" s="2" t="s">
        <v>54</v>
      </c>
      <c r="P1639" s="2" t="s">
        <v>26</v>
      </c>
      <c r="Q1639" s="2">
        <f t="shared" si="25"/>
        <v>1</v>
      </c>
    </row>
    <row r="1640" spans="1:17" x14ac:dyDescent="0.25">
      <c r="A1640" s="2" t="s">
        <v>4438</v>
      </c>
      <c r="B1640" s="2" t="s">
        <v>4439</v>
      </c>
      <c r="C1640" s="2" t="s">
        <v>19</v>
      </c>
      <c r="D1640" s="2" t="s">
        <v>119</v>
      </c>
      <c r="E1640" s="2" t="s">
        <v>1002</v>
      </c>
      <c r="F1640" s="2">
        <v>8.4480000000000004</v>
      </c>
      <c r="G1640" s="2" t="s">
        <v>995</v>
      </c>
      <c r="H1640" s="2">
        <v>40</v>
      </c>
      <c r="I1640" s="2">
        <v>3.3792000000000004</v>
      </c>
      <c r="J1640" s="2" t="s">
        <v>101</v>
      </c>
      <c r="K1640" s="20">
        <v>45320</v>
      </c>
      <c r="L1640" s="20">
        <v>45324</v>
      </c>
      <c r="M1640" s="20"/>
      <c r="O1640" s="2" t="s">
        <v>40</v>
      </c>
      <c r="P1640" s="2" t="s">
        <v>34</v>
      </c>
      <c r="Q1640" s="2">
        <f t="shared" si="25"/>
        <v>1</v>
      </c>
    </row>
    <row r="1641" spans="1:17" x14ac:dyDescent="0.25">
      <c r="A1641" s="2" t="s">
        <v>4441</v>
      </c>
      <c r="B1641" s="2" t="s">
        <v>4442</v>
      </c>
      <c r="C1641" s="2" t="s">
        <v>19</v>
      </c>
      <c r="D1641" s="2" t="s">
        <v>150</v>
      </c>
      <c r="E1641" s="2" t="s">
        <v>1006</v>
      </c>
      <c r="F1641" s="2">
        <v>7999.9799999999896</v>
      </c>
      <c r="G1641" s="2" t="s">
        <v>995</v>
      </c>
      <c r="H1641" s="2">
        <v>0</v>
      </c>
      <c r="I1641" s="2">
        <v>0</v>
      </c>
      <c r="J1641" s="2" t="s">
        <v>101</v>
      </c>
      <c r="K1641" s="20">
        <v>45321</v>
      </c>
      <c r="L1641" s="20">
        <v>45328</v>
      </c>
      <c r="M1641" s="20"/>
      <c r="O1641" s="2" t="s">
        <v>40</v>
      </c>
      <c r="P1641" s="2" t="s">
        <v>34</v>
      </c>
      <c r="Q1641" s="2">
        <f t="shared" si="25"/>
        <v>1</v>
      </c>
    </row>
    <row r="1642" spans="1:17" x14ac:dyDescent="0.25">
      <c r="A1642" s="2" t="s">
        <v>4444</v>
      </c>
      <c r="B1642" s="2" t="s">
        <v>4445</v>
      </c>
      <c r="C1642" s="2" t="s">
        <v>30</v>
      </c>
      <c r="D1642" s="2" t="s">
        <v>164</v>
      </c>
      <c r="E1642" s="2" t="s">
        <v>1006</v>
      </c>
      <c r="F1642" s="2">
        <v>199.75</v>
      </c>
      <c r="G1642" s="2" t="s">
        <v>995</v>
      </c>
      <c r="H1642" s="2">
        <v>0</v>
      </c>
      <c r="I1642" s="2">
        <v>0</v>
      </c>
      <c r="J1642" s="2" t="s">
        <v>101</v>
      </c>
      <c r="K1642" s="20">
        <v>45321</v>
      </c>
      <c r="L1642" s="20">
        <v>45325</v>
      </c>
      <c r="M1642" s="20"/>
      <c r="O1642" s="2" t="s">
        <v>33</v>
      </c>
      <c r="P1642" s="2" t="s">
        <v>34</v>
      </c>
      <c r="Q1642" s="2">
        <f t="shared" si="25"/>
        <v>1</v>
      </c>
    </row>
    <row r="1643" spans="1:17" x14ac:dyDescent="0.25">
      <c r="A1643" s="2" t="s">
        <v>4446</v>
      </c>
      <c r="B1643" s="2" t="s">
        <v>4447</v>
      </c>
      <c r="C1643" s="2" t="s">
        <v>19</v>
      </c>
      <c r="D1643" s="2" t="s">
        <v>211</v>
      </c>
      <c r="E1643" s="2" t="s">
        <v>1006</v>
      </c>
      <c r="F1643" s="2">
        <v>27.78</v>
      </c>
      <c r="G1643" s="2" t="s">
        <v>995</v>
      </c>
      <c r="H1643" s="2">
        <v>0</v>
      </c>
      <c r="I1643" s="2">
        <v>0</v>
      </c>
      <c r="J1643" s="2" t="s">
        <v>101</v>
      </c>
      <c r="K1643" s="20">
        <v>45322</v>
      </c>
      <c r="L1643" s="20">
        <v>45325</v>
      </c>
      <c r="M1643" s="20"/>
      <c r="O1643" s="2" t="s">
        <v>46</v>
      </c>
      <c r="P1643" s="2" t="s">
        <v>47</v>
      </c>
      <c r="Q1643" s="2">
        <f t="shared" si="25"/>
        <v>1</v>
      </c>
    </row>
    <row r="1644" spans="1:17" x14ac:dyDescent="0.25">
      <c r="A1644" s="2" t="s">
        <v>4449</v>
      </c>
      <c r="B1644" s="2" t="s">
        <v>4450</v>
      </c>
      <c r="C1644" s="2" t="s">
        <v>19</v>
      </c>
      <c r="D1644" s="2" t="s">
        <v>164</v>
      </c>
      <c r="E1644" s="2" t="s">
        <v>1006</v>
      </c>
      <c r="F1644" s="2">
        <v>155.37200000000001</v>
      </c>
      <c r="G1644" s="2" t="s">
        <v>995</v>
      </c>
      <c r="H1644" s="2">
        <v>0</v>
      </c>
      <c r="I1644" s="2">
        <v>0</v>
      </c>
      <c r="J1644" s="2" t="s">
        <v>101</v>
      </c>
      <c r="K1644" s="20">
        <v>45329</v>
      </c>
      <c r="L1644" s="20">
        <v>45332</v>
      </c>
      <c r="M1644" s="20"/>
      <c r="O1644" s="2" t="s">
        <v>82</v>
      </c>
      <c r="P1644" s="2" t="s">
        <v>47</v>
      </c>
      <c r="Q1644" s="2">
        <f t="shared" si="25"/>
        <v>1</v>
      </c>
    </row>
    <row r="1645" spans="1:17" x14ac:dyDescent="0.25">
      <c r="A1645" s="2" t="s">
        <v>4452</v>
      </c>
      <c r="B1645" s="2" t="s">
        <v>4453</v>
      </c>
      <c r="C1645" s="2" t="s">
        <v>30</v>
      </c>
      <c r="D1645" s="2" t="s">
        <v>154</v>
      </c>
      <c r="E1645" s="2" t="s">
        <v>994</v>
      </c>
      <c r="F1645" s="2">
        <v>166.44</v>
      </c>
      <c r="G1645" s="2" t="s">
        <v>995</v>
      </c>
      <c r="H1645" s="2">
        <v>15</v>
      </c>
      <c r="I1645" s="2">
        <v>24.965999999999998</v>
      </c>
      <c r="J1645" s="2" t="s">
        <v>101</v>
      </c>
      <c r="K1645" s="20">
        <v>45332</v>
      </c>
      <c r="L1645" s="20">
        <v>45336</v>
      </c>
      <c r="M1645" s="20"/>
      <c r="O1645" s="2" t="s">
        <v>146</v>
      </c>
      <c r="P1645" s="2" t="s">
        <v>73</v>
      </c>
      <c r="Q1645" s="2">
        <f t="shared" si="25"/>
        <v>1</v>
      </c>
    </row>
    <row r="1646" spans="1:17" x14ac:dyDescent="0.25">
      <c r="A1646" s="2" t="s">
        <v>4455</v>
      </c>
      <c r="B1646" s="2" t="s">
        <v>4456</v>
      </c>
      <c r="C1646" s="2" t="s">
        <v>19</v>
      </c>
      <c r="D1646" s="2" t="s">
        <v>164</v>
      </c>
      <c r="E1646" s="2" t="s">
        <v>994</v>
      </c>
      <c r="F1646" s="2">
        <v>11.54</v>
      </c>
      <c r="G1646" s="2" t="s">
        <v>995</v>
      </c>
      <c r="H1646" s="2">
        <v>15</v>
      </c>
      <c r="I1646" s="2">
        <v>1.7309999999999999</v>
      </c>
      <c r="J1646" s="2" t="s">
        <v>101</v>
      </c>
      <c r="K1646" s="20">
        <v>45333</v>
      </c>
      <c r="L1646" s="20">
        <v>45336</v>
      </c>
      <c r="M1646" s="20"/>
      <c r="O1646" s="2" t="s">
        <v>97</v>
      </c>
      <c r="P1646" s="2" t="s">
        <v>68</v>
      </c>
      <c r="Q1646" s="2">
        <f t="shared" si="25"/>
        <v>1</v>
      </c>
    </row>
    <row r="1647" spans="1:17" x14ac:dyDescent="0.25">
      <c r="A1647" s="2" t="s">
        <v>4457</v>
      </c>
      <c r="B1647" s="2" t="s">
        <v>4458</v>
      </c>
      <c r="C1647" s="2" t="s">
        <v>19</v>
      </c>
      <c r="D1647" s="2" t="s">
        <v>324</v>
      </c>
      <c r="E1647" s="2" t="s">
        <v>1006</v>
      </c>
      <c r="F1647" s="2">
        <v>12.96</v>
      </c>
      <c r="G1647" s="2" t="s">
        <v>995</v>
      </c>
      <c r="H1647" s="2">
        <v>0</v>
      </c>
      <c r="I1647" s="2">
        <v>0</v>
      </c>
      <c r="J1647" s="2" t="s">
        <v>101</v>
      </c>
      <c r="K1647" s="20">
        <v>45334</v>
      </c>
      <c r="L1647" s="20">
        <v>45338</v>
      </c>
      <c r="M1647" s="20"/>
      <c r="O1647" s="2" t="s">
        <v>33</v>
      </c>
      <c r="P1647" s="2" t="s">
        <v>34</v>
      </c>
      <c r="Q1647" s="2">
        <f t="shared" si="25"/>
        <v>1</v>
      </c>
    </row>
    <row r="1648" spans="1:17" x14ac:dyDescent="0.25">
      <c r="A1648" s="2" t="s">
        <v>4460</v>
      </c>
      <c r="B1648" s="2" t="s">
        <v>4461</v>
      </c>
      <c r="C1648" s="2" t="s">
        <v>19</v>
      </c>
      <c r="D1648" s="2" t="s">
        <v>126</v>
      </c>
      <c r="E1648" s="2" t="s">
        <v>1006</v>
      </c>
      <c r="F1648" s="2">
        <v>4.9279999999999999</v>
      </c>
      <c r="G1648" s="2" t="s">
        <v>995</v>
      </c>
      <c r="H1648" s="2">
        <v>0</v>
      </c>
      <c r="I1648" s="2">
        <v>0</v>
      </c>
      <c r="J1648" s="2" t="s">
        <v>101</v>
      </c>
      <c r="K1648" s="20">
        <v>45334</v>
      </c>
      <c r="L1648" s="20">
        <v>45337</v>
      </c>
      <c r="M1648" s="20"/>
      <c r="O1648" s="2" t="s">
        <v>97</v>
      </c>
      <c r="P1648" s="2" t="s">
        <v>68</v>
      </c>
      <c r="Q1648" s="2">
        <f t="shared" si="25"/>
        <v>1</v>
      </c>
    </row>
    <row r="1649" spans="1:17" x14ac:dyDescent="0.25">
      <c r="A1649" s="2" t="s">
        <v>4462</v>
      </c>
      <c r="B1649" s="2" t="s">
        <v>4463</v>
      </c>
      <c r="C1649" s="2" t="s">
        <v>30</v>
      </c>
      <c r="D1649" s="2" t="s">
        <v>51</v>
      </c>
      <c r="E1649" s="2" t="s">
        <v>21</v>
      </c>
      <c r="F1649" s="2">
        <v>702.84239999999988</v>
      </c>
      <c r="G1649" s="2" t="s">
        <v>22</v>
      </c>
      <c r="H1649" s="2">
        <v>0</v>
      </c>
      <c r="I1649" s="2">
        <v>0</v>
      </c>
      <c r="J1649" s="2" t="s">
        <v>101</v>
      </c>
      <c r="K1649" s="20">
        <v>45340</v>
      </c>
      <c r="L1649" s="20">
        <v>45342</v>
      </c>
      <c r="M1649" s="20">
        <v>45342</v>
      </c>
      <c r="N1649" s="2" t="s">
        <v>53</v>
      </c>
      <c r="O1649" s="2" t="s">
        <v>25</v>
      </c>
      <c r="P1649" s="2" t="s">
        <v>26</v>
      </c>
      <c r="Q1649" s="2">
        <f t="shared" si="25"/>
        <v>1</v>
      </c>
    </row>
    <row r="1650" spans="1:17" x14ac:dyDescent="0.25">
      <c r="A1650" s="2" t="s">
        <v>4465</v>
      </c>
      <c r="B1650" s="2" t="s">
        <v>4466</v>
      </c>
      <c r="C1650" s="2" t="s">
        <v>30</v>
      </c>
      <c r="D1650" s="2" t="s">
        <v>77</v>
      </c>
      <c r="E1650" s="2" t="s">
        <v>1006</v>
      </c>
      <c r="F1650" s="2">
        <v>38.387999999999998</v>
      </c>
      <c r="G1650" s="2" t="s">
        <v>995</v>
      </c>
      <c r="H1650" s="2">
        <v>0</v>
      </c>
      <c r="I1650" s="2">
        <v>0</v>
      </c>
      <c r="J1650" s="2" t="s">
        <v>101</v>
      </c>
      <c r="K1650" s="20">
        <v>45342</v>
      </c>
      <c r="L1650" s="20">
        <v>45344</v>
      </c>
      <c r="M1650" s="20"/>
      <c r="O1650" s="2" t="s">
        <v>72</v>
      </c>
      <c r="P1650" s="2" t="s">
        <v>73</v>
      </c>
      <c r="Q1650" s="2">
        <f t="shared" si="25"/>
        <v>1</v>
      </c>
    </row>
    <row r="1651" spans="1:17" x14ac:dyDescent="0.25">
      <c r="A1651" s="2" t="s">
        <v>4468</v>
      </c>
      <c r="B1651" s="2" t="s">
        <v>4469</v>
      </c>
      <c r="C1651" s="2" t="s">
        <v>19</v>
      </c>
      <c r="D1651" s="2" t="s">
        <v>230</v>
      </c>
      <c r="E1651" s="2" t="s">
        <v>1006</v>
      </c>
      <c r="F1651" s="2">
        <v>47.951999999999998</v>
      </c>
      <c r="G1651" s="2" t="s">
        <v>995</v>
      </c>
      <c r="H1651" s="2">
        <v>0</v>
      </c>
      <c r="I1651" s="2">
        <v>0</v>
      </c>
      <c r="J1651" s="2" t="s">
        <v>101</v>
      </c>
      <c r="K1651" s="20">
        <v>45342</v>
      </c>
      <c r="L1651" s="20">
        <v>45346</v>
      </c>
      <c r="M1651" s="20"/>
      <c r="O1651" s="2" t="s">
        <v>72</v>
      </c>
      <c r="P1651" s="2" t="s">
        <v>73</v>
      </c>
      <c r="Q1651" s="2">
        <f t="shared" si="25"/>
        <v>1</v>
      </c>
    </row>
    <row r="1652" spans="1:17" x14ac:dyDescent="0.25">
      <c r="A1652" s="2" t="s">
        <v>4471</v>
      </c>
      <c r="B1652" s="2" t="s">
        <v>4472</v>
      </c>
      <c r="C1652" s="2" t="s">
        <v>19</v>
      </c>
      <c r="D1652" s="2" t="s">
        <v>119</v>
      </c>
      <c r="E1652" s="2" t="s">
        <v>994</v>
      </c>
      <c r="F1652" s="2">
        <v>113.568</v>
      </c>
      <c r="G1652" s="2" t="s">
        <v>995</v>
      </c>
      <c r="H1652" s="2">
        <v>15</v>
      </c>
      <c r="I1652" s="2">
        <v>17.0352</v>
      </c>
      <c r="J1652" s="2" t="s">
        <v>101</v>
      </c>
      <c r="K1652" s="20">
        <v>45346</v>
      </c>
      <c r="L1652" s="20">
        <v>45353</v>
      </c>
      <c r="M1652" s="20"/>
      <c r="O1652" s="2" t="s">
        <v>33</v>
      </c>
      <c r="P1652" s="2" t="s">
        <v>34</v>
      </c>
      <c r="Q1652" s="2">
        <f t="shared" si="25"/>
        <v>1</v>
      </c>
    </row>
    <row r="1653" spans="1:17" x14ac:dyDescent="0.25">
      <c r="A1653" s="2" t="s">
        <v>4474</v>
      </c>
      <c r="B1653" s="2" t="s">
        <v>4475</v>
      </c>
      <c r="C1653" s="2" t="s">
        <v>19</v>
      </c>
      <c r="D1653" s="2" t="s">
        <v>115</v>
      </c>
      <c r="E1653" s="2" t="s">
        <v>21</v>
      </c>
      <c r="F1653" s="2">
        <v>375.71</v>
      </c>
      <c r="G1653" s="2" t="s">
        <v>22</v>
      </c>
      <c r="H1653" s="2">
        <v>0</v>
      </c>
      <c r="I1653" s="2">
        <v>0</v>
      </c>
      <c r="J1653" s="2" t="s">
        <v>101</v>
      </c>
      <c r="K1653" s="20">
        <v>45357</v>
      </c>
      <c r="L1653" s="20">
        <v>45357</v>
      </c>
      <c r="M1653" s="20">
        <v>45357</v>
      </c>
      <c r="N1653" s="2" t="s">
        <v>53</v>
      </c>
      <c r="O1653" s="2" t="s">
        <v>40</v>
      </c>
      <c r="P1653" s="2" t="s">
        <v>34</v>
      </c>
      <c r="Q1653" s="2">
        <f t="shared" si="25"/>
        <v>1</v>
      </c>
    </row>
    <row r="1654" spans="1:17" x14ac:dyDescent="0.25">
      <c r="A1654" s="2" t="s">
        <v>4476</v>
      </c>
      <c r="B1654" s="2" t="s">
        <v>4477</v>
      </c>
      <c r="C1654" s="2" t="s">
        <v>30</v>
      </c>
      <c r="D1654" s="2" t="s">
        <v>150</v>
      </c>
      <c r="E1654" s="2" t="s">
        <v>1006</v>
      </c>
      <c r="F1654" s="2">
        <v>47.12</v>
      </c>
      <c r="G1654" s="2" t="s">
        <v>995</v>
      </c>
      <c r="H1654" s="2">
        <v>0</v>
      </c>
      <c r="I1654" s="2">
        <v>0</v>
      </c>
      <c r="J1654" s="2" t="s">
        <v>101</v>
      </c>
      <c r="K1654" s="20">
        <v>45358</v>
      </c>
      <c r="L1654" s="20">
        <v>45362</v>
      </c>
      <c r="M1654" s="20"/>
      <c r="O1654" s="2" t="s">
        <v>46</v>
      </c>
      <c r="P1654" s="2" t="s">
        <v>47</v>
      </c>
      <c r="Q1654" s="2">
        <f t="shared" si="25"/>
        <v>1</v>
      </c>
    </row>
    <row r="1655" spans="1:17" x14ac:dyDescent="0.25">
      <c r="A1655" s="2" t="s">
        <v>4478</v>
      </c>
      <c r="B1655" s="2" t="s">
        <v>4479</v>
      </c>
      <c r="C1655" s="2" t="s">
        <v>30</v>
      </c>
      <c r="D1655" s="2" t="s">
        <v>105</v>
      </c>
      <c r="E1655" s="2" t="s">
        <v>994</v>
      </c>
      <c r="F1655" s="2">
        <v>1.9079999999999999</v>
      </c>
      <c r="G1655" s="2" t="s">
        <v>995</v>
      </c>
      <c r="H1655" s="2">
        <v>15</v>
      </c>
      <c r="I1655" s="2">
        <v>0.28619999999999995</v>
      </c>
      <c r="J1655" s="2" t="s">
        <v>101</v>
      </c>
      <c r="K1655" s="20">
        <v>45361</v>
      </c>
      <c r="L1655" s="20">
        <v>45365</v>
      </c>
      <c r="M1655" s="20"/>
      <c r="O1655" s="2" t="s">
        <v>46</v>
      </c>
      <c r="P1655" s="2" t="s">
        <v>47</v>
      </c>
      <c r="Q1655" s="2">
        <f t="shared" si="25"/>
        <v>1</v>
      </c>
    </row>
    <row r="1656" spans="1:17" x14ac:dyDescent="0.25">
      <c r="A1656" s="2" t="s">
        <v>4480</v>
      </c>
      <c r="B1656" s="2" t="s">
        <v>4481</v>
      </c>
      <c r="C1656" s="2" t="s">
        <v>19</v>
      </c>
      <c r="D1656" s="2" t="s">
        <v>20</v>
      </c>
      <c r="E1656" s="2" t="s">
        <v>994</v>
      </c>
      <c r="F1656" s="2">
        <v>6.56</v>
      </c>
      <c r="G1656" s="2" t="s">
        <v>995</v>
      </c>
      <c r="H1656" s="2">
        <v>40</v>
      </c>
      <c r="I1656" s="2">
        <v>2.6240000000000001</v>
      </c>
      <c r="J1656" s="2" t="s">
        <v>101</v>
      </c>
      <c r="K1656" s="20">
        <v>45365</v>
      </c>
      <c r="L1656" s="20">
        <v>45369</v>
      </c>
      <c r="M1656" s="20"/>
      <c r="O1656" s="2" t="s">
        <v>146</v>
      </c>
      <c r="P1656" s="2" t="s">
        <v>73</v>
      </c>
      <c r="Q1656" s="2">
        <f t="shared" si="25"/>
        <v>1</v>
      </c>
    </row>
    <row r="1657" spans="1:17" x14ac:dyDescent="0.25">
      <c r="A1657" s="2" t="s">
        <v>4483</v>
      </c>
      <c r="B1657" s="2" t="s">
        <v>4484</v>
      </c>
      <c r="C1657" s="2" t="s">
        <v>30</v>
      </c>
      <c r="D1657" s="2" t="s">
        <v>58</v>
      </c>
      <c r="E1657" s="2" t="s">
        <v>21</v>
      </c>
      <c r="F1657" s="2">
        <v>523.16</v>
      </c>
      <c r="G1657" s="2" t="s">
        <v>22</v>
      </c>
      <c r="H1657" s="2">
        <v>0</v>
      </c>
      <c r="I1657" s="2">
        <v>0</v>
      </c>
      <c r="J1657" s="2" t="s">
        <v>101</v>
      </c>
      <c r="K1657" s="20">
        <v>45365</v>
      </c>
      <c r="L1657" s="20">
        <v>45367</v>
      </c>
      <c r="M1657" s="20">
        <v>45367</v>
      </c>
      <c r="N1657" s="2" t="s">
        <v>63</v>
      </c>
      <c r="O1657" s="2" t="s">
        <v>46</v>
      </c>
      <c r="P1657" s="2" t="s">
        <v>47</v>
      </c>
      <c r="Q1657" s="2">
        <f t="shared" si="25"/>
        <v>1</v>
      </c>
    </row>
    <row r="1658" spans="1:17" x14ac:dyDescent="0.25">
      <c r="A1658" s="2" t="s">
        <v>4485</v>
      </c>
      <c r="B1658" s="2" t="s">
        <v>4486</v>
      </c>
      <c r="C1658" s="2" t="s">
        <v>30</v>
      </c>
      <c r="D1658" s="2" t="s">
        <v>105</v>
      </c>
      <c r="E1658" s="2" t="s">
        <v>1006</v>
      </c>
      <c r="F1658" s="2">
        <v>48.86</v>
      </c>
      <c r="G1658" s="2" t="s">
        <v>995</v>
      </c>
      <c r="H1658" s="2">
        <v>0</v>
      </c>
      <c r="I1658" s="2">
        <v>0</v>
      </c>
      <c r="J1658" s="2" t="s">
        <v>101</v>
      </c>
      <c r="K1658" s="20">
        <v>45371</v>
      </c>
      <c r="L1658" s="20">
        <v>45372</v>
      </c>
      <c r="M1658" s="20"/>
      <c r="O1658" s="2" t="s">
        <v>72</v>
      </c>
      <c r="P1658" s="2" t="s">
        <v>73</v>
      </c>
      <c r="Q1658" s="2">
        <f t="shared" si="25"/>
        <v>1</v>
      </c>
    </row>
    <row r="1659" spans="1:17" x14ac:dyDescent="0.25">
      <c r="A1659" s="2" t="s">
        <v>4488</v>
      </c>
      <c r="B1659" s="2" t="s">
        <v>4489</v>
      </c>
      <c r="C1659" s="2" t="s">
        <v>19</v>
      </c>
      <c r="D1659" s="2" t="s">
        <v>105</v>
      </c>
      <c r="E1659" s="2" t="s">
        <v>1006</v>
      </c>
      <c r="F1659" s="2">
        <v>132.52000000000001</v>
      </c>
      <c r="G1659" s="2" t="s">
        <v>995</v>
      </c>
      <c r="H1659" s="2">
        <v>0</v>
      </c>
      <c r="I1659" s="2">
        <v>0</v>
      </c>
      <c r="J1659" s="2" t="s">
        <v>101</v>
      </c>
      <c r="K1659" s="20">
        <v>45373</v>
      </c>
      <c r="L1659" s="20">
        <v>45379</v>
      </c>
      <c r="M1659" s="20"/>
      <c r="O1659" s="2" t="s">
        <v>72</v>
      </c>
      <c r="P1659" s="2" t="s">
        <v>73</v>
      </c>
      <c r="Q1659" s="2">
        <f t="shared" si="25"/>
        <v>1</v>
      </c>
    </row>
    <row r="1660" spans="1:17" x14ac:dyDescent="0.25">
      <c r="A1660" s="2" t="s">
        <v>4490</v>
      </c>
      <c r="B1660" s="2" t="s">
        <v>4491</v>
      </c>
      <c r="C1660" s="2" t="s">
        <v>30</v>
      </c>
      <c r="D1660" s="2" t="s">
        <v>230</v>
      </c>
      <c r="E1660" s="2" t="s">
        <v>1006</v>
      </c>
      <c r="F1660" s="2">
        <v>497.94</v>
      </c>
      <c r="G1660" s="2" t="s">
        <v>995</v>
      </c>
      <c r="H1660" s="2">
        <v>0</v>
      </c>
      <c r="I1660" s="2">
        <v>0</v>
      </c>
      <c r="J1660" s="2" t="s">
        <v>101</v>
      </c>
      <c r="K1660" s="20">
        <v>45376</v>
      </c>
      <c r="L1660" s="20">
        <v>45377</v>
      </c>
      <c r="M1660" s="20"/>
      <c r="O1660" s="2" t="s">
        <v>46</v>
      </c>
      <c r="P1660" s="2" t="s">
        <v>47</v>
      </c>
      <c r="Q1660" s="2">
        <f t="shared" si="25"/>
        <v>1</v>
      </c>
    </row>
    <row r="1661" spans="1:17" x14ac:dyDescent="0.25">
      <c r="A1661" s="2" t="s">
        <v>4493</v>
      </c>
      <c r="B1661" s="2" t="s">
        <v>4494</v>
      </c>
      <c r="C1661" s="2" t="s">
        <v>19</v>
      </c>
      <c r="D1661" s="2" t="s">
        <v>44</v>
      </c>
      <c r="E1661" s="2" t="s">
        <v>21</v>
      </c>
      <c r="F1661" s="2">
        <v>377.52799999999996</v>
      </c>
      <c r="G1661" s="2" t="s">
        <v>22</v>
      </c>
      <c r="H1661" s="2">
        <v>0</v>
      </c>
      <c r="I1661" s="2">
        <v>0</v>
      </c>
      <c r="J1661" s="2" t="s">
        <v>101</v>
      </c>
      <c r="K1661" s="20">
        <v>45378</v>
      </c>
      <c r="L1661" s="20">
        <v>45379</v>
      </c>
      <c r="M1661" s="20">
        <v>45379</v>
      </c>
      <c r="N1661" s="2" t="s">
        <v>39</v>
      </c>
      <c r="O1661" s="2" t="s">
        <v>33</v>
      </c>
      <c r="P1661" s="2" t="s">
        <v>34</v>
      </c>
      <c r="Q1661" s="2">
        <f t="shared" si="25"/>
        <v>1</v>
      </c>
    </row>
    <row r="1662" spans="1:17" x14ac:dyDescent="0.25">
      <c r="A1662" s="2" t="s">
        <v>4496</v>
      </c>
      <c r="B1662" s="2" t="s">
        <v>4497</v>
      </c>
      <c r="C1662" s="2" t="s">
        <v>19</v>
      </c>
      <c r="D1662" s="2" t="s">
        <v>20</v>
      </c>
      <c r="E1662" s="2" t="s">
        <v>21</v>
      </c>
      <c r="F1662" s="2">
        <v>5282.6480000000001</v>
      </c>
      <c r="G1662" s="2" t="s">
        <v>22</v>
      </c>
      <c r="H1662" s="2">
        <v>0</v>
      </c>
      <c r="I1662" s="2">
        <v>0</v>
      </c>
      <c r="J1662" s="2" t="s">
        <v>101</v>
      </c>
      <c r="K1662" s="20">
        <v>45384</v>
      </c>
      <c r="L1662" s="20">
        <v>45386</v>
      </c>
      <c r="M1662" s="20">
        <v>45386</v>
      </c>
      <c r="N1662" s="2" t="s">
        <v>39</v>
      </c>
      <c r="O1662" s="2" t="s">
        <v>25</v>
      </c>
      <c r="P1662" s="2" t="s">
        <v>26</v>
      </c>
      <c r="Q1662" s="2">
        <f t="shared" si="25"/>
        <v>1</v>
      </c>
    </row>
    <row r="1663" spans="1:17" x14ac:dyDescent="0.25">
      <c r="A1663" s="2" t="s">
        <v>4499</v>
      </c>
      <c r="B1663" s="2" t="s">
        <v>4500</v>
      </c>
      <c r="C1663" s="2" t="s">
        <v>30</v>
      </c>
      <c r="D1663" s="2" t="s">
        <v>58</v>
      </c>
      <c r="E1663" s="2" t="s">
        <v>21</v>
      </c>
      <c r="F1663" s="2">
        <v>11.12</v>
      </c>
      <c r="G1663" s="2" t="s">
        <v>22</v>
      </c>
      <c r="H1663" s="2">
        <v>0</v>
      </c>
      <c r="I1663" s="2">
        <v>0</v>
      </c>
      <c r="J1663" s="2" t="s">
        <v>101</v>
      </c>
      <c r="K1663" s="20">
        <v>45385</v>
      </c>
      <c r="L1663" s="20">
        <v>45388</v>
      </c>
      <c r="M1663" s="20">
        <v>45388</v>
      </c>
      <c r="N1663" s="2" t="s">
        <v>53</v>
      </c>
      <c r="O1663" s="2" t="s">
        <v>25</v>
      </c>
      <c r="P1663" s="2" t="s">
        <v>26</v>
      </c>
      <c r="Q1663" s="2">
        <f t="shared" si="25"/>
        <v>1</v>
      </c>
    </row>
    <row r="1664" spans="1:17" x14ac:dyDescent="0.25">
      <c r="A1664" s="2" t="s">
        <v>4502</v>
      </c>
      <c r="B1664" s="2" t="s">
        <v>4503</v>
      </c>
      <c r="C1664" s="2" t="s">
        <v>30</v>
      </c>
      <c r="D1664" s="2" t="s">
        <v>230</v>
      </c>
      <c r="E1664" s="2" t="s">
        <v>21</v>
      </c>
      <c r="F1664" s="2">
        <v>284.19</v>
      </c>
      <c r="G1664" s="2" t="s">
        <v>22</v>
      </c>
      <c r="H1664" s="2">
        <v>0</v>
      </c>
      <c r="I1664" s="2">
        <v>0</v>
      </c>
      <c r="J1664" s="2" t="s">
        <v>101</v>
      </c>
      <c r="K1664" s="20">
        <v>45392</v>
      </c>
      <c r="L1664" s="20">
        <v>45394</v>
      </c>
      <c r="M1664" s="20">
        <v>45394</v>
      </c>
      <c r="N1664" s="2" t="s">
        <v>63</v>
      </c>
      <c r="O1664" s="2" t="s">
        <v>54</v>
      </c>
      <c r="P1664" s="2" t="s">
        <v>26</v>
      </c>
      <c r="Q1664" s="2">
        <f t="shared" si="25"/>
        <v>1</v>
      </c>
    </row>
    <row r="1665" spans="1:17" x14ac:dyDescent="0.25">
      <c r="A1665" s="2" t="s">
        <v>4505</v>
      </c>
      <c r="B1665" s="2" t="s">
        <v>4506</v>
      </c>
      <c r="C1665" s="2" t="s">
        <v>30</v>
      </c>
      <c r="D1665" s="2" t="s">
        <v>154</v>
      </c>
      <c r="E1665" s="2" t="s">
        <v>21</v>
      </c>
      <c r="F1665" s="2">
        <v>8.76</v>
      </c>
      <c r="G1665" s="2" t="s">
        <v>22</v>
      </c>
      <c r="H1665" s="2">
        <v>0</v>
      </c>
      <c r="I1665" s="2">
        <v>0</v>
      </c>
      <c r="J1665" s="2" t="s">
        <v>101</v>
      </c>
      <c r="K1665" s="20">
        <v>45397</v>
      </c>
      <c r="L1665" s="20">
        <v>45398</v>
      </c>
      <c r="M1665" s="20">
        <v>45398</v>
      </c>
      <c r="N1665" s="2" t="s">
        <v>32</v>
      </c>
      <c r="O1665" s="2" t="s">
        <v>25</v>
      </c>
      <c r="P1665" s="2" t="s">
        <v>26</v>
      </c>
      <c r="Q1665" s="2">
        <f t="shared" si="25"/>
        <v>1</v>
      </c>
    </row>
    <row r="1666" spans="1:17" x14ac:dyDescent="0.25">
      <c r="A1666" s="2" t="s">
        <v>4508</v>
      </c>
      <c r="B1666" s="2" t="s">
        <v>4509</v>
      </c>
      <c r="C1666" s="2" t="s">
        <v>30</v>
      </c>
      <c r="D1666" s="2" t="s">
        <v>154</v>
      </c>
      <c r="E1666" s="2" t="s">
        <v>21</v>
      </c>
      <c r="F1666" s="2">
        <v>49.408000000000001</v>
      </c>
      <c r="G1666" s="2" t="s">
        <v>22</v>
      </c>
      <c r="H1666" s="2">
        <v>0</v>
      </c>
      <c r="I1666" s="2">
        <v>0</v>
      </c>
      <c r="J1666" s="2" t="s">
        <v>101</v>
      </c>
      <c r="K1666" s="20">
        <v>44130</v>
      </c>
      <c r="L1666" s="20">
        <v>44133</v>
      </c>
      <c r="M1666" s="20">
        <v>44133</v>
      </c>
      <c r="N1666" s="2" t="s">
        <v>53</v>
      </c>
      <c r="O1666" s="2" t="s">
        <v>146</v>
      </c>
      <c r="P1666" s="2" t="s">
        <v>73</v>
      </c>
      <c r="Q1666" s="2">
        <f t="shared" si="25"/>
        <v>1</v>
      </c>
    </row>
    <row r="1667" spans="1:17" x14ac:dyDescent="0.25">
      <c r="A1667" s="12" t="s">
        <v>4774</v>
      </c>
      <c r="B1667" s="2" t="s">
        <v>2495</v>
      </c>
      <c r="C1667" s="2" t="s">
        <v>30</v>
      </c>
      <c r="E1667" s="2" t="s">
        <v>21</v>
      </c>
      <c r="F1667" s="2">
        <v>598.14399999999989</v>
      </c>
      <c r="G1667" s="2" t="s">
        <v>22</v>
      </c>
      <c r="H1667" s="2">
        <v>0</v>
      </c>
      <c r="I1667" s="2">
        <v>0</v>
      </c>
      <c r="K1667" s="20">
        <v>44107</v>
      </c>
      <c r="L1667" s="20"/>
      <c r="M1667" s="20">
        <v>44110</v>
      </c>
      <c r="N1667" s="2" t="s">
        <v>39</v>
      </c>
      <c r="Q1667" s="2">
        <f t="shared" si="25"/>
        <v>8</v>
      </c>
    </row>
    <row r="1668" spans="1:17" x14ac:dyDescent="0.25">
      <c r="A1668" s="2" t="s">
        <v>4510</v>
      </c>
      <c r="B1668" s="2" t="s">
        <v>4511</v>
      </c>
      <c r="C1668" s="2" t="s">
        <v>30</v>
      </c>
      <c r="D1668" s="2" t="s">
        <v>44</v>
      </c>
      <c r="E1668" s="2" t="s">
        <v>21</v>
      </c>
      <c r="F1668" s="2">
        <v>11.56</v>
      </c>
      <c r="G1668" s="2" t="s">
        <v>22</v>
      </c>
      <c r="H1668" s="2">
        <v>0</v>
      </c>
      <c r="I1668" s="2">
        <v>0</v>
      </c>
      <c r="J1668" s="2" t="s">
        <v>52</v>
      </c>
      <c r="K1668" s="20">
        <v>44066</v>
      </c>
      <c r="L1668" s="20">
        <v>44069</v>
      </c>
      <c r="M1668" s="20">
        <v>44069</v>
      </c>
      <c r="N1668" s="2" t="s">
        <v>53</v>
      </c>
      <c r="O1668" s="2" t="s">
        <v>46</v>
      </c>
      <c r="P1668" s="2" t="s">
        <v>47</v>
      </c>
      <c r="Q1668" s="2">
        <f t="shared" si="25"/>
        <v>1</v>
      </c>
    </row>
  </sheetData>
  <autoFilter ref="A1:Q1668" xr:uid="{03278115-933B-4CB1-97BB-F918F812BFF2}">
    <sortState xmlns:xlrd2="http://schemas.microsoft.com/office/spreadsheetml/2017/richdata2" ref="A6:Q1668">
      <sortCondition ref="A1:A166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B1E4-DD8A-4F15-BD0D-15A1AF6822C6}">
  <dimension ref="A1:U1660"/>
  <sheetViews>
    <sheetView tabSelected="1" topLeftCell="Q1" workbookViewId="0">
      <selection activeCell="R2" sqref="R2"/>
    </sheetView>
  </sheetViews>
  <sheetFormatPr defaultRowHeight="14.5" x14ac:dyDescent="0.35"/>
  <cols>
    <col min="1" max="1" width="14.81640625" bestFit="1" customWidth="1"/>
    <col min="2" max="2" width="94" bestFit="1" customWidth="1"/>
    <col min="3" max="3" width="12.1796875" bestFit="1" customWidth="1"/>
    <col min="4" max="4" width="14.6328125" bestFit="1" customWidth="1"/>
    <col min="5" max="5" width="26.453125" bestFit="1" customWidth="1"/>
    <col min="6" max="6" width="6.36328125" bestFit="1" customWidth="1"/>
    <col min="7" max="7" width="13.54296875" bestFit="1" customWidth="1"/>
    <col min="8" max="8" width="26.08984375" bestFit="1" customWidth="1"/>
    <col min="9" max="9" width="11.90625" bestFit="1" customWidth="1"/>
    <col min="10" max="10" width="28" bestFit="1" customWidth="1"/>
    <col min="11" max="11" width="13.81640625" bestFit="1" customWidth="1"/>
    <col min="12" max="12" width="43.1796875" bestFit="1" customWidth="1"/>
    <col min="13" max="13" width="18" bestFit="1" customWidth="1"/>
    <col min="14" max="14" width="12.453125" bestFit="1" customWidth="1"/>
    <col min="15" max="15" width="12.54296875" bestFit="1" customWidth="1"/>
    <col min="16" max="16" width="87.1796875" bestFit="1" customWidth="1"/>
    <col min="17" max="17" width="22.453125" bestFit="1" customWidth="1"/>
    <col min="18" max="18" width="16.81640625" bestFit="1" customWidth="1"/>
    <col min="19" max="19" width="13.08984375" bestFit="1" customWidth="1"/>
    <col min="20" max="20" width="33.81640625" bestFit="1" customWidth="1"/>
    <col min="21" max="21" width="9.453125" bestFit="1" customWidth="1"/>
  </cols>
  <sheetData>
    <row r="1" spans="1:21" x14ac:dyDescent="0.35">
      <c r="A1" s="22" t="s">
        <v>0</v>
      </c>
      <c r="B1" s="23" t="s">
        <v>4730</v>
      </c>
      <c r="C1" s="23" t="s">
        <v>2</v>
      </c>
      <c r="D1" s="24" t="s">
        <v>4</v>
      </c>
      <c r="E1" s="25" t="s">
        <v>5</v>
      </c>
      <c r="F1" s="24" t="s">
        <v>6</v>
      </c>
      <c r="G1" s="24" t="s">
        <v>7</v>
      </c>
      <c r="H1" s="25" t="s">
        <v>8</v>
      </c>
      <c r="I1" s="26" t="s">
        <v>10</v>
      </c>
      <c r="J1" s="26" t="s">
        <v>11</v>
      </c>
      <c r="K1" s="26" t="s">
        <v>12</v>
      </c>
      <c r="L1" s="23" t="s">
        <v>13</v>
      </c>
      <c r="M1" s="25" t="s">
        <v>14</v>
      </c>
      <c r="N1" s="25" t="s">
        <v>15</v>
      </c>
      <c r="O1" s="27" t="s">
        <v>16</v>
      </c>
      <c r="P1" s="27" t="s">
        <v>4731</v>
      </c>
      <c r="Q1" s="23" t="s">
        <v>4732</v>
      </c>
      <c r="R1" s="23" t="s">
        <v>4728</v>
      </c>
      <c r="S1" s="23" t="s">
        <v>4716</v>
      </c>
      <c r="T1" s="27" t="s">
        <v>4775</v>
      </c>
      <c r="U1" s="28" t="s">
        <v>4776</v>
      </c>
    </row>
    <row r="2" spans="1:21" x14ac:dyDescent="0.35">
      <c r="A2" t="s">
        <v>4505</v>
      </c>
      <c r="B2" t="s">
        <v>4506</v>
      </c>
      <c r="C2" t="s">
        <v>30</v>
      </c>
      <c r="D2" t="s">
        <v>21</v>
      </c>
      <c r="E2" s="1">
        <v>8.76</v>
      </c>
      <c r="F2" t="s">
        <v>22</v>
      </c>
      <c r="G2">
        <v>0</v>
      </c>
      <c r="H2" s="1">
        <v>0</v>
      </c>
      <c r="I2" s="21">
        <v>45397</v>
      </c>
      <c r="J2" s="21">
        <v>45398</v>
      </c>
      <c r="K2" s="21">
        <v>45398</v>
      </c>
      <c r="L2" t="s">
        <v>32</v>
      </c>
      <c r="M2" t="s">
        <v>25</v>
      </c>
      <c r="N2" t="s">
        <v>26</v>
      </c>
      <c r="O2">
        <v>1</v>
      </c>
      <c r="P2" t="s">
        <v>4507</v>
      </c>
      <c r="Q2" t="s">
        <v>4526</v>
      </c>
      <c r="R2" t="s">
        <v>4726</v>
      </c>
      <c r="S2" t="s">
        <v>4717</v>
      </c>
      <c r="T2">
        <f t="shared" ref="T2:T65" si="0">J2-I2</f>
        <v>1</v>
      </c>
      <c r="U2" s="21">
        <f>J2</f>
        <v>45398</v>
      </c>
    </row>
    <row r="3" spans="1:21" x14ac:dyDescent="0.35">
      <c r="A3" t="s">
        <v>3570</v>
      </c>
      <c r="B3" t="s">
        <v>3571</v>
      </c>
      <c r="C3" t="s">
        <v>19</v>
      </c>
      <c r="D3" t="s">
        <v>21</v>
      </c>
      <c r="E3" s="1">
        <v>901.19999999999902</v>
      </c>
      <c r="F3" t="s">
        <v>22</v>
      </c>
      <c r="G3">
        <v>0</v>
      </c>
      <c r="H3" s="1">
        <v>0</v>
      </c>
      <c r="I3" s="21">
        <v>45396</v>
      </c>
      <c r="J3" s="21">
        <v>45398</v>
      </c>
      <c r="K3" s="21">
        <v>45398</v>
      </c>
      <c r="L3" t="s">
        <v>63</v>
      </c>
      <c r="M3" t="s">
        <v>33</v>
      </c>
      <c r="N3" t="s">
        <v>34</v>
      </c>
      <c r="O3">
        <v>1</v>
      </c>
      <c r="P3" t="s">
        <v>3482</v>
      </c>
      <c r="Q3" t="s">
        <v>4519</v>
      </c>
      <c r="R3" t="s">
        <v>4726</v>
      </c>
      <c r="S3" t="s">
        <v>4717</v>
      </c>
      <c r="T3">
        <f t="shared" si="0"/>
        <v>2</v>
      </c>
      <c r="U3" s="21">
        <f t="shared" ref="U3:U66" si="1">J3</f>
        <v>45398</v>
      </c>
    </row>
    <row r="4" spans="1:21" x14ac:dyDescent="0.35">
      <c r="A4" t="s">
        <v>1243</v>
      </c>
      <c r="B4" t="s">
        <v>1244</v>
      </c>
      <c r="C4" t="s">
        <v>19</v>
      </c>
      <c r="D4" t="s">
        <v>21</v>
      </c>
      <c r="E4" s="1">
        <v>106.104</v>
      </c>
      <c r="F4" t="s">
        <v>22</v>
      </c>
      <c r="G4">
        <v>0</v>
      </c>
      <c r="H4" s="1">
        <v>0</v>
      </c>
      <c r="I4" s="21">
        <v>45393</v>
      </c>
      <c r="J4" s="21">
        <v>45393</v>
      </c>
      <c r="K4" s="21">
        <v>45393</v>
      </c>
      <c r="L4" t="s">
        <v>32</v>
      </c>
      <c r="M4" t="s">
        <v>97</v>
      </c>
      <c r="N4" t="s">
        <v>68</v>
      </c>
      <c r="O4">
        <v>1</v>
      </c>
      <c r="P4" t="s">
        <v>1245</v>
      </c>
      <c r="Q4" t="s">
        <v>4519</v>
      </c>
      <c r="R4" t="s">
        <v>4726</v>
      </c>
      <c r="S4" t="s">
        <v>4717</v>
      </c>
      <c r="T4">
        <f t="shared" si="0"/>
        <v>0</v>
      </c>
      <c r="U4" s="21">
        <f t="shared" si="1"/>
        <v>45393</v>
      </c>
    </row>
    <row r="5" spans="1:21" x14ac:dyDescent="0.35">
      <c r="A5" t="s">
        <v>4502</v>
      </c>
      <c r="B5" t="s">
        <v>4503</v>
      </c>
      <c r="C5" t="s">
        <v>30</v>
      </c>
      <c r="D5" t="s">
        <v>21</v>
      </c>
      <c r="E5" s="1">
        <v>284.19</v>
      </c>
      <c r="F5" t="s">
        <v>22</v>
      </c>
      <c r="G5">
        <v>0</v>
      </c>
      <c r="H5" s="1">
        <v>0</v>
      </c>
      <c r="I5" s="21">
        <v>45392</v>
      </c>
      <c r="J5" s="21">
        <v>45394</v>
      </c>
      <c r="K5" s="21">
        <v>45394</v>
      </c>
      <c r="L5" t="s">
        <v>63</v>
      </c>
      <c r="M5" t="s">
        <v>54</v>
      </c>
      <c r="N5" t="s">
        <v>26</v>
      </c>
      <c r="O5">
        <v>1</v>
      </c>
      <c r="P5" t="s">
        <v>4504</v>
      </c>
      <c r="Q5" t="s">
        <v>4517</v>
      </c>
      <c r="R5" t="s">
        <v>4726</v>
      </c>
      <c r="S5" t="s">
        <v>4717</v>
      </c>
      <c r="T5">
        <f t="shared" si="0"/>
        <v>2</v>
      </c>
      <c r="U5" s="21">
        <f t="shared" si="1"/>
        <v>45394</v>
      </c>
    </row>
    <row r="6" spans="1:21" x14ac:dyDescent="0.35">
      <c r="A6" t="s">
        <v>1240</v>
      </c>
      <c r="B6" t="s">
        <v>1241</v>
      </c>
      <c r="C6" t="s">
        <v>19</v>
      </c>
      <c r="D6" t="s">
        <v>21</v>
      </c>
      <c r="E6" s="1">
        <v>760.8</v>
      </c>
      <c r="F6" t="s">
        <v>22</v>
      </c>
      <c r="G6">
        <v>0</v>
      </c>
      <c r="H6" s="1">
        <v>0</v>
      </c>
      <c r="I6" s="21">
        <v>45392</v>
      </c>
      <c r="J6" s="21">
        <v>45394</v>
      </c>
      <c r="K6" s="21">
        <v>45394</v>
      </c>
      <c r="L6" t="s">
        <v>32</v>
      </c>
      <c r="M6" t="s">
        <v>33</v>
      </c>
      <c r="N6" t="s">
        <v>34</v>
      </c>
      <c r="O6">
        <v>1</v>
      </c>
      <c r="P6" t="s">
        <v>1242</v>
      </c>
      <c r="Q6" t="s">
        <v>4729</v>
      </c>
      <c r="R6" t="s">
        <v>4721</v>
      </c>
      <c r="S6" t="s">
        <v>4717</v>
      </c>
      <c r="T6">
        <f t="shared" si="0"/>
        <v>2</v>
      </c>
      <c r="U6" s="21">
        <f t="shared" si="1"/>
        <v>45394</v>
      </c>
    </row>
    <row r="7" spans="1:21" x14ac:dyDescent="0.35">
      <c r="A7" t="s">
        <v>2420</v>
      </c>
      <c r="B7" t="s">
        <v>2421</v>
      </c>
      <c r="C7" t="s">
        <v>19</v>
      </c>
      <c r="D7" t="s">
        <v>21</v>
      </c>
      <c r="E7" s="1">
        <v>7.04</v>
      </c>
      <c r="F7" t="s">
        <v>22</v>
      </c>
      <c r="G7">
        <v>0</v>
      </c>
      <c r="H7" s="1">
        <v>0</v>
      </c>
      <c r="I7" s="21">
        <v>45387</v>
      </c>
      <c r="J7" s="21">
        <v>45388</v>
      </c>
      <c r="K7" s="21">
        <v>45388</v>
      </c>
      <c r="L7" t="s">
        <v>63</v>
      </c>
      <c r="M7" t="s">
        <v>40</v>
      </c>
      <c r="N7" t="s">
        <v>34</v>
      </c>
      <c r="O7">
        <v>1</v>
      </c>
      <c r="P7" t="s">
        <v>738</v>
      </c>
      <c r="Q7" t="s">
        <v>4520</v>
      </c>
      <c r="R7" t="s">
        <v>4726</v>
      </c>
      <c r="S7" t="s">
        <v>4717</v>
      </c>
      <c r="T7">
        <f t="shared" si="0"/>
        <v>1</v>
      </c>
      <c r="U7" s="21">
        <f t="shared" si="1"/>
        <v>45388</v>
      </c>
    </row>
    <row r="8" spans="1:21" x14ac:dyDescent="0.35">
      <c r="A8" t="s">
        <v>1237</v>
      </c>
      <c r="B8" t="s">
        <v>1238</v>
      </c>
      <c r="C8" t="s">
        <v>19</v>
      </c>
      <c r="D8" t="s">
        <v>21</v>
      </c>
      <c r="E8" s="1">
        <v>400.61</v>
      </c>
      <c r="F8" t="s">
        <v>22</v>
      </c>
      <c r="G8">
        <v>0</v>
      </c>
      <c r="H8" s="1">
        <v>0</v>
      </c>
      <c r="I8" s="21">
        <v>45387</v>
      </c>
      <c r="J8" s="21">
        <v>45388</v>
      </c>
      <c r="K8" s="21">
        <v>45388</v>
      </c>
      <c r="L8" t="s">
        <v>32</v>
      </c>
      <c r="M8" t="s">
        <v>46</v>
      </c>
      <c r="N8" t="s">
        <v>47</v>
      </c>
      <c r="O8">
        <v>1</v>
      </c>
      <c r="P8" t="s">
        <v>1239</v>
      </c>
      <c r="Q8" t="s">
        <v>4530</v>
      </c>
      <c r="R8" t="s">
        <v>4711</v>
      </c>
      <c r="S8" t="s">
        <v>4719</v>
      </c>
      <c r="T8">
        <f t="shared" si="0"/>
        <v>1</v>
      </c>
      <c r="U8" s="21">
        <f t="shared" si="1"/>
        <v>45388</v>
      </c>
    </row>
    <row r="9" spans="1:21" x14ac:dyDescent="0.35">
      <c r="A9" t="s">
        <v>1234</v>
      </c>
      <c r="B9" t="s">
        <v>1235</v>
      </c>
      <c r="C9" t="s">
        <v>30</v>
      </c>
      <c r="D9" t="s">
        <v>21</v>
      </c>
      <c r="E9" s="1">
        <v>7.0559999999999903</v>
      </c>
      <c r="F9" t="s">
        <v>22</v>
      </c>
      <c r="G9">
        <v>0</v>
      </c>
      <c r="H9" s="1">
        <v>0</v>
      </c>
      <c r="I9" s="21">
        <v>45386</v>
      </c>
      <c r="J9" s="21">
        <v>45388</v>
      </c>
      <c r="K9" s="21">
        <v>45388</v>
      </c>
      <c r="L9" t="s">
        <v>32</v>
      </c>
      <c r="M9" t="s">
        <v>25</v>
      </c>
      <c r="N9" t="s">
        <v>26</v>
      </c>
      <c r="O9">
        <v>1</v>
      </c>
      <c r="P9" t="s">
        <v>1236</v>
      </c>
      <c r="Q9" t="s">
        <v>4621</v>
      </c>
      <c r="R9" t="s">
        <v>4726</v>
      </c>
      <c r="S9" t="s">
        <v>4717</v>
      </c>
      <c r="T9">
        <f t="shared" si="0"/>
        <v>2</v>
      </c>
      <c r="U9" s="21">
        <f t="shared" si="1"/>
        <v>45388</v>
      </c>
    </row>
    <row r="10" spans="1:21" x14ac:dyDescent="0.35">
      <c r="A10" t="s">
        <v>1231</v>
      </c>
      <c r="B10" t="s">
        <v>1232</v>
      </c>
      <c r="C10" t="s">
        <v>19</v>
      </c>
      <c r="D10" t="s">
        <v>21</v>
      </c>
      <c r="E10" s="1">
        <v>771.8</v>
      </c>
      <c r="F10" t="s">
        <v>22</v>
      </c>
      <c r="G10">
        <v>0</v>
      </c>
      <c r="H10" s="1">
        <v>0</v>
      </c>
      <c r="I10" s="21">
        <v>45385</v>
      </c>
      <c r="J10" s="21">
        <v>45387</v>
      </c>
      <c r="K10" s="21">
        <v>45387</v>
      </c>
      <c r="L10" t="s">
        <v>32</v>
      </c>
      <c r="M10" t="s">
        <v>33</v>
      </c>
      <c r="N10" t="s">
        <v>34</v>
      </c>
      <c r="O10">
        <v>1</v>
      </c>
      <c r="P10" t="s">
        <v>1233</v>
      </c>
      <c r="Q10" t="s">
        <v>4620</v>
      </c>
      <c r="R10" t="s">
        <v>4712</v>
      </c>
      <c r="S10" t="s">
        <v>4718</v>
      </c>
      <c r="T10">
        <f t="shared" si="0"/>
        <v>2</v>
      </c>
      <c r="U10" s="21">
        <f t="shared" si="1"/>
        <v>45387</v>
      </c>
    </row>
    <row r="11" spans="1:21" x14ac:dyDescent="0.35">
      <c r="A11" t="s">
        <v>4499</v>
      </c>
      <c r="B11" t="s">
        <v>4500</v>
      </c>
      <c r="C11" t="s">
        <v>30</v>
      </c>
      <c r="D11" t="s">
        <v>21</v>
      </c>
      <c r="E11" s="1">
        <v>11.12</v>
      </c>
      <c r="F11" t="s">
        <v>22</v>
      </c>
      <c r="G11">
        <v>0</v>
      </c>
      <c r="H11" s="1">
        <v>0</v>
      </c>
      <c r="I11" s="21">
        <v>45385</v>
      </c>
      <c r="J11" s="21">
        <v>45388</v>
      </c>
      <c r="K11" s="21">
        <v>45388</v>
      </c>
      <c r="L11" t="s">
        <v>53</v>
      </c>
      <c r="M11" t="s">
        <v>25</v>
      </c>
      <c r="N11" t="s">
        <v>26</v>
      </c>
      <c r="O11">
        <v>1</v>
      </c>
      <c r="P11" t="s">
        <v>4501</v>
      </c>
      <c r="Q11" t="s">
        <v>4520</v>
      </c>
      <c r="R11" t="s">
        <v>4726</v>
      </c>
      <c r="S11" t="s">
        <v>4717</v>
      </c>
      <c r="T11">
        <f t="shared" si="0"/>
        <v>3</v>
      </c>
      <c r="U11" s="21">
        <f t="shared" si="1"/>
        <v>45388</v>
      </c>
    </row>
    <row r="12" spans="1:21" x14ac:dyDescent="0.35">
      <c r="A12" t="s">
        <v>3568</v>
      </c>
      <c r="B12" t="s">
        <v>3569</v>
      </c>
      <c r="C12" t="s">
        <v>30</v>
      </c>
      <c r="D12" t="s">
        <v>21</v>
      </c>
      <c r="E12" s="1">
        <v>127.95</v>
      </c>
      <c r="F12" t="s">
        <v>22</v>
      </c>
      <c r="G12">
        <v>0</v>
      </c>
      <c r="H12" s="1">
        <v>0</v>
      </c>
      <c r="I12" s="21">
        <v>45384</v>
      </c>
      <c r="J12" s="21">
        <v>45386</v>
      </c>
      <c r="K12" s="21">
        <v>45386</v>
      </c>
      <c r="L12" t="s">
        <v>24</v>
      </c>
      <c r="M12" t="s">
        <v>97</v>
      </c>
      <c r="N12" t="s">
        <v>68</v>
      </c>
      <c r="O12">
        <v>1</v>
      </c>
      <c r="P12" t="s">
        <v>2972</v>
      </c>
      <c r="Q12" t="s">
        <v>4548</v>
      </c>
      <c r="R12" t="s">
        <v>4721</v>
      </c>
      <c r="S12" t="s">
        <v>4718</v>
      </c>
      <c r="T12">
        <f t="shared" si="0"/>
        <v>2</v>
      </c>
      <c r="U12" s="21">
        <f t="shared" si="1"/>
        <v>45386</v>
      </c>
    </row>
    <row r="13" spans="1:21" x14ac:dyDescent="0.35">
      <c r="A13" t="s">
        <v>4496</v>
      </c>
      <c r="B13" t="s">
        <v>4497</v>
      </c>
      <c r="C13" t="s">
        <v>19</v>
      </c>
      <c r="D13" t="s">
        <v>21</v>
      </c>
      <c r="E13" s="1">
        <v>5282.6480000000001</v>
      </c>
      <c r="F13" t="s">
        <v>22</v>
      </c>
      <c r="G13">
        <v>0</v>
      </c>
      <c r="H13" s="1">
        <v>0</v>
      </c>
      <c r="I13" s="21">
        <v>45384</v>
      </c>
      <c r="J13" s="21">
        <v>45386</v>
      </c>
      <c r="K13" s="21">
        <v>45386</v>
      </c>
      <c r="L13" t="s">
        <v>39</v>
      </c>
      <c r="M13" t="s">
        <v>25</v>
      </c>
      <c r="N13" t="s">
        <v>26</v>
      </c>
      <c r="O13">
        <v>1</v>
      </c>
      <c r="P13" t="s">
        <v>4498</v>
      </c>
      <c r="Q13" t="s">
        <v>4581</v>
      </c>
      <c r="R13" t="s">
        <v>4723</v>
      </c>
      <c r="S13" t="s">
        <v>4718</v>
      </c>
      <c r="T13">
        <f t="shared" si="0"/>
        <v>2</v>
      </c>
      <c r="U13" s="21">
        <f t="shared" si="1"/>
        <v>45386</v>
      </c>
    </row>
    <row r="14" spans="1:21" x14ac:dyDescent="0.35">
      <c r="A14" t="s">
        <v>3565</v>
      </c>
      <c r="B14" t="s">
        <v>3566</v>
      </c>
      <c r="C14" t="s">
        <v>19</v>
      </c>
      <c r="D14" t="s">
        <v>21</v>
      </c>
      <c r="E14" s="1">
        <v>33.619999999999898</v>
      </c>
      <c r="F14" t="s">
        <v>22</v>
      </c>
      <c r="G14">
        <v>0</v>
      </c>
      <c r="H14" s="1">
        <v>0</v>
      </c>
      <c r="I14" s="21">
        <v>45383</v>
      </c>
      <c r="J14" s="21">
        <v>45385</v>
      </c>
      <c r="K14" s="21">
        <v>45385</v>
      </c>
      <c r="L14" t="s">
        <v>53</v>
      </c>
      <c r="M14" t="s">
        <v>146</v>
      </c>
      <c r="N14" t="s">
        <v>73</v>
      </c>
      <c r="O14">
        <v>1</v>
      </c>
      <c r="P14" t="s">
        <v>3567</v>
      </c>
      <c r="Q14" t="s">
        <v>4560</v>
      </c>
      <c r="R14" t="s">
        <v>4710</v>
      </c>
      <c r="S14" t="s">
        <v>4717</v>
      </c>
      <c r="T14">
        <f t="shared" si="0"/>
        <v>2</v>
      </c>
      <c r="U14" s="21">
        <f t="shared" si="1"/>
        <v>45385</v>
      </c>
    </row>
    <row r="15" spans="1:21" x14ac:dyDescent="0.35">
      <c r="A15" t="s">
        <v>3563</v>
      </c>
      <c r="B15" t="s">
        <v>3564</v>
      </c>
      <c r="C15" t="s">
        <v>19</v>
      </c>
      <c r="D15" t="s">
        <v>1002</v>
      </c>
      <c r="E15" s="1">
        <v>50.351999999999997</v>
      </c>
      <c r="F15" t="s">
        <v>995</v>
      </c>
      <c r="G15">
        <v>40</v>
      </c>
      <c r="H15" s="1">
        <v>20.140799999999999</v>
      </c>
      <c r="I15" s="21">
        <v>45382</v>
      </c>
      <c r="J15" s="21">
        <v>45383</v>
      </c>
      <c r="K15" s="21"/>
      <c r="L15" t="s">
        <v>4774</v>
      </c>
      <c r="M15" t="s">
        <v>54</v>
      </c>
      <c r="N15" t="s">
        <v>26</v>
      </c>
      <c r="O15">
        <v>1</v>
      </c>
      <c r="P15" t="s">
        <v>1545</v>
      </c>
      <c r="Q15" t="s">
        <v>4528</v>
      </c>
      <c r="R15" t="s">
        <v>4726</v>
      </c>
      <c r="S15" t="s">
        <v>4717</v>
      </c>
      <c r="T15">
        <f t="shared" si="0"/>
        <v>1</v>
      </c>
      <c r="U15" s="21">
        <f t="shared" si="1"/>
        <v>45383</v>
      </c>
    </row>
    <row r="16" spans="1:21" x14ac:dyDescent="0.35">
      <c r="A16" t="s">
        <v>2414</v>
      </c>
      <c r="B16" t="s">
        <v>2415</v>
      </c>
      <c r="C16" t="s">
        <v>19</v>
      </c>
      <c r="D16" t="s">
        <v>1002</v>
      </c>
      <c r="E16" s="1">
        <v>232.88</v>
      </c>
      <c r="F16" t="s">
        <v>995</v>
      </c>
      <c r="G16">
        <v>40</v>
      </c>
      <c r="H16" s="1">
        <v>93.152000000000001</v>
      </c>
      <c r="I16" s="21">
        <v>45382</v>
      </c>
      <c r="J16" s="21">
        <v>45384</v>
      </c>
      <c r="K16" s="21"/>
      <c r="L16" t="s">
        <v>4774</v>
      </c>
      <c r="M16" t="s">
        <v>40</v>
      </c>
      <c r="N16" t="s">
        <v>34</v>
      </c>
      <c r="O16">
        <v>1</v>
      </c>
      <c r="P16" t="s">
        <v>2416</v>
      </c>
      <c r="Q16" t="s">
        <v>4579</v>
      </c>
      <c r="R16" t="s">
        <v>4714</v>
      </c>
      <c r="S16" t="s">
        <v>4718</v>
      </c>
      <c r="T16">
        <f t="shared" si="0"/>
        <v>2</v>
      </c>
      <c r="U16" s="21">
        <f t="shared" si="1"/>
        <v>45384</v>
      </c>
    </row>
    <row r="17" spans="1:21" x14ac:dyDescent="0.35">
      <c r="A17" t="s">
        <v>3560</v>
      </c>
      <c r="B17" t="s">
        <v>3561</v>
      </c>
      <c r="C17" t="s">
        <v>19</v>
      </c>
      <c r="D17" t="s">
        <v>994</v>
      </c>
      <c r="E17" s="1">
        <v>24</v>
      </c>
      <c r="F17" t="s">
        <v>995</v>
      </c>
      <c r="G17">
        <v>40</v>
      </c>
      <c r="H17" s="1">
        <v>9.6000000000000014</v>
      </c>
      <c r="I17" s="21">
        <v>45382</v>
      </c>
      <c r="J17" s="21">
        <v>45386</v>
      </c>
      <c r="K17" s="21"/>
      <c r="L17" t="s">
        <v>4774</v>
      </c>
      <c r="M17" t="s">
        <v>97</v>
      </c>
      <c r="N17" t="s">
        <v>68</v>
      </c>
      <c r="O17">
        <v>1</v>
      </c>
      <c r="P17" t="s">
        <v>3562</v>
      </c>
      <c r="Q17" t="s">
        <v>4778</v>
      </c>
      <c r="R17" t="s">
        <v>4713</v>
      </c>
      <c r="S17" t="s">
        <v>4719</v>
      </c>
      <c r="T17">
        <f t="shared" si="0"/>
        <v>4</v>
      </c>
      <c r="U17" s="21">
        <f t="shared" si="1"/>
        <v>45386</v>
      </c>
    </row>
    <row r="18" spans="1:21" x14ac:dyDescent="0.35">
      <c r="A18" t="s">
        <v>1228</v>
      </c>
      <c r="B18" t="s">
        <v>1229</v>
      </c>
      <c r="C18" t="s">
        <v>19</v>
      </c>
      <c r="D18" t="s">
        <v>21</v>
      </c>
      <c r="E18" s="1">
        <v>170.87200000000001</v>
      </c>
      <c r="F18" t="s">
        <v>22</v>
      </c>
      <c r="G18">
        <v>0</v>
      </c>
      <c r="H18" s="1">
        <v>0</v>
      </c>
      <c r="I18" s="21">
        <v>45382</v>
      </c>
      <c r="J18" s="21">
        <v>45382</v>
      </c>
      <c r="K18" s="21">
        <v>45382</v>
      </c>
      <c r="L18" t="s">
        <v>63</v>
      </c>
      <c r="M18" t="s">
        <v>40</v>
      </c>
      <c r="N18" t="s">
        <v>34</v>
      </c>
      <c r="O18">
        <v>1</v>
      </c>
      <c r="P18" t="s">
        <v>1230</v>
      </c>
      <c r="Q18" t="s">
        <v>4619</v>
      </c>
      <c r="R18" t="s">
        <v>4726</v>
      </c>
      <c r="S18" t="s">
        <v>4717</v>
      </c>
      <c r="T18">
        <f t="shared" si="0"/>
        <v>0</v>
      </c>
      <c r="U18" s="21">
        <f t="shared" si="1"/>
        <v>45382</v>
      </c>
    </row>
    <row r="19" spans="1:21" x14ac:dyDescent="0.35">
      <c r="A19" t="s">
        <v>2417</v>
      </c>
      <c r="B19" t="s">
        <v>2418</v>
      </c>
      <c r="C19" t="s">
        <v>19</v>
      </c>
      <c r="D19" t="s">
        <v>1006</v>
      </c>
      <c r="E19" s="1">
        <v>19.440000000000001</v>
      </c>
      <c r="F19" t="s">
        <v>995</v>
      </c>
      <c r="G19">
        <v>0</v>
      </c>
      <c r="H19" s="1">
        <v>0</v>
      </c>
      <c r="I19" s="21">
        <v>45382</v>
      </c>
      <c r="J19" s="21">
        <v>45386</v>
      </c>
      <c r="K19" s="21"/>
      <c r="L19" t="s">
        <v>4774</v>
      </c>
      <c r="M19" t="s">
        <v>40</v>
      </c>
      <c r="N19" t="s">
        <v>34</v>
      </c>
      <c r="O19">
        <v>1</v>
      </c>
      <c r="P19" t="s">
        <v>2419</v>
      </c>
      <c r="Q19" t="s">
        <v>4519</v>
      </c>
      <c r="R19" t="s">
        <v>4726</v>
      </c>
      <c r="S19" t="s">
        <v>4717</v>
      </c>
      <c r="T19">
        <f t="shared" si="0"/>
        <v>4</v>
      </c>
      <c r="U19" s="21">
        <f t="shared" si="1"/>
        <v>45386</v>
      </c>
    </row>
    <row r="20" spans="1:21" x14ac:dyDescent="0.35">
      <c r="A20" t="s">
        <v>1225</v>
      </c>
      <c r="B20" t="s">
        <v>1226</v>
      </c>
      <c r="C20" t="s">
        <v>30</v>
      </c>
      <c r="D20" t="s">
        <v>1006</v>
      </c>
      <c r="E20" s="1">
        <v>18.96</v>
      </c>
      <c r="F20" t="s">
        <v>995</v>
      </c>
      <c r="G20">
        <v>0</v>
      </c>
      <c r="H20" s="1">
        <v>0</v>
      </c>
      <c r="I20" s="21">
        <v>45381</v>
      </c>
      <c r="J20" s="21">
        <v>45385</v>
      </c>
      <c r="K20" s="21"/>
      <c r="L20" t="s">
        <v>4774</v>
      </c>
      <c r="M20" t="s">
        <v>33</v>
      </c>
      <c r="N20" t="s">
        <v>34</v>
      </c>
      <c r="O20">
        <v>1</v>
      </c>
      <c r="P20" t="s">
        <v>1227</v>
      </c>
      <c r="Q20" t="s">
        <v>4603</v>
      </c>
      <c r="R20" t="s">
        <v>4721</v>
      </c>
      <c r="S20" t="s">
        <v>4717</v>
      </c>
      <c r="T20">
        <f t="shared" si="0"/>
        <v>4</v>
      </c>
      <c r="U20" s="21">
        <f t="shared" si="1"/>
        <v>45385</v>
      </c>
    </row>
    <row r="21" spans="1:21" x14ac:dyDescent="0.35">
      <c r="A21" t="s">
        <v>3557</v>
      </c>
      <c r="B21" t="s">
        <v>3558</v>
      </c>
      <c r="C21" t="s">
        <v>30</v>
      </c>
      <c r="D21" t="s">
        <v>994</v>
      </c>
      <c r="E21" s="1">
        <v>11.3639999999999</v>
      </c>
      <c r="F21" t="s">
        <v>995</v>
      </c>
      <c r="G21">
        <v>15</v>
      </c>
      <c r="H21" s="1">
        <v>1.7045999999999848</v>
      </c>
      <c r="I21" s="21">
        <v>45380</v>
      </c>
      <c r="J21" s="21">
        <v>45385</v>
      </c>
      <c r="K21" s="21"/>
      <c r="L21" t="s">
        <v>4774</v>
      </c>
      <c r="M21" t="s">
        <v>54</v>
      </c>
      <c r="N21" t="s">
        <v>26</v>
      </c>
      <c r="O21">
        <v>1</v>
      </c>
      <c r="P21" t="s">
        <v>3559</v>
      </c>
      <c r="Q21" t="s">
        <v>4729</v>
      </c>
      <c r="R21" t="s">
        <v>4726</v>
      </c>
      <c r="S21" t="s">
        <v>4717</v>
      </c>
      <c r="T21">
        <f t="shared" si="0"/>
        <v>5</v>
      </c>
      <c r="U21" s="21">
        <f t="shared" si="1"/>
        <v>45385</v>
      </c>
    </row>
    <row r="22" spans="1:21" x14ac:dyDescent="0.35">
      <c r="A22" t="s">
        <v>2412</v>
      </c>
      <c r="B22" t="s">
        <v>2413</v>
      </c>
      <c r="C22" t="s">
        <v>30</v>
      </c>
      <c r="D22" t="s">
        <v>21</v>
      </c>
      <c r="E22" s="1">
        <v>1435.96</v>
      </c>
      <c r="F22" t="s">
        <v>22</v>
      </c>
      <c r="G22">
        <v>0</v>
      </c>
      <c r="H22" s="1">
        <v>0</v>
      </c>
      <c r="I22" s="21">
        <v>45380</v>
      </c>
      <c r="J22" s="21">
        <v>45383</v>
      </c>
      <c r="K22" s="21">
        <v>45383</v>
      </c>
      <c r="L22" t="s">
        <v>45</v>
      </c>
      <c r="M22" t="s">
        <v>146</v>
      </c>
      <c r="N22" t="s">
        <v>73</v>
      </c>
      <c r="O22">
        <v>1</v>
      </c>
      <c r="P22" t="s">
        <v>828</v>
      </c>
      <c r="Q22" t="s">
        <v>4519</v>
      </c>
      <c r="R22" t="s">
        <v>4726</v>
      </c>
      <c r="S22" t="s">
        <v>4717</v>
      </c>
      <c r="T22">
        <f t="shared" si="0"/>
        <v>3</v>
      </c>
      <c r="U22" s="21">
        <f t="shared" si="1"/>
        <v>45383</v>
      </c>
    </row>
    <row r="23" spans="1:21" x14ac:dyDescent="0.35">
      <c r="A23" t="s">
        <v>1223</v>
      </c>
      <c r="B23" t="s">
        <v>1224</v>
      </c>
      <c r="C23" t="s">
        <v>19</v>
      </c>
      <c r="D23" t="s">
        <v>1002</v>
      </c>
      <c r="E23" s="1">
        <v>128.85</v>
      </c>
      <c r="F23" t="s">
        <v>995</v>
      </c>
      <c r="G23">
        <v>40</v>
      </c>
      <c r="H23" s="1">
        <v>51.54</v>
      </c>
      <c r="I23" s="21">
        <v>45379</v>
      </c>
      <c r="J23" s="21">
        <v>45381</v>
      </c>
      <c r="K23" s="21"/>
      <c r="L23" t="s">
        <v>4774</v>
      </c>
      <c r="M23" t="s">
        <v>46</v>
      </c>
      <c r="N23" t="s">
        <v>47</v>
      </c>
      <c r="O23">
        <v>1</v>
      </c>
      <c r="P23" t="s">
        <v>331</v>
      </c>
      <c r="Q23" t="s">
        <v>4552</v>
      </c>
      <c r="R23" t="s">
        <v>4713</v>
      </c>
      <c r="S23" t="s">
        <v>4719</v>
      </c>
      <c r="T23">
        <f t="shared" si="0"/>
        <v>2</v>
      </c>
      <c r="U23" s="21">
        <f t="shared" si="1"/>
        <v>45381</v>
      </c>
    </row>
    <row r="24" spans="1:21" x14ac:dyDescent="0.35">
      <c r="A24" t="s">
        <v>3555</v>
      </c>
      <c r="B24" t="s">
        <v>3556</v>
      </c>
      <c r="C24" t="s">
        <v>30</v>
      </c>
      <c r="D24" t="s">
        <v>1002</v>
      </c>
      <c r="E24" s="1">
        <v>54.9</v>
      </c>
      <c r="F24" t="s">
        <v>995</v>
      </c>
      <c r="G24">
        <v>40</v>
      </c>
      <c r="H24" s="1">
        <v>21.96</v>
      </c>
      <c r="I24" s="21">
        <v>45378</v>
      </c>
      <c r="J24" s="21">
        <v>45380</v>
      </c>
      <c r="K24" s="21"/>
      <c r="L24" t="s">
        <v>4774</v>
      </c>
      <c r="M24" t="s">
        <v>72</v>
      </c>
      <c r="N24" t="s">
        <v>73</v>
      </c>
      <c r="O24">
        <v>1</v>
      </c>
      <c r="P24" t="s">
        <v>2370</v>
      </c>
      <c r="Q24" t="s">
        <v>4528</v>
      </c>
      <c r="R24" t="s">
        <v>4726</v>
      </c>
      <c r="S24" t="s">
        <v>4717</v>
      </c>
      <c r="T24">
        <f t="shared" si="0"/>
        <v>2</v>
      </c>
      <c r="U24" s="21">
        <f t="shared" si="1"/>
        <v>45380</v>
      </c>
    </row>
    <row r="25" spans="1:21" x14ac:dyDescent="0.35">
      <c r="A25" t="s">
        <v>4493</v>
      </c>
      <c r="B25" t="s">
        <v>4494</v>
      </c>
      <c r="C25" t="s">
        <v>19</v>
      </c>
      <c r="D25" t="s">
        <v>21</v>
      </c>
      <c r="E25" s="1">
        <v>377.52799999999996</v>
      </c>
      <c r="F25" t="s">
        <v>22</v>
      </c>
      <c r="G25">
        <v>0</v>
      </c>
      <c r="H25" s="1">
        <v>0</v>
      </c>
      <c r="I25" s="21">
        <v>45378</v>
      </c>
      <c r="J25" s="21">
        <v>45379</v>
      </c>
      <c r="K25" s="21">
        <v>45379</v>
      </c>
      <c r="L25" t="s">
        <v>39</v>
      </c>
      <c r="M25" t="s">
        <v>33</v>
      </c>
      <c r="N25" t="s">
        <v>34</v>
      </c>
      <c r="O25">
        <v>1</v>
      </c>
      <c r="P25" t="s">
        <v>4495</v>
      </c>
      <c r="Q25" t="s">
        <v>4658</v>
      </c>
      <c r="R25" t="s">
        <v>4723</v>
      </c>
      <c r="S25" t="s">
        <v>4718</v>
      </c>
      <c r="T25">
        <f t="shared" si="0"/>
        <v>1</v>
      </c>
      <c r="U25" s="21">
        <f t="shared" si="1"/>
        <v>45379</v>
      </c>
    </row>
    <row r="26" spans="1:21" x14ac:dyDescent="0.35">
      <c r="A26" t="s">
        <v>3553</v>
      </c>
      <c r="B26" t="s">
        <v>3554</v>
      </c>
      <c r="C26" t="s">
        <v>30</v>
      </c>
      <c r="D26" t="s">
        <v>994</v>
      </c>
      <c r="E26" s="1">
        <v>11.087999999999999</v>
      </c>
      <c r="F26" t="s">
        <v>995</v>
      </c>
      <c r="G26">
        <v>40</v>
      </c>
      <c r="H26" s="1">
        <v>4.4352</v>
      </c>
      <c r="I26" s="21">
        <v>45378</v>
      </c>
      <c r="J26" s="21">
        <v>45385</v>
      </c>
      <c r="K26" s="21"/>
      <c r="L26" t="s">
        <v>4774</v>
      </c>
      <c r="M26" t="s">
        <v>97</v>
      </c>
      <c r="N26" t="s">
        <v>68</v>
      </c>
      <c r="O26">
        <v>1</v>
      </c>
      <c r="P26" t="s">
        <v>2881</v>
      </c>
      <c r="Q26" t="s">
        <v>4515</v>
      </c>
      <c r="R26" t="s">
        <v>4726</v>
      </c>
      <c r="S26" t="s">
        <v>4717</v>
      </c>
      <c r="T26">
        <f t="shared" si="0"/>
        <v>7</v>
      </c>
      <c r="U26" s="21">
        <f t="shared" si="1"/>
        <v>45385</v>
      </c>
    </row>
    <row r="27" spans="1:21" x14ac:dyDescent="0.35">
      <c r="A27" t="s">
        <v>2409</v>
      </c>
      <c r="B27" t="s">
        <v>2410</v>
      </c>
      <c r="C27" t="s">
        <v>19</v>
      </c>
      <c r="D27" t="s">
        <v>21</v>
      </c>
      <c r="E27" s="1">
        <v>1069.1320000000001</v>
      </c>
      <c r="F27" t="s">
        <v>22</v>
      </c>
      <c r="G27">
        <v>0</v>
      </c>
      <c r="H27" s="1">
        <v>0</v>
      </c>
      <c r="I27" s="21">
        <v>45377</v>
      </c>
      <c r="J27" s="21">
        <v>45378</v>
      </c>
      <c r="K27" s="21">
        <v>45378</v>
      </c>
      <c r="L27" t="s">
        <v>45</v>
      </c>
      <c r="M27" t="s">
        <v>72</v>
      </c>
      <c r="N27" t="s">
        <v>73</v>
      </c>
      <c r="O27">
        <v>1</v>
      </c>
      <c r="P27" t="s">
        <v>2411</v>
      </c>
      <c r="Q27" t="s">
        <v>4526</v>
      </c>
      <c r="R27" t="s">
        <v>4721</v>
      </c>
      <c r="S27" t="s">
        <v>4717</v>
      </c>
      <c r="T27">
        <f t="shared" si="0"/>
        <v>1</v>
      </c>
      <c r="U27" s="21">
        <f t="shared" si="1"/>
        <v>45378</v>
      </c>
    </row>
    <row r="28" spans="1:21" x14ac:dyDescent="0.35">
      <c r="A28" t="s">
        <v>2407</v>
      </c>
      <c r="B28" t="s">
        <v>2408</v>
      </c>
      <c r="C28" t="s">
        <v>30</v>
      </c>
      <c r="D28" t="s">
        <v>1002</v>
      </c>
      <c r="E28" s="1">
        <v>317.05799999999999</v>
      </c>
      <c r="F28" t="s">
        <v>995</v>
      </c>
      <c r="G28">
        <v>40</v>
      </c>
      <c r="H28" s="1">
        <v>126.8232</v>
      </c>
      <c r="I28" s="21">
        <v>45377</v>
      </c>
      <c r="J28" s="21">
        <v>45382</v>
      </c>
      <c r="K28" s="21"/>
      <c r="L28" t="s">
        <v>4774</v>
      </c>
      <c r="M28" t="s">
        <v>72</v>
      </c>
      <c r="N28" t="s">
        <v>73</v>
      </c>
      <c r="O28">
        <v>1</v>
      </c>
      <c r="P28" t="s">
        <v>1425</v>
      </c>
      <c r="Q28" t="s">
        <v>4629</v>
      </c>
      <c r="R28" t="s">
        <v>4714</v>
      </c>
      <c r="S28" t="s">
        <v>4718</v>
      </c>
      <c r="T28">
        <f t="shared" si="0"/>
        <v>5</v>
      </c>
      <c r="U28" s="21">
        <f t="shared" si="1"/>
        <v>45382</v>
      </c>
    </row>
    <row r="29" spans="1:21" x14ac:dyDescent="0.35">
      <c r="A29" t="s">
        <v>1217</v>
      </c>
      <c r="B29" t="s">
        <v>1218</v>
      </c>
      <c r="C29" t="s">
        <v>19</v>
      </c>
      <c r="D29" t="s">
        <v>994</v>
      </c>
      <c r="E29" s="1">
        <v>15.872</v>
      </c>
      <c r="F29" t="s">
        <v>995</v>
      </c>
      <c r="G29">
        <v>15</v>
      </c>
      <c r="H29" s="1">
        <v>2.3807999999999998</v>
      </c>
      <c r="I29" s="21">
        <v>45377</v>
      </c>
      <c r="J29" s="21">
        <v>45383</v>
      </c>
      <c r="K29" s="21"/>
      <c r="L29" t="s">
        <v>4774</v>
      </c>
      <c r="M29" t="s">
        <v>82</v>
      </c>
      <c r="N29" t="s">
        <v>47</v>
      </c>
      <c r="O29">
        <v>1</v>
      </c>
      <c r="P29" t="s">
        <v>1219</v>
      </c>
      <c r="Q29" t="s">
        <v>4520</v>
      </c>
      <c r="R29" t="s">
        <v>4710</v>
      </c>
      <c r="S29" t="s">
        <v>4717</v>
      </c>
      <c r="T29">
        <f t="shared" si="0"/>
        <v>6</v>
      </c>
      <c r="U29" s="21">
        <f t="shared" si="1"/>
        <v>45383</v>
      </c>
    </row>
    <row r="30" spans="1:21" x14ac:dyDescent="0.35">
      <c r="A30" t="s">
        <v>1220</v>
      </c>
      <c r="B30" t="s">
        <v>1221</v>
      </c>
      <c r="C30" t="s">
        <v>19</v>
      </c>
      <c r="D30" t="s">
        <v>1006</v>
      </c>
      <c r="E30" s="1">
        <v>9.4499999999999993</v>
      </c>
      <c r="F30" t="s">
        <v>995</v>
      </c>
      <c r="G30">
        <v>0</v>
      </c>
      <c r="H30" s="1">
        <v>0</v>
      </c>
      <c r="I30" s="21">
        <v>45377</v>
      </c>
      <c r="J30" s="21">
        <v>45381</v>
      </c>
      <c r="K30" s="21"/>
      <c r="L30" t="s">
        <v>4774</v>
      </c>
      <c r="M30" t="s">
        <v>146</v>
      </c>
      <c r="N30" t="s">
        <v>73</v>
      </c>
      <c r="O30">
        <v>1</v>
      </c>
      <c r="P30" t="s">
        <v>1222</v>
      </c>
      <c r="Q30" t="s">
        <v>4729</v>
      </c>
      <c r="R30" t="s">
        <v>4726</v>
      </c>
      <c r="S30" t="s">
        <v>4717</v>
      </c>
      <c r="T30">
        <f t="shared" si="0"/>
        <v>4</v>
      </c>
      <c r="U30" s="21">
        <f t="shared" si="1"/>
        <v>45381</v>
      </c>
    </row>
    <row r="31" spans="1:21" x14ac:dyDescent="0.35">
      <c r="A31" t="s">
        <v>1214</v>
      </c>
      <c r="B31" t="s">
        <v>1215</v>
      </c>
      <c r="C31" t="s">
        <v>19</v>
      </c>
      <c r="D31" t="s">
        <v>1006</v>
      </c>
      <c r="E31" s="1">
        <v>14.976000000000001</v>
      </c>
      <c r="F31" t="s">
        <v>995</v>
      </c>
      <c r="G31">
        <v>0</v>
      </c>
      <c r="H31" s="1">
        <v>0</v>
      </c>
      <c r="I31" s="21">
        <v>45377</v>
      </c>
      <c r="J31" s="21">
        <v>45382</v>
      </c>
      <c r="K31" s="21"/>
      <c r="L31" t="s">
        <v>4774</v>
      </c>
      <c r="M31" t="s">
        <v>82</v>
      </c>
      <c r="N31" t="s">
        <v>47</v>
      </c>
      <c r="O31">
        <v>1</v>
      </c>
      <c r="P31" t="s">
        <v>1216</v>
      </c>
      <c r="Q31" t="s">
        <v>4729</v>
      </c>
      <c r="R31" t="s">
        <v>4726</v>
      </c>
      <c r="S31" t="s">
        <v>4717</v>
      </c>
      <c r="T31">
        <f t="shared" si="0"/>
        <v>5</v>
      </c>
      <c r="U31" s="21">
        <f t="shared" si="1"/>
        <v>45382</v>
      </c>
    </row>
    <row r="32" spans="1:21" x14ac:dyDescent="0.35">
      <c r="A32" t="s">
        <v>2404</v>
      </c>
      <c r="B32" t="s">
        <v>2405</v>
      </c>
      <c r="C32" t="s">
        <v>30</v>
      </c>
      <c r="D32" t="s">
        <v>21</v>
      </c>
      <c r="E32" s="1">
        <v>724.846</v>
      </c>
      <c r="F32" t="s">
        <v>22</v>
      </c>
      <c r="G32">
        <v>0</v>
      </c>
      <c r="H32" s="1">
        <v>0</v>
      </c>
      <c r="I32" s="21">
        <v>45376</v>
      </c>
      <c r="J32" s="21">
        <v>45379</v>
      </c>
      <c r="K32" s="21">
        <v>45379</v>
      </c>
      <c r="L32" t="s">
        <v>45</v>
      </c>
      <c r="M32" t="s">
        <v>40</v>
      </c>
      <c r="N32" t="s">
        <v>34</v>
      </c>
      <c r="O32">
        <v>1</v>
      </c>
      <c r="P32" t="s">
        <v>2406</v>
      </c>
      <c r="Q32" t="s">
        <v>4729</v>
      </c>
      <c r="R32" t="s">
        <v>4512</v>
      </c>
      <c r="S32" t="s">
        <v>4717</v>
      </c>
      <c r="T32">
        <f t="shared" si="0"/>
        <v>3</v>
      </c>
      <c r="U32" s="21">
        <f t="shared" si="1"/>
        <v>45379</v>
      </c>
    </row>
    <row r="33" spans="1:21" x14ac:dyDescent="0.35">
      <c r="A33" t="s">
        <v>1211</v>
      </c>
      <c r="B33" t="s">
        <v>1212</v>
      </c>
      <c r="C33" t="s">
        <v>19</v>
      </c>
      <c r="D33" t="s">
        <v>1002</v>
      </c>
      <c r="E33" s="1">
        <v>559.62</v>
      </c>
      <c r="F33" t="s">
        <v>995</v>
      </c>
      <c r="G33">
        <v>40</v>
      </c>
      <c r="H33" s="1">
        <v>223.84800000000001</v>
      </c>
      <c r="I33" s="21">
        <v>45376</v>
      </c>
      <c r="J33" s="21">
        <v>45380</v>
      </c>
      <c r="K33" s="21"/>
      <c r="L33" t="s">
        <v>4774</v>
      </c>
      <c r="M33" t="s">
        <v>82</v>
      </c>
      <c r="N33" t="s">
        <v>47</v>
      </c>
      <c r="O33">
        <v>1</v>
      </c>
      <c r="P33" t="s">
        <v>1213</v>
      </c>
      <c r="Q33" t="s">
        <v>4560</v>
      </c>
      <c r="R33" t="s">
        <v>4709</v>
      </c>
      <c r="S33" t="s">
        <v>4717</v>
      </c>
      <c r="T33">
        <f t="shared" si="0"/>
        <v>4</v>
      </c>
      <c r="U33" s="21">
        <f t="shared" si="1"/>
        <v>45380</v>
      </c>
    </row>
    <row r="34" spans="1:21" x14ac:dyDescent="0.35">
      <c r="A34" t="s">
        <v>4490</v>
      </c>
      <c r="B34" t="s">
        <v>4491</v>
      </c>
      <c r="C34" t="s">
        <v>30</v>
      </c>
      <c r="D34" t="s">
        <v>1006</v>
      </c>
      <c r="E34" s="1">
        <v>497.94</v>
      </c>
      <c r="F34" t="s">
        <v>995</v>
      </c>
      <c r="G34">
        <v>0</v>
      </c>
      <c r="H34" s="1">
        <v>0</v>
      </c>
      <c r="I34" s="21">
        <v>45376</v>
      </c>
      <c r="J34" s="21">
        <v>45377</v>
      </c>
      <c r="K34" s="21"/>
      <c r="L34" t="s">
        <v>4774</v>
      </c>
      <c r="M34" t="s">
        <v>46</v>
      </c>
      <c r="N34" t="s">
        <v>47</v>
      </c>
      <c r="O34">
        <v>1</v>
      </c>
      <c r="P34" t="s">
        <v>4492</v>
      </c>
      <c r="Q34" t="s">
        <v>4528</v>
      </c>
      <c r="R34" t="s">
        <v>4726</v>
      </c>
      <c r="S34" t="s">
        <v>4717</v>
      </c>
      <c r="T34">
        <f t="shared" si="0"/>
        <v>1</v>
      </c>
      <c r="U34" s="21">
        <f t="shared" si="1"/>
        <v>45377</v>
      </c>
    </row>
    <row r="35" spans="1:21" x14ac:dyDescent="0.35">
      <c r="A35" t="s">
        <v>3551</v>
      </c>
      <c r="B35" t="s">
        <v>3552</v>
      </c>
      <c r="C35" t="s">
        <v>19</v>
      </c>
      <c r="D35" t="s">
        <v>21</v>
      </c>
      <c r="E35" s="1">
        <v>14052.48</v>
      </c>
      <c r="F35" t="s">
        <v>22</v>
      </c>
      <c r="G35">
        <v>0</v>
      </c>
      <c r="H35" s="1">
        <v>0</v>
      </c>
      <c r="I35" s="21">
        <v>45375</v>
      </c>
      <c r="J35" s="21">
        <v>45377</v>
      </c>
      <c r="K35" s="21">
        <v>45377</v>
      </c>
      <c r="L35" t="s">
        <v>24</v>
      </c>
      <c r="M35" t="s">
        <v>82</v>
      </c>
      <c r="N35" t="s">
        <v>47</v>
      </c>
      <c r="O35">
        <v>1</v>
      </c>
      <c r="P35" t="s">
        <v>1577</v>
      </c>
      <c r="Q35" t="s">
        <v>4526</v>
      </c>
      <c r="R35" t="s">
        <v>4777</v>
      </c>
      <c r="S35" t="s">
        <v>4718</v>
      </c>
      <c r="T35">
        <f t="shared" si="0"/>
        <v>2</v>
      </c>
      <c r="U35" s="21">
        <f t="shared" si="1"/>
        <v>45377</v>
      </c>
    </row>
    <row r="36" spans="1:21" x14ac:dyDescent="0.35">
      <c r="A36" t="s">
        <v>1205</v>
      </c>
      <c r="B36" t="s">
        <v>1206</v>
      </c>
      <c r="C36" t="s">
        <v>19</v>
      </c>
      <c r="D36" t="s">
        <v>1002</v>
      </c>
      <c r="E36" s="1">
        <v>9.02</v>
      </c>
      <c r="F36" t="s">
        <v>995</v>
      </c>
      <c r="G36">
        <v>40</v>
      </c>
      <c r="H36" s="1">
        <v>3.6080000000000001</v>
      </c>
      <c r="I36" s="21">
        <v>45375</v>
      </c>
      <c r="J36" s="21">
        <v>45377</v>
      </c>
      <c r="K36" s="21"/>
      <c r="L36" t="s">
        <v>4774</v>
      </c>
      <c r="M36" t="s">
        <v>54</v>
      </c>
      <c r="N36" t="s">
        <v>26</v>
      </c>
      <c r="O36">
        <v>1</v>
      </c>
      <c r="P36" t="s">
        <v>1207</v>
      </c>
      <c r="Q36" t="s">
        <v>4518</v>
      </c>
      <c r="R36" t="s">
        <v>4726</v>
      </c>
      <c r="S36" t="s">
        <v>4717</v>
      </c>
      <c r="T36">
        <f t="shared" si="0"/>
        <v>2</v>
      </c>
      <c r="U36" s="21">
        <f t="shared" si="1"/>
        <v>45377</v>
      </c>
    </row>
    <row r="37" spans="1:21" x14ac:dyDescent="0.35">
      <c r="A37" t="s">
        <v>3549</v>
      </c>
      <c r="B37" t="s">
        <v>3550</v>
      </c>
      <c r="C37" t="s">
        <v>19</v>
      </c>
      <c r="D37" t="s">
        <v>1002</v>
      </c>
      <c r="E37" s="1">
        <v>718.11599999999896</v>
      </c>
      <c r="F37" t="s">
        <v>995</v>
      </c>
      <c r="G37">
        <v>40</v>
      </c>
      <c r="H37" s="1">
        <v>287.2463999999996</v>
      </c>
      <c r="I37" s="21">
        <v>45375</v>
      </c>
      <c r="J37" s="21">
        <v>45377</v>
      </c>
      <c r="K37" s="21"/>
      <c r="L37" t="s">
        <v>4774</v>
      </c>
      <c r="M37" t="s">
        <v>82</v>
      </c>
      <c r="N37" t="s">
        <v>47</v>
      </c>
      <c r="O37">
        <v>1</v>
      </c>
      <c r="P37" t="s">
        <v>776</v>
      </c>
      <c r="Q37" t="s">
        <v>4566</v>
      </c>
      <c r="R37" t="s">
        <v>4712</v>
      </c>
      <c r="S37" t="s">
        <v>4718</v>
      </c>
      <c r="T37">
        <f t="shared" si="0"/>
        <v>2</v>
      </c>
      <c r="U37" s="21">
        <f t="shared" si="1"/>
        <v>45377</v>
      </c>
    </row>
    <row r="38" spans="1:21" x14ac:dyDescent="0.35">
      <c r="A38" t="s">
        <v>1208</v>
      </c>
      <c r="B38" t="s">
        <v>1209</v>
      </c>
      <c r="C38" t="s">
        <v>30</v>
      </c>
      <c r="D38" t="s">
        <v>1002</v>
      </c>
      <c r="E38" s="1">
        <v>40.735999999999997</v>
      </c>
      <c r="F38" t="s">
        <v>995</v>
      </c>
      <c r="G38">
        <v>40</v>
      </c>
      <c r="H38" s="1">
        <v>16.2944</v>
      </c>
      <c r="I38" s="21">
        <v>45375</v>
      </c>
      <c r="J38" s="21">
        <v>45381</v>
      </c>
      <c r="K38" s="21"/>
      <c r="L38" t="s">
        <v>4774</v>
      </c>
      <c r="M38" t="s">
        <v>54</v>
      </c>
      <c r="N38" t="s">
        <v>26</v>
      </c>
      <c r="O38">
        <v>1</v>
      </c>
      <c r="P38" t="s">
        <v>1210</v>
      </c>
      <c r="Q38" t="s">
        <v>4618</v>
      </c>
      <c r="R38" t="s">
        <v>4726</v>
      </c>
      <c r="S38" t="s">
        <v>4717</v>
      </c>
      <c r="T38">
        <f t="shared" si="0"/>
        <v>6</v>
      </c>
      <c r="U38" s="21">
        <f t="shared" si="1"/>
        <v>45381</v>
      </c>
    </row>
    <row r="39" spans="1:21" x14ac:dyDescent="0.35">
      <c r="A39" t="s">
        <v>3545</v>
      </c>
      <c r="B39" t="s">
        <v>3546</v>
      </c>
      <c r="C39" t="s">
        <v>30</v>
      </c>
      <c r="D39" t="s">
        <v>1006</v>
      </c>
      <c r="E39" s="1">
        <v>95.94</v>
      </c>
      <c r="F39" t="s">
        <v>995</v>
      </c>
      <c r="G39">
        <v>0</v>
      </c>
      <c r="H39" s="1">
        <v>0</v>
      </c>
      <c r="I39" s="21">
        <v>45375</v>
      </c>
      <c r="J39" s="21">
        <v>45379</v>
      </c>
      <c r="K39" s="21"/>
      <c r="L39" t="s">
        <v>4774</v>
      </c>
      <c r="M39" t="s">
        <v>146</v>
      </c>
      <c r="N39" t="s">
        <v>73</v>
      </c>
      <c r="O39">
        <v>1</v>
      </c>
      <c r="P39" t="s">
        <v>2138</v>
      </c>
      <c r="Q39" t="s">
        <v>4560</v>
      </c>
      <c r="R39" t="s">
        <v>4721</v>
      </c>
      <c r="S39" t="s">
        <v>4718</v>
      </c>
      <c r="T39">
        <f t="shared" si="0"/>
        <v>4</v>
      </c>
      <c r="U39" s="21">
        <f t="shared" si="1"/>
        <v>45379</v>
      </c>
    </row>
    <row r="40" spans="1:21" x14ac:dyDescent="0.35">
      <c r="A40" t="s">
        <v>3547</v>
      </c>
      <c r="B40" t="s">
        <v>3548</v>
      </c>
      <c r="C40" t="s">
        <v>30</v>
      </c>
      <c r="D40" t="s">
        <v>1006</v>
      </c>
      <c r="E40" s="1">
        <v>8.4480000000000004</v>
      </c>
      <c r="F40" t="s">
        <v>995</v>
      </c>
      <c r="G40">
        <v>0</v>
      </c>
      <c r="H40" s="1">
        <v>0</v>
      </c>
      <c r="I40" s="21">
        <v>45375</v>
      </c>
      <c r="J40" s="21">
        <v>45378</v>
      </c>
      <c r="K40" s="21"/>
      <c r="L40" t="s">
        <v>4774</v>
      </c>
      <c r="M40" t="s">
        <v>72</v>
      </c>
      <c r="N40" t="s">
        <v>73</v>
      </c>
      <c r="O40">
        <v>1</v>
      </c>
      <c r="P40" t="s">
        <v>2881</v>
      </c>
      <c r="Q40" t="s">
        <v>4515</v>
      </c>
      <c r="R40" t="s">
        <v>4726</v>
      </c>
      <c r="S40" t="s">
        <v>4717</v>
      </c>
      <c r="T40">
        <f t="shared" si="0"/>
        <v>3</v>
      </c>
      <c r="U40" s="21">
        <f t="shared" si="1"/>
        <v>45378</v>
      </c>
    </row>
    <row r="41" spans="1:21" x14ac:dyDescent="0.35">
      <c r="A41" t="s">
        <v>2401</v>
      </c>
      <c r="B41" t="s">
        <v>2402</v>
      </c>
      <c r="C41" t="s">
        <v>30</v>
      </c>
      <c r="D41" t="s">
        <v>1002</v>
      </c>
      <c r="E41" s="1">
        <v>2.96</v>
      </c>
      <c r="F41" t="s">
        <v>995</v>
      </c>
      <c r="G41">
        <v>40</v>
      </c>
      <c r="H41" s="1">
        <v>1.1839999999999999</v>
      </c>
      <c r="I41" s="21">
        <v>45373</v>
      </c>
      <c r="J41" s="21">
        <v>45379</v>
      </c>
      <c r="K41" s="21"/>
      <c r="L41" t="s">
        <v>4774</v>
      </c>
      <c r="M41" t="s">
        <v>146</v>
      </c>
      <c r="N41" t="s">
        <v>73</v>
      </c>
      <c r="O41">
        <v>1</v>
      </c>
      <c r="P41" t="s">
        <v>2403</v>
      </c>
      <c r="Q41" t="s">
        <v>4729</v>
      </c>
      <c r="R41" t="s">
        <v>4726</v>
      </c>
      <c r="S41" t="s">
        <v>4717</v>
      </c>
      <c r="T41">
        <f t="shared" si="0"/>
        <v>6</v>
      </c>
      <c r="U41" s="21">
        <f t="shared" si="1"/>
        <v>45379</v>
      </c>
    </row>
    <row r="42" spans="1:21" x14ac:dyDescent="0.35">
      <c r="A42" t="s">
        <v>4488</v>
      </c>
      <c r="B42" t="s">
        <v>4489</v>
      </c>
      <c r="C42" t="s">
        <v>19</v>
      </c>
      <c r="D42" t="s">
        <v>1006</v>
      </c>
      <c r="E42" s="1">
        <v>132.52000000000001</v>
      </c>
      <c r="F42" t="s">
        <v>995</v>
      </c>
      <c r="G42">
        <v>0</v>
      </c>
      <c r="H42" s="1">
        <v>0</v>
      </c>
      <c r="I42" s="21">
        <v>45373</v>
      </c>
      <c r="J42" s="21">
        <v>45379</v>
      </c>
      <c r="K42" s="21"/>
      <c r="L42" t="s">
        <v>4774</v>
      </c>
      <c r="M42" t="s">
        <v>72</v>
      </c>
      <c r="N42" t="s">
        <v>73</v>
      </c>
      <c r="O42">
        <v>1</v>
      </c>
      <c r="P42" t="s">
        <v>3069</v>
      </c>
      <c r="Q42" t="s">
        <v>4778</v>
      </c>
      <c r="R42" t="s">
        <v>4713</v>
      </c>
      <c r="S42" t="s">
        <v>4719</v>
      </c>
      <c r="T42">
        <f t="shared" si="0"/>
        <v>6</v>
      </c>
      <c r="U42" s="21">
        <f t="shared" si="1"/>
        <v>45379</v>
      </c>
    </row>
    <row r="43" spans="1:21" x14ac:dyDescent="0.35">
      <c r="A43" t="s">
        <v>1203</v>
      </c>
      <c r="B43" t="s">
        <v>1204</v>
      </c>
      <c r="C43" t="s">
        <v>19</v>
      </c>
      <c r="D43" t="s">
        <v>994</v>
      </c>
      <c r="E43" s="1">
        <v>106.75</v>
      </c>
      <c r="F43" t="s">
        <v>995</v>
      </c>
      <c r="G43">
        <v>15</v>
      </c>
      <c r="H43" s="1">
        <v>16.012499999999999</v>
      </c>
      <c r="I43" s="21">
        <v>45373</v>
      </c>
      <c r="J43" s="21">
        <v>45375</v>
      </c>
      <c r="K43" s="21"/>
      <c r="L43" t="s">
        <v>4774</v>
      </c>
      <c r="M43" t="s">
        <v>25</v>
      </c>
      <c r="N43" t="s">
        <v>26</v>
      </c>
      <c r="O43">
        <v>1</v>
      </c>
      <c r="P43" t="s">
        <v>394</v>
      </c>
      <c r="Q43" t="s">
        <v>4729</v>
      </c>
      <c r="R43" t="s">
        <v>4512</v>
      </c>
      <c r="S43" t="s">
        <v>4717</v>
      </c>
      <c r="T43">
        <f t="shared" si="0"/>
        <v>2</v>
      </c>
      <c r="U43" s="21">
        <f t="shared" si="1"/>
        <v>45375</v>
      </c>
    </row>
    <row r="44" spans="1:21" x14ac:dyDescent="0.35">
      <c r="A44" t="s">
        <v>3543</v>
      </c>
      <c r="B44" t="s">
        <v>3544</v>
      </c>
      <c r="C44" t="s">
        <v>30</v>
      </c>
      <c r="D44" t="s">
        <v>994</v>
      </c>
      <c r="E44" s="1">
        <v>279.95999999999998</v>
      </c>
      <c r="F44" t="s">
        <v>995</v>
      </c>
      <c r="G44">
        <v>15</v>
      </c>
      <c r="H44" s="1">
        <v>41.993999999999993</v>
      </c>
      <c r="I44" s="21">
        <v>45372</v>
      </c>
      <c r="J44" s="21">
        <v>45376</v>
      </c>
      <c r="K44" s="21"/>
      <c r="L44" t="s">
        <v>4774</v>
      </c>
      <c r="M44" t="s">
        <v>82</v>
      </c>
      <c r="N44" t="s">
        <v>47</v>
      </c>
      <c r="O44">
        <v>1</v>
      </c>
      <c r="P44" t="s">
        <v>2826</v>
      </c>
      <c r="Q44" t="s">
        <v>4729</v>
      </c>
      <c r="R44" t="s">
        <v>4711</v>
      </c>
      <c r="S44" t="s">
        <v>4719</v>
      </c>
      <c r="T44">
        <f t="shared" si="0"/>
        <v>4</v>
      </c>
      <c r="U44" s="21">
        <f t="shared" si="1"/>
        <v>45376</v>
      </c>
    </row>
    <row r="45" spans="1:21" x14ac:dyDescent="0.35">
      <c r="A45" t="s">
        <v>1200</v>
      </c>
      <c r="B45" t="s">
        <v>1201</v>
      </c>
      <c r="C45" t="s">
        <v>19</v>
      </c>
      <c r="D45" t="s">
        <v>21</v>
      </c>
      <c r="E45" s="1">
        <v>330.76800000000003</v>
      </c>
      <c r="F45" t="s">
        <v>22</v>
      </c>
      <c r="G45">
        <v>0</v>
      </c>
      <c r="H45" s="1">
        <v>0</v>
      </c>
      <c r="I45" s="21">
        <v>45372</v>
      </c>
      <c r="J45" s="21">
        <v>45372</v>
      </c>
      <c r="K45" s="21">
        <v>45372</v>
      </c>
      <c r="L45" t="s">
        <v>45</v>
      </c>
      <c r="M45" t="s">
        <v>25</v>
      </c>
      <c r="N45" t="s">
        <v>26</v>
      </c>
      <c r="O45">
        <v>1</v>
      </c>
      <c r="P45" t="s">
        <v>1202</v>
      </c>
      <c r="Q45" t="s">
        <v>4729</v>
      </c>
      <c r="R45" t="s">
        <v>4726</v>
      </c>
      <c r="S45" t="s">
        <v>4717</v>
      </c>
      <c r="T45">
        <f t="shared" si="0"/>
        <v>0</v>
      </c>
      <c r="U45" s="21">
        <f t="shared" si="1"/>
        <v>45372</v>
      </c>
    </row>
    <row r="46" spans="1:21" x14ac:dyDescent="0.35">
      <c r="A46" t="s">
        <v>2399</v>
      </c>
      <c r="B46" t="s">
        <v>2400</v>
      </c>
      <c r="C46" t="s">
        <v>30</v>
      </c>
      <c r="D46" t="s">
        <v>1006</v>
      </c>
      <c r="E46" s="1">
        <v>28.728000000000002</v>
      </c>
      <c r="F46" t="s">
        <v>995</v>
      </c>
      <c r="G46">
        <v>0</v>
      </c>
      <c r="H46" s="1">
        <v>0</v>
      </c>
      <c r="I46" s="21">
        <v>45372</v>
      </c>
      <c r="J46" s="21">
        <v>45377</v>
      </c>
      <c r="K46" s="21"/>
      <c r="L46" t="s">
        <v>4774</v>
      </c>
      <c r="M46" t="s">
        <v>40</v>
      </c>
      <c r="N46" t="s">
        <v>34</v>
      </c>
      <c r="O46">
        <v>1</v>
      </c>
      <c r="P46" t="s">
        <v>512</v>
      </c>
      <c r="Q46" t="s">
        <v>4729</v>
      </c>
      <c r="R46" t="s">
        <v>4726</v>
      </c>
      <c r="S46" t="s">
        <v>4717</v>
      </c>
      <c r="T46">
        <f t="shared" si="0"/>
        <v>5</v>
      </c>
      <c r="U46" s="21">
        <f t="shared" si="1"/>
        <v>45377</v>
      </c>
    </row>
    <row r="47" spans="1:21" x14ac:dyDescent="0.35">
      <c r="A47" t="s">
        <v>2397</v>
      </c>
      <c r="B47" t="s">
        <v>2398</v>
      </c>
      <c r="C47" t="s">
        <v>30</v>
      </c>
      <c r="D47" t="s">
        <v>21</v>
      </c>
      <c r="E47" s="1">
        <v>976.82799999999997</v>
      </c>
      <c r="F47" t="s">
        <v>22</v>
      </c>
      <c r="G47">
        <v>0</v>
      </c>
      <c r="H47" s="1">
        <v>0</v>
      </c>
      <c r="I47" s="21">
        <v>45371</v>
      </c>
      <c r="J47" s="21">
        <v>45374</v>
      </c>
      <c r="K47" s="21">
        <v>45374</v>
      </c>
      <c r="L47" t="s">
        <v>63</v>
      </c>
      <c r="M47" t="s">
        <v>82</v>
      </c>
      <c r="N47" t="s">
        <v>47</v>
      </c>
      <c r="O47">
        <v>1</v>
      </c>
      <c r="P47" t="s">
        <v>2192</v>
      </c>
      <c r="Q47" t="s">
        <v>4649</v>
      </c>
      <c r="R47" t="s">
        <v>4726</v>
      </c>
      <c r="S47" t="s">
        <v>4717</v>
      </c>
      <c r="T47">
        <f t="shared" si="0"/>
        <v>3</v>
      </c>
      <c r="U47" s="21">
        <f t="shared" si="1"/>
        <v>45374</v>
      </c>
    </row>
    <row r="48" spans="1:21" x14ac:dyDescent="0.35">
      <c r="A48" t="s">
        <v>3540</v>
      </c>
      <c r="B48" t="s">
        <v>3541</v>
      </c>
      <c r="C48" t="s">
        <v>30</v>
      </c>
      <c r="D48" t="s">
        <v>1002</v>
      </c>
      <c r="E48" s="1">
        <v>119.94</v>
      </c>
      <c r="F48" t="s">
        <v>995</v>
      </c>
      <c r="G48">
        <v>40</v>
      </c>
      <c r="H48" s="1">
        <v>47.975999999999999</v>
      </c>
      <c r="I48" s="21">
        <v>45371</v>
      </c>
      <c r="J48" s="21">
        <v>45376</v>
      </c>
      <c r="K48" s="21"/>
      <c r="L48" t="s">
        <v>4774</v>
      </c>
      <c r="M48" t="s">
        <v>54</v>
      </c>
      <c r="N48" t="s">
        <v>26</v>
      </c>
      <c r="O48">
        <v>1</v>
      </c>
      <c r="P48" t="s">
        <v>3542</v>
      </c>
      <c r="Q48" t="s">
        <v>4533</v>
      </c>
      <c r="R48" t="s">
        <v>4721</v>
      </c>
      <c r="S48" t="s">
        <v>4718</v>
      </c>
      <c r="T48">
        <f t="shared" si="0"/>
        <v>5</v>
      </c>
      <c r="U48" s="21">
        <f t="shared" si="1"/>
        <v>45376</v>
      </c>
    </row>
    <row r="49" spans="1:21" x14ac:dyDescent="0.35">
      <c r="A49" t="s">
        <v>4485</v>
      </c>
      <c r="B49" t="s">
        <v>4486</v>
      </c>
      <c r="C49" t="s">
        <v>30</v>
      </c>
      <c r="D49" t="s">
        <v>1006</v>
      </c>
      <c r="E49" s="1">
        <v>48.86</v>
      </c>
      <c r="F49" t="s">
        <v>995</v>
      </c>
      <c r="G49">
        <v>0</v>
      </c>
      <c r="H49" s="1">
        <v>0</v>
      </c>
      <c r="I49" s="21">
        <v>45371</v>
      </c>
      <c r="J49" s="21">
        <v>45372</v>
      </c>
      <c r="K49" s="21"/>
      <c r="L49" t="s">
        <v>4774</v>
      </c>
      <c r="M49" t="s">
        <v>72</v>
      </c>
      <c r="N49" t="s">
        <v>73</v>
      </c>
      <c r="O49">
        <v>1</v>
      </c>
      <c r="P49" t="s">
        <v>4487</v>
      </c>
      <c r="Q49" t="s">
        <v>4533</v>
      </c>
      <c r="R49" t="s">
        <v>4709</v>
      </c>
      <c r="S49" t="s">
        <v>4717</v>
      </c>
      <c r="T49">
        <f t="shared" si="0"/>
        <v>1</v>
      </c>
      <c r="U49" s="21">
        <f t="shared" si="1"/>
        <v>45372</v>
      </c>
    </row>
    <row r="50" spans="1:21" x14ac:dyDescent="0.35">
      <c r="A50" t="s">
        <v>1197</v>
      </c>
      <c r="B50" t="s">
        <v>1198</v>
      </c>
      <c r="C50" t="s">
        <v>30</v>
      </c>
      <c r="D50" t="s">
        <v>1002</v>
      </c>
      <c r="E50" s="1">
        <v>339.13600000000002</v>
      </c>
      <c r="F50" t="s">
        <v>995</v>
      </c>
      <c r="G50">
        <v>40</v>
      </c>
      <c r="H50" s="1">
        <v>135.65440000000001</v>
      </c>
      <c r="I50" s="21">
        <v>45371</v>
      </c>
      <c r="J50" s="21">
        <v>45376</v>
      </c>
      <c r="K50" s="21"/>
      <c r="L50" t="s">
        <v>4774</v>
      </c>
      <c r="M50" t="s">
        <v>40</v>
      </c>
      <c r="N50" t="s">
        <v>34</v>
      </c>
      <c r="O50">
        <v>1</v>
      </c>
      <c r="P50" t="s">
        <v>1199</v>
      </c>
      <c r="Q50" t="s">
        <v>4729</v>
      </c>
      <c r="R50" t="s">
        <v>4721</v>
      </c>
      <c r="S50" t="s">
        <v>4718</v>
      </c>
      <c r="T50">
        <f t="shared" si="0"/>
        <v>5</v>
      </c>
      <c r="U50" s="21">
        <f t="shared" si="1"/>
        <v>45376</v>
      </c>
    </row>
    <row r="51" spans="1:21" x14ac:dyDescent="0.35">
      <c r="A51" t="s">
        <v>1194</v>
      </c>
      <c r="B51" t="s">
        <v>1195</v>
      </c>
      <c r="C51" t="s">
        <v>19</v>
      </c>
      <c r="D51" t="s">
        <v>1006</v>
      </c>
      <c r="E51" s="1">
        <v>205.9992</v>
      </c>
      <c r="F51" t="s">
        <v>995</v>
      </c>
      <c r="G51">
        <v>0</v>
      </c>
      <c r="H51" s="1">
        <v>0</v>
      </c>
      <c r="I51" s="21">
        <v>45370</v>
      </c>
      <c r="J51" s="21">
        <v>45375</v>
      </c>
      <c r="K51" s="21"/>
      <c r="L51" t="s">
        <v>4774</v>
      </c>
      <c r="M51" t="s">
        <v>46</v>
      </c>
      <c r="N51" t="s">
        <v>47</v>
      </c>
      <c r="O51">
        <v>1</v>
      </c>
      <c r="P51" t="s">
        <v>1196</v>
      </c>
      <c r="Q51" t="s">
        <v>4566</v>
      </c>
      <c r="R51" t="s">
        <v>4723</v>
      </c>
      <c r="S51" t="s">
        <v>4718</v>
      </c>
      <c r="T51">
        <f t="shared" si="0"/>
        <v>5</v>
      </c>
      <c r="U51" s="21">
        <f t="shared" si="1"/>
        <v>45375</v>
      </c>
    </row>
    <row r="52" spans="1:21" x14ac:dyDescent="0.35">
      <c r="A52" t="s">
        <v>3534</v>
      </c>
      <c r="B52" t="s">
        <v>3535</v>
      </c>
      <c r="C52" t="s">
        <v>19</v>
      </c>
      <c r="D52" t="s">
        <v>1006</v>
      </c>
      <c r="E52" s="1">
        <v>61.792000000000002</v>
      </c>
      <c r="F52" t="s">
        <v>995</v>
      </c>
      <c r="G52">
        <v>0</v>
      </c>
      <c r="H52" s="1">
        <v>0</v>
      </c>
      <c r="I52" s="21">
        <v>45370</v>
      </c>
      <c r="J52" s="21">
        <v>45372</v>
      </c>
      <c r="K52" s="21"/>
      <c r="L52" t="s">
        <v>4774</v>
      </c>
      <c r="M52" t="s">
        <v>146</v>
      </c>
      <c r="N52" t="s">
        <v>73</v>
      </c>
      <c r="O52">
        <v>1</v>
      </c>
      <c r="P52" t="s">
        <v>3536</v>
      </c>
      <c r="Q52" t="s">
        <v>4533</v>
      </c>
      <c r="R52" t="s">
        <v>4709</v>
      </c>
      <c r="S52" t="s">
        <v>4717</v>
      </c>
      <c r="T52">
        <f t="shared" si="0"/>
        <v>2</v>
      </c>
      <c r="U52" s="21">
        <f t="shared" si="1"/>
        <v>45372</v>
      </c>
    </row>
    <row r="53" spans="1:21" x14ac:dyDescent="0.35">
      <c r="A53" t="s">
        <v>2394</v>
      </c>
      <c r="B53" t="s">
        <v>2395</v>
      </c>
      <c r="C53" t="s">
        <v>19</v>
      </c>
      <c r="D53" t="s">
        <v>994</v>
      </c>
      <c r="E53" s="1">
        <v>89.82</v>
      </c>
      <c r="F53" t="s">
        <v>995</v>
      </c>
      <c r="G53">
        <v>40</v>
      </c>
      <c r="H53" s="1">
        <v>35.927999999999997</v>
      </c>
      <c r="I53" s="21">
        <v>45370</v>
      </c>
      <c r="J53" s="21">
        <v>45374</v>
      </c>
      <c r="K53" s="21"/>
      <c r="L53" t="s">
        <v>4774</v>
      </c>
      <c r="M53" t="s">
        <v>46</v>
      </c>
      <c r="N53" t="s">
        <v>47</v>
      </c>
      <c r="O53">
        <v>1</v>
      </c>
      <c r="P53" t="s">
        <v>2396</v>
      </c>
      <c r="Q53" t="s">
        <v>4657</v>
      </c>
      <c r="R53" t="s">
        <v>4709</v>
      </c>
      <c r="S53" t="s">
        <v>4717</v>
      </c>
      <c r="T53">
        <f t="shared" si="0"/>
        <v>4</v>
      </c>
      <c r="U53" s="21">
        <f t="shared" si="1"/>
        <v>45374</v>
      </c>
    </row>
    <row r="54" spans="1:21" x14ac:dyDescent="0.35">
      <c r="A54" t="s">
        <v>3537</v>
      </c>
      <c r="B54" t="s">
        <v>3538</v>
      </c>
      <c r="C54" t="s">
        <v>19</v>
      </c>
      <c r="D54" t="s">
        <v>1006</v>
      </c>
      <c r="E54" s="1">
        <v>139.91999999999999</v>
      </c>
      <c r="F54" t="s">
        <v>995</v>
      </c>
      <c r="G54">
        <v>0</v>
      </c>
      <c r="H54" s="1">
        <v>0</v>
      </c>
      <c r="I54" s="21">
        <v>45370</v>
      </c>
      <c r="J54" s="21">
        <v>45376</v>
      </c>
      <c r="K54" s="21"/>
      <c r="L54" t="s">
        <v>4774</v>
      </c>
      <c r="M54" t="s">
        <v>97</v>
      </c>
      <c r="N54" t="s">
        <v>68</v>
      </c>
      <c r="O54">
        <v>1</v>
      </c>
      <c r="P54" t="s">
        <v>3539</v>
      </c>
      <c r="Q54" t="s">
        <v>4729</v>
      </c>
      <c r="R54" t="s">
        <v>4714</v>
      </c>
      <c r="S54" t="s">
        <v>4718</v>
      </c>
      <c r="T54">
        <f t="shared" si="0"/>
        <v>6</v>
      </c>
      <c r="U54" s="21">
        <f t="shared" si="1"/>
        <v>45376</v>
      </c>
    </row>
    <row r="55" spans="1:21" x14ac:dyDescent="0.35">
      <c r="A55" t="s">
        <v>2391</v>
      </c>
      <c r="B55" t="s">
        <v>2392</v>
      </c>
      <c r="C55" t="s">
        <v>19</v>
      </c>
      <c r="D55" t="s">
        <v>1006</v>
      </c>
      <c r="E55" s="1">
        <v>8.64</v>
      </c>
      <c r="F55" t="s">
        <v>995</v>
      </c>
      <c r="G55">
        <v>0</v>
      </c>
      <c r="H55" s="1">
        <v>0</v>
      </c>
      <c r="I55" s="21">
        <v>45369</v>
      </c>
      <c r="J55" s="21">
        <v>45375</v>
      </c>
      <c r="K55" s="21"/>
      <c r="L55" t="s">
        <v>4774</v>
      </c>
      <c r="M55" t="s">
        <v>146</v>
      </c>
      <c r="N55" t="s">
        <v>73</v>
      </c>
      <c r="O55">
        <v>1</v>
      </c>
      <c r="P55" t="s">
        <v>2393</v>
      </c>
      <c r="Q55" t="s">
        <v>4599</v>
      </c>
      <c r="R55" t="s">
        <v>4726</v>
      </c>
      <c r="S55" t="s">
        <v>4717</v>
      </c>
      <c r="T55">
        <f t="shared" si="0"/>
        <v>6</v>
      </c>
      <c r="U55" s="21">
        <f t="shared" si="1"/>
        <v>45375</v>
      </c>
    </row>
    <row r="56" spans="1:21" x14ac:dyDescent="0.35">
      <c r="A56" t="s">
        <v>3531</v>
      </c>
      <c r="B56" t="s">
        <v>3532</v>
      </c>
      <c r="C56" t="s">
        <v>19</v>
      </c>
      <c r="D56" t="s">
        <v>1006</v>
      </c>
      <c r="E56" s="1">
        <v>321.56799999999998</v>
      </c>
      <c r="F56" t="s">
        <v>995</v>
      </c>
      <c r="G56">
        <v>0</v>
      </c>
      <c r="H56" s="1">
        <v>0</v>
      </c>
      <c r="I56" s="21">
        <v>45369</v>
      </c>
      <c r="J56" s="21">
        <v>45373</v>
      </c>
      <c r="K56" s="21"/>
      <c r="L56" t="s">
        <v>4774</v>
      </c>
      <c r="M56" t="s">
        <v>67</v>
      </c>
      <c r="N56" t="s">
        <v>68</v>
      </c>
      <c r="O56">
        <v>1</v>
      </c>
      <c r="P56" t="s">
        <v>3533</v>
      </c>
      <c r="Q56" t="s">
        <v>4567</v>
      </c>
      <c r="R56" t="s">
        <v>4714</v>
      </c>
      <c r="S56" t="s">
        <v>4718</v>
      </c>
      <c r="T56">
        <f t="shared" si="0"/>
        <v>4</v>
      </c>
      <c r="U56" s="21">
        <f t="shared" si="1"/>
        <v>45373</v>
      </c>
    </row>
    <row r="57" spans="1:21" x14ac:dyDescent="0.35">
      <c r="A57" t="s">
        <v>3528</v>
      </c>
      <c r="B57" t="s">
        <v>3529</v>
      </c>
      <c r="C57" t="s">
        <v>30</v>
      </c>
      <c r="D57" t="s">
        <v>21</v>
      </c>
      <c r="E57" s="1">
        <v>315.041</v>
      </c>
      <c r="F57" t="s">
        <v>22</v>
      </c>
      <c r="G57">
        <v>0</v>
      </c>
      <c r="H57" s="1">
        <v>0</v>
      </c>
      <c r="I57" s="21">
        <v>45368</v>
      </c>
      <c r="J57" s="21">
        <v>45368</v>
      </c>
      <c r="K57" s="21">
        <v>45368</v>
      </c>
      <c r="L57" t="s">
        <v>53</v>
      </c>
      <c r="M57" t="s">
        <v>40</v>
      </c>
      <c r="N57" t="s">
        <v>34</v>
      </c>
      <c r="O57">
        <v>1</v>
      </c>
      <c r="P57" t="s">
        <v>3530</v>
      </c>
      <c r="Q57" t="s">
        <v>4647</v>
      </c>
      <c r="R57" t="s">
        <v>4711</v>
      </c>
      <c r="S57" t="s">
        <v>4719</v>
      </c>
      <c r="T57">
        <f t="shared" si="0"/>
        <v>0</v>
      </c>
      <c r="U57" s="21">
        <f t="shared" si="1"/>
        <v>45368</v>
      </c>
    </row>
    <row r="58" spans="1:21" x14ac:dyDescent="0.35">
      <c r="A58" t="s">
        <v>1191</v>
      </c>
      <c r="B58" t="s">
        <v>1192</v>
      </c>
      <c r="C58" t="s">
        <v>19</v>
      </c>
      <c r="D58" t="s">
        <v>994</v>
      </c>
      <c r="E58" s="1">
        <v>97.88</v>
      </c>
      <c r="F58" t="s">
        <v>995</v>
      </c>
      <c r="G58">
        <v>15</v>
      </c>
      <c r="H58" s="1">
        <v>14.681999999999999</v>
      </c>
      <c r="I58" s="21">
        <v>45368</v>
      </c>
      <c r="J58" s="21">
        <v>45370</v>
      </c>
      <c r="K58" s="21"/>
      <c r="L58" t="s">
        <v>4774</v>
      </c>
      <c r="M58" t="s">
        <v>82</v>
      </c>
      <c r="N58" t="s">
        <v>47</v>
      </c>
      <c r="O58">
        <v>1</v>
      </c>
      <c r="P58" t="s">
        <v>1193</v>
      </c>
      <c r="Q58" t="s">
        <v>4519</v>
      </c>
      <c r="R58" t="s">
        <v>4726</v>
      </c>
      <c r="S58" t="s">
        <v>4717</v>
      </c>
      <c r="T58">
        <f t="shared" si="0"/>
        <v>2</v>
      </c>
      <c r="U58" s="21">
        <f t="shared" si="1"/>
        <v>45370</v>
      </c>
    </row>
    <row r="59" spans="1:21" x14ac:dyDescent="0.35">
      <c r="A59" t="s">
        <v>2388</v>
      </c>
      <c r="B59" t="s">
        <v>2389</v>
      </c>
      <c r="C59" t="s">
        <v>19</v>
      </c>
      <c r="D59" t="s">
        <v>994</v>
      </c>
      <c r="E59" s="1">
        <v>155.12</v>
      </c>
      <c r="F59" t="s">
        <v>995</v>
      </c>
      <c r="G59">
        <v>15</v>
      </c>
      <c r="H59" s="1">
        <v>23.268000000000001</v>
      </c>
      <c r="I59" s="21">
        <v>45366</v>
      </c>
      <c r="J59" s="21">
        <v>45369</v>
      </c>
      <c r="K59" s="21"/>
      <c r="L59" t="s">
        <v>4774</v>
      </c>
      <c r="M59" t="s">
        <v>33</v>
      </c>
      <c r="N59" t="s">
        <v>34</v>
      </c>
      <c r="O59">
        <v>1</v>
      </c>
      <c r="P59" t="s">
        <v>2390</v>
      </c>
      <c r="Q59" t="s">
        <v>4729</v>
      </c>
      <c r="R59" t="s">
        <v>4726</v>
      </c>
      <c r="S59" t="s">
        <v>4717</v>
      </c>
      <c r="T59">
        <f t="shared" si="0"/>
        <v>3</v>
      </c>
      <c r="U59" s="21">
        <f t="shared" si="1"/>
        <v>45369</v>
      </c>
    </row>
    <row r="60" spans="1:21" x14ac:dyDescent="0.35">
      <c r="A60" t="s">
        <v>3525</v>
      </c>
      <c r="B60" t="s">
        <v>3526</v>
      </c>
      <c r="C60" t="s">
        <v>30</v>
      </c>
      <c r="D60" t="s">
        <v>21</v>
      </c>
      <c r="E60" s="1">
        <v>1358.866</v>
      </c>
      <c r="F60" t="s">
        <v>22</v>
      </c>
      <c r="G60">
        <v>0</v>
      </c>
      <c r="H60" s="1">
        <v>0</v>
      </c>
      <c r="I60" s="21">
        <v>45365</v>
      </c>
      <c r="J60" s="21">
        <v>45365</v>
      </c>
      <c r="K60" s="21">
        <v>45365</v>
      </c>
      <c r="L60" t="s">
        <v>63</v>
      </c>
      <c r="M60" t="s">
        <v>146</v>
      </c>
      <c r="N60" t="s">
        <v>73</v>
      </c>
      <c r="O60">
        <v>1</v>
      </c>
      <c r="P60" t="s">
        <v>3527</v>
      </c>
      <c r="Q60" t="s">
        <v>4692</v>
      </c>
      <c r="R60" t="s">
        <v>4726</v>
      </c>
      <c r="S60" t="s">
        <v>4717</v>
      </c>
      <c r="T60">
        <f t="shared" si="0"/>
        <v>0</v>
      </c>
      <c r="U60" s="21">
        <f t="shared" si="1"/>
        <v>45365</v>
      </c>
    </row>
    <row r="61" spans="1:21" x14ac:dyDescent="0.35">
      <c r="A61" t="s">
        <v>2380</v>
      </c>
      <c r="B61" t="s">
        <v>2381</v>
      </c>
      <c r="C61" t="s">
        <v>30</v>
      </c>
      <c r="D61" t="s">
        <v>1002</v>
      </c>
      <c r="E61" s="1">
        <v>563.024</v>
      </c>
      <c r="F61" t="s">
        <v>995</v>
      </c>
      <c r="G61">
        <v>40</v>
      </c>
      <c r="H61" s="1">
        <v>225.20960000000002</v>
      </c>
      <c r="I61" s="21">
        <v>45365</v>
      </c>
      <c r="J61" s="21">
        <v>45371</v>
      </c>
      <c r="K61" s="21"/>
      <c r="L61" t="s">
        <v>4774</v>
      </c>
      <c r="M61" t="s">
        <v>146</v>
      </c>
      <c r="N61" t="s">
        <v>73</v>
      </c>
      <c r="O61">
        <v>1</v>
      </c>
      <c r="P61" t="s">
        <v>2382</v>
      </c>
      <c r="Q61" t="s">
        <v>4528</v>
      </c>
      <c r="R61" t="s">
        <v>4726</v>
      </c>
      <c r="S61" t="s">
        <v>4717</v>
      </c>
      <c r="T61">
        <f t="shared" si="0"/>
        <v>6</v>
      </c>
      <c r="U61" s="21">
        <f t="shared" si="1"/>
        <v>45371</v>
      </c>
    </row>
    <row r="62" spans="1:21" x14ac:dyDescent="0.35">
      <c r="A62" t="s">
        <v>4483</v>
      </c>
      <c r="B62" t="s">
        <v>4484</v>
      </c>
      <c r="C62" t="s">
        <v>30</v>
      </c>
      <c r="D62" t="s">
        <v>21</v>
      </c>
      <c r="E62" s="1">
        <v>523.16</v>
      </c>
      <c r="F62" t="s">
        <v>22</v>
      </c>
      <c r="G62">
        <v>0</v>
      </c>
      <c r="H62" s="1">
        <v>0</v>
      </c>
      <c r="I62" s="21">
        <v>45365</v>
      </c>
      <c r="J62" s="21">
        <v>45367</v>
      </c>
      <c r="K62" s="21">
        <v>45367</v>
      </c>
      <c r="L62" t="s">
        <v>63</v>
      </c>
      <c r="M62" t="s">
        <v>46</v>
      </c>
      <c r="N62" t="s">
        <v>47</v>
      </c>
      <c r="O62">
        <v>1</v>
      </c>
      <c r="P62" t="s">
        <v>3651</v>
      </c>
      <c r="Q62" t="s">
        <v>4528</v>
      </c>
      <c r="R62" t="s">
        <v>4726</v>
      </c>
      <c r="S62" t="s">
        <v>4717</v>
      </c>
      <c r="T62">
        <f t="shared" si="0"/>
        <v>2</v>
      </c>
      <c r="U62" s="21">
        <f t="shared" si="1"/>
        <v>45367</v>
      </c>
    </row>
    <row r="63" spans="1:21" x14ac:dyDescent="0.35">
      <c r="A63" t="s">
        <v>3522</v>
      </c>
      <c r="B63" t="s">
        <v>3523</v>
      </c>
      <c r="C63" t="s">
        <v>19</v>
      </c>
      <c r="D63" t="s">
        <v>1002</v>
      </c>
      <c r="E63" s="1">
        <v>82.95</v>
      </c>
      <c r="F63" t="s">
        <v>995</v>
      </c>
      <c r="G63">
        <v>40</v>
      </c>
      <c r="H63" s="1">
        <v>33.18</v>
      </c>
      <c r="I63" s="21">
        <v>45365</v>
      </c>
      <c r="J63" s="21">
        <v>45369</v>
      </c>
      <c r="K63" s="21"/>
      <c r="L63" t="s">
        <v>4774</v>
      </c>
      <c r="M63" t="s">
        <v>97</v>
      </c>
      <c r="N63" t="s">
        <v>68</v>
      </c>
      <c r="O63">
        <v>1</v>
      </c>
      <c r="P63" t="s">
        <v>3524</v>
      </c>
      <c r="Q63" t="s">
        <v>4587</v>
      </c>
      <c r="R63" t="s">
        <v>4713</v>
      </c>
      <c r="S63" t="s">
        <v>4719</v>
      </c>
      <c r="T63">
        <f t="shared" si="0"/>
        <v>4</v>
      </c>
      <c r="U63" s="21">
        <f t="shared" si="1"/>
        <v>45369</v>
      </c>
    </row>
    <row r="64" spans="1:21" x14ac:dyDescent="0.35">
      <c r="A64" t="s">
        <v>2385</v>
      </c>
      <c r="B64" t="s">
        <v>2386</v>
      </c>
      <c r="C64" t="s">
        <v>19</v>
      </c>
      <c r="D64" t="s">
        <v>994</v>
      </c>
      <c r="E64" s="1">
        <v>47.984000000000002</v>
      </c>
      <c r="F64" t="s">
        <v>995</v>
      </c>
      <c r="G64">
        <v>40</v>
      </c>
      <c r="H64" s="1">
        <v>19.193600000000004</v>
      </c>
      <c r="I64" s="21">
        <v>45365</v>
      </c>
      <c r="J64" s="21">
        <v>45372</v>
      </c>
      <c r="K64" s="21"/>
      <c r="L64" t="s">
        <v>4774</v>
      </c>
      <c r="M64" t="s">
        <v>25</v>
      </c>
      <c r="N64" t="s">
        <v>26</v>
      </c>
      <c r="O64">
        <v>1</v>
      </c>
      <c r="P64" t="s">
        <v>2387</v>
      </c>
      <c r="Q64" t="s">
        <v>4613</v>
      </c>
      <c r="R64" t="s">
        <v>4713</v>
      </c>
      <c r="S64" t="s">
        <v>4719</v>
      </c>
      <c r="T64">
        <f t="shared" si="0"/>
        <v>7</v>
      </c>
      <c r="U64" s="21">
        <f t="shared" si="1"/>
        <v>45372</v>
      </c>
    </row>
    <row r="65" spans="1:21" x14ac:dyDescent="0.35">
      <c r="A65" t="s">
        <v>4480</v>
      </c>
      <c r="B65" t="s">
        <v>4481</v>
      </c>
      <c r="C65" t="s">
        <v>19</v>
      </c>
      <c r="D65" t="s">
        <v>994</v>
      </c>
      <c r="E65" s="1">
        <v>6.56</v>
      </c>
      <c r="F65" t="s">
        <v>995</v>
      </c>
      <c r="G65">
        <v>40</v>
      </c>
      <c r="H65" s="1">
        <v>2.6240000000000001</v>
      </c>
      <c r="I65" s="21">
        <v>45365</v>
      </c>
      <c r="J65" s="21">
        <v>45369</v>
      </c>
      <c r="K65" s="21"/>
      <c r="L65" t="s">
        <v>4774</v>
      </c>
      <c r="M65" t="s">
        <v>146</v>
      </c>
      <c r="N65" t="s">
        <v>73</v>
      </c>
      <c r="O65">
        <v>1</v>
      </c>
      <c r="P65" t="s">
        <v>4482</v>
      </c>
      <c r="Q65" t="s">
        <v>4520</v>
      </c>
      <c r="R65" t="s">
        <v>4726</v>
      </c>
      <c r="S65" t="s">
        <v>4717</v>
      </c>
      <c r="T65">
        <f t="shared" si="0"/>
        <v>4</v>
      </c>
      <c r="U65" s="21">
        <f t="shared" si="1"/>
        <v>45369</v>
      </c>
    </row>
    <row r="66" spans="1:21" x14ac:dyDescent="0.35">
      <c r="A66" t="s">
        <v>2383</v>
      </c>
      <c r="B66" t="s">
        <v>2384</v>
      </c>
      <c r="C66" t="s">
        <v>30</v>
      </c>
      <c r="D66" t="s">
        <v>1002</v>
      </c>
      <c r="E66" s="1">
        <v>15.28</v>
      </c>
      <c r="F66" t="s">
        <v>995</v>
      </c>
      <c r="G66">
        <v>40</v>
      </c>
      <c r="H66" s="1">
        <v>6.1120000000000001</v>
      </c>
      <c r="I66" s="21">
        <v>45365</v>
      </c>
      <c r="J66" s="21">
        <v>45368</v>
      </c>
      <c r="K66" s="21"/>
      <c r="L66" t="s">
        <v>4774</v>
      </c>
      <c r="M66" t="s">
        <v>46</v>
      </c>
      <c r="N66" t="s">
        <v>47</v>
      </c>
      <c r="O66">
        <v>1</v>
      </c>
      <c r="P66" t="s">
        <v>1792</v>
      </c>
      <c r="Q66" t="s">
        <v>4729</v>
      </c>
      <c r="R66" t="s">
        <v>4512</v>
      </c>
      <c r="S66" t="s">
        <v>4717</v>
      </c>
      <c r="T66">
        <f t="shared" ref="T66:T129" si="2">J66-I66</f>
        <v>3</v>
      </c>
      <c r="U66" s="21">
        <f t="shared" si="1"/>
        <v>45368</v>
      </c>
    </row>
    <row r="67" spans="1:21" x14ac:dyDescent="0.35">
      <c r="A67" t="s">
        <v>1189</v>
      </c>
      <c r="B67" t="s">
        <v>1190</v>
      </c>
      <c r="C67" t="s">
        <v>19</v>
      </c>
      <c r="D67" t="s">
        <v>1002</v>
      </c>
      <c r="E67" s="1">
        <v>154.94999999999999</v>
      </c>
      <c r="F67" t="s">
        <v>995</v>
      </c>
      <c r="G67">
        <v>40</v>
      </c>
      <c r="H67" s="1">
        <v>61.98</v>
      </c>
      <c r="I67" s="21">
        <v>45364</v>
      </c>
      <c r="J67" s="21">
        <v>45369</v>
      </c>
      <c r="K67" s="21"/>
      <c r="L67" t="s">
        <v>4774</v>
      </c>
      <c r="M67" t="s">
        <v>72</v>
      </c>
      <c r="N67" t="s">
        <v>73</v>
      </c>
      <c r="O67">
        <v>1</v>
      </c>
      <c r="P67" t="s">
        <v>303</v>
      </c>
      <c r="Q67" t="s">
        <v>4548</v>
      </c>
      <c r="R67" t="s">
        <v>4721</v>
      </c>
      <c r="S67" t="s">
        <v>4718</v>
      </c>
      <c r="T67">
        <f t="shared" si="2"/>
        <v>5</v>
      </c>
      <c r="U67" s="21">
        <f t="shared" ref="U67:U130" si="3">J67</f>
        <v>45369</v>
      </c>
    </row>
    <row r="68" spans="1:21" x14ac:dyDescent="0.35">
      <c r="A68" t="s">
        <v>3519</v>
      </c>
      <c r="B68" t="s">
        <v>3520</v>
      </c>
      <c r="C68" t="s">
        <v>30</v>
      </c>
      <c r="D68" t="s">
        <v>1006</v>
      </c>
      <c r="E68" s="1">
        <v>43.6</v>
      </c>
      <c r="F68" t="s">
        <v>995</v>
      </c>
      <c r="G68">
        <v>0</v>
      </c>
      <c r="H68" s="1">
        <v>0</v>
      </c>
      <c r="I68" s="21">
        <v>45364</v>
      </c>
      <c r="J68" s="21">
        <v>45369</v>
      </c>
      <c r="K68" s="21"/>
      <c r="L68" t="s">
        <v>4774</v>
      </c>
      <c r="M68" t="s">
        <v>33</v>
      </c>
      <c r="N68" t="s">
        <v>34</v>
      </c>
      <c r="O68">
        <v>1</v>
      </c>
      <c r="P68" t="s">
        <v>3521</v>
      </c>
      <c r="Q68" t="s">
        <v>4691</v>
      </c>
      <c r="R68" t="s">
        <v>4713</v>
      </c>
      <c r="S68" t="s">
        <v>4719</v>
      </c>
      <c r="T68">
        <f t="shared" si="2"/>
        <v>5</v>
      </c>
      <c r="U68" s="21">
        <f t="shared" si="3"/>
        <v>45369</v>
      </c>
    </row>
    <row r="69" spans="1:21" x14ac:dyDescent="0.35">
      <c r="A69" t="s">
        <v>3516</v>
      </c>
      <c r="B69" t="s">
        <v>3517</v>
      </c>
      <c r="C69" t="s">
        <v>30</v>
      </c>
      <c r="D69" t="s">
        <v>1006</v>
      </c>
      <c r="E69" s="1">
        <v>10.848000000000001</v>
      </c>
      <c r="F69" t="s">
        <v>995</v>
      </c>
      <c r="G69">
        <v>0</v>
      </c>
      <c r="H69" s="1">
        <v>0</v>
      </c>
      <c r="I69" s="21">
        <v>45364</v>
      </c>
      <c r="J69" s="21">
        <v>45369</v>
      </c>
      <c r="K69" s="21"/>
      <c r="L69" t="s">
        <v>4774</v>
      </c>
      <c r="M69" t="s">
        <v>67</v>
      </c>
      <c r="N69" t="s">
        <v>68</v>
      </c>
      <c r="O69">
        <v>1</v>
      </c>
      <c r="P69" t="s">
        <v>3518</v>
      </c>
      <c r="Q69" t="s">
        <v>4729</v>
      </c>
      <c r="R69" t="s">
        <v>4721</v>
      </c>
      <c r="S69" t="s">
        <v>4717</v>
      </c>
      <c r="T69">
        <f t="shared" si="2"/>
        <v>5</v>
      </c>
      <c r="U69" s="21">
        <f t="shared" si="3"/>
        <v>45369</v>
      </c>
    </row>
    <row r="70" spans="1:21" x14ac:dyDescent="0.35">
      <c r="A70" t="s">
        <v>3514</v>
      </c>
      <c r="B70" t="s">
        <v>3515</v>
      </c>
      <c r="C70" t="s">
        <v>19</v>
      </c>
      <c r="D70" t="s">
        <v>1006</v>
      </c>
      <c r="E70" s="1">
        <v>1158.1199999999999</v>
      </c>
      <c r="F70" t="s">
        <v>995</v>
      </c>
      <c r="G70">
        <v>0</v>
      </c>
      <c r="H70" s="1">
        <v>0</v>
      </c>
      <c r="I70" s="21">
        <v>45363</v>
      </c>
      <c r="J70" s="21">
        <v>45369</v>
      </c>
      <c r="K70" s="21"/>
      <c r="L70" t="s">
        <v>4774</v>
      </c>
      <c r="M70" t="s">
        <v>54</v>
      </c>
      <c r="N70" t="s">
        <v>26</v>
      </c>
      <c r="O70">
        <v>1</v>
      </c>
      <c r="P70" t="s">
        <v>300</v>
      </c>
      <c r="Q70" t="s">
        <v>4547</v>
      </c>
      <c r="R70" t="s">
        <v>4710</v>
      </c>
      <c r="S70" t="s">
        <v>4717</v>
      </c>
      <c r="T70">
        <f t="shared" si="2"/>
        <v>6</v>
      </c>
      <c r="U70" s="21">
        <f t="shared" si="3"/>
        <v>45369</v>
      </c>
    </row>
    <row r="71" spans="1:21" x14ac:dyDescent="0.35">
      <c r="A71" t="s">
        <v>1187</v>
      </c>
      <c r="B71" t="s">
        <v>1188</v>
      </c>
      <c r="C71" t="s">
        <v>30</v>
      </c>
      <c r="D71" t="s">
        <v>994</v>
      </c>
      <c r="E71" s="1">
        <v>22.45</v>
      </c>
      <c r="F71" t="s">
        <v>995</v>
      </c>
      <c r="G71">
        <v>40</v>
      </c>
      <c r="H71" s="1">
        <v>8.98</v>
      </c>
      <c r="I71" s="21">
        <v>45362</v>
      </c>
      <c r="J71" s="21">
        <v>45367</v>
      </c>
      <c r="K71" s="21"/>
      <c r="L71" t="s">
        <v>4774</v>
      </c>
      <c r="M71" t="s">
        <v>54</v>
      </c>
      <c r="N71" t="s">
        <v>26</v>
      </c>
      <c r="O71">
        <v>1</v>
      </c>
      <c r="P71" t="s">
        <v>55</v>
      </c>
      <c r="Q71" t="s">
        <v>4517</v>
      </c>
      <c r="R71" t="s">
        <v>4726</v>
      </c>
      <c r="S71" t="s">
        <v>4717</v>
      </c>
      <c r="T71">
        <f t="shared" si="2"/>
        <v>5</v>
      </c>
      <c r="U71" s="21">
        <f t="shared" si="3"/>
        <v>45367</v>
      </c>
    </row>
    <row r="72" spans="1:21" x14ac:dyDescent="0.35">
      <c r="A72" t="s">
        <v>2377</v>
      </c>
      <c r="B72" t="s">
        <v>2378</v>
      </c>
      <c r="C72" t="s">
        <v>30</v>
      </c>
      <c r="D72" t="s">
        <v>1006</v>
      </c>
      <c r="E72" s="1">
        <v>34.92</v>
      </c>
      <c r="F72" t="s">
        <v>995</v>
      </c>
      <c r="G72">
        <v>0</v>
      </c>
      <c r="H72" s="1">
        <v>0</v>
      </c>
      <c r="I72" s="21">
        <v>45362</v>
      </c>
      <c r="J72" s="21">
        <v>45368</v>
      </c>
      <c r="K72" s="21"/>
      <c r="L72" t="s">
        <v>4774</v>
      </c>
      <c r="M72" t="s">
        <v>67</v>
      </c>
      <c r="N72" t="s">
        <v>68</v>
      </c>
      <c r="O72">
        <v>1</v>
      </c>
      <c r="P72" t="s">
        <v>2379</v>
      </c>
      <c r="Q72" t="s">
        <v>4656</v>
      </c>
      <c r="R72" t="s">
        <v>4721</v>
      </c>
      <c r="S72" t="s">
        <v>4718</v>
      </c>
      <c r="T72">
        <f t="shared" si="2"/>
        <v>6</v>
      </c>
      <c r="U72" s="21">
        <f t="shared" si="3"/>
        <v>45368</v>
      </c>
    </row>
    <row r="73" spans="1:21" x14ac:dyDescent="0.35">
      <c r="A73" t="s">
        <v>3511</v>
      </c>
      <c r="B73" t="s">
        <v>3512</v>
      </c>
      <c r="C73" t="s">
        <v>19</v>
      </c>
      <c r="D73" t="s">
        <v>1002</v>
      </c>
      <c r="E73" s="1">
        <v>45.92</v>
      </c>
      <c r="F73" t="s">
        <v>995</v>
      </c>
      <c r="G73">
        <v>40</v>
      </c>
      <c r="H73" s="1">
        <v>18.368000000000002</v>
      </c>
      <c r="I73" s="21">
        <v>45362</v>
      </c>
      <c r="J73" s="21">
        <v>45366</v>
      </c>
      <c r="K73" s="21"/>
      <c r="L73" t="s">
        <v>4774</v>
      </c>
      <c r="M73" t="s">
        <v>72</v>
      </c>
      <c r="N73" t="s">
        <v>73</v>
      </c>
      <c r="O73">
        <v>1</v>
      </c>
      <c r="P73" t="s">
        <v>3513</v>
      </c>
      <c r="Q73" t="s">
        <v>4729</v>
      </c>
      <c r="R73" t="s">
        <v>4726</v>
      </c>
      <c r="S73" t="s">
        <v>4717</v>
      </c>
      <c r="T73">
        <f t="shared" si="2"/>
        <v>4</v>
      </c>
      <c r="U73" s="21">
        <f t="shared" si="3"/>
        <v>45366</v>
      </c>
    </row>
    <row r="74" spans="1:21" x14ac:dyDescent="0.35">
      <c r="A74" t="s">
        <v>4478</v>
      </c>
      <c r="B74" t="s">
        <v>4479</v>
      </c>
      <c r="C74" t="s">
        <v>30</v>
      </c>
      <c r="D74" t="s">
        <v>994</v>
      </c>
      <c r="E74" s="1">
        <v>1.9079999999999999</v>
      </c>
      <c r="F74" t="s">
        <v>995</v>
      </c>
      <c r="G74">
        <v>15</v>
      </c>
      <c r="H74" s="1">
        <v>0.28619999999999995</v>
      </c>
      <c r="I74" s="21">
        <v>45361</v>
      </c>
      <c r="J74" s="21">
        <v>45365</v>
      </c>
      <c r="K74" s="21"/>
      <c r="L74" t="s">
        <v>4774</v>
      </c>
      <c r="M74" t="s">
        <v>46</v>
      </c>
      <c r="N74" t="s">
        <v>47</v>
      </c>
      <c r="O74">
        <v>1</v>
      </c>
      <c r="P74" t="s">
        <v>4106</v>
      </c>
      <c r="Q74" t="s">
        <v>4695</v>
      </c>
      <c r="R74" t="s">
        <v>4726</v>
      </c>
      <c r="S74" t="s">
        <v>4717</v>
      </c>
      <c r="T74">
        <f t="shared" si="2"/>
        <v>4</v>
      </c>
      <c r="U74" s="21">
        <f t="shared" si="3"/>
        <v>45365</v>
      </c>
    </row>
    <row r="75" spans="1:21" x14ac:dyDescent="0.35">
      <c r="A75" t="s">
        <v>2374</v>
      </c>
      <c r="B75" t="s">
        <v>2375</v>
      </c>
      <c r="C75" t="s">
        <v>30</v>
      </c>
      <c r="D75" t="s">
        <v>21</v>
      </c>
      <c r="E75" s="1">
        <v>668.54000000000008</v>
      </c>
      <c r="F75" t="s">
        <v>22</v>
      </c>
      <c r="G75">
        <v>0</v>
      </c>
      <c r="H75" s="1">
        <v>0</v>
      </c>
      <c r="I75" s="21">
        <v>45360</v>
      </c>
      <c r="J75" s="21">
        <v>45363</v>
      </c>
      <c r="K75" s="21">
        <v>45363</v>
      </c>
      <c r="L75" t="s">
        <v>32</v>
      </c>
      <c r="M75" t="s">
        <v>146</v>
      </c>
      <c r="N75" t="s">
        <v>73</v>
      </c>
      <c r="O75">
        <v>1</v>
      </c>
      <c r="P75" t="s">
        <v>2376</v>
      </c>
      <c r="Q75" t="s">
        <v>4545</v>
      </c>
      <c r="R75" t="s">
        <v>4721</v>
      </c>
      <c r="S75" t="s">
        <v>4717</v>
      </c>
      <c r="T75">
        <f t="shared" si="2"/>
        <v>3</v>
      </c>
      <c r="U75" s="21">
        <f t="shared" si="3"/>
        <v>45363</v>
      </c>
    </row>
    <row r="76" spans="1:21" x14ac:dyDescent="0.35">
      <c r="A76" t="s">
        <v>3508</v>
      </c>
      <c r="B76" t="s">
        <v>3509</v>
      </c>
      <c r="C76" t="s">
        <v>30</v>
      </c>
      <c r="D76" t="s">
        <v>994</v>
      </c>
      <c r="E76" s="1">
        <v>20.23</v>
      </c>
      <c r="F76" t="s">
        <v>995</v>
      </c>
      <c r="G76">
        <v>15</v>
      </c>
      <c r="H76" s="1">
        <v>3.0345</v>
      </c>
      <c r="I76" s="21">
        <v>45359</v>
      </c>
      <c r="J76" s="21">
        <v>45364</v>
      </c>
      <c r="K76" s="21"/>
      <c r="L76" t="s">
        <v>4774</v>
      </c>
      <c r="M76" t="s">
        <v>25</v>
      </c>
      <c r="N76" t="s">
        <v>26</v>
      </c>
      <c r="O76">
        <v>1</v>
      </c>
      <c r="P76" t="s">
        <v>3510</v>
      </c>
      <c r="Q76" t="s">
        <v>4517</v>
      </c>
      <c r="R76" t="s">
        <v>4726</v>
      </c>
      <c r="S76" t="s">
        <v>4717</v>
      </c>
      <c r="T76">
        <f t="shared" si="2"/>
        <v>5</v>
      </c>
      <c r="U76" s="21">
        <f t="shared" si="3"/>
        <v>45364</v>
      </c>
    </row>
    <row r="77" spans="1:21" x14ac:dyDescent="0.35">
      <c r="A77" t="s">
        <v>3506</v>
      </c>
      <c r="B77" t="s">
        <v>3507</v>
      </c>
      <c r="C77" t="s">
        <v>19</v>
      </c>
      <c r="D77" t="s">
        <v>1006</v>
      </c>
      <c r="E77" s="1">
        <v>11.22</v>
      </c>
      <c r="F77" t="s">
        <v>995</v>
      </c>
      <c r="G77">
        <v>0</v>
      </c>
      <c r="H77" s="1">
        <v>0</v>
      </c>
      <c r="I77" s="21">
        <v>45358</v>
      </c>
      <c r="J77" s="21">
        <v>45362</v>
      </c>
      <c r="K77" s="21"/>
      <c r="L77" t="s">
        <v>4774</v>
      </c>
      <c r="M77" t="s">
        <v>72</v>
      </c>
      <c r="N77" t="s">
        <v>73</v>
      </c>
      <c r="O77">
        <v>1</v>
      </c>
      <c r="P77" t="s">
        <v>492</v>
      </c>
      <c r="Q77" t="s">
        <v>4570</v>
      </c>
      <c r="R77" t="s">
        <v>4726</v>
      </c>
      <c r="S77" t="s">
        <v>4717</v>
      </c>
      <c r="T77">
        <f t="shared" si="2"/>
        <v>4</v>
      </c>
      <c r="U77" s="21">
        <f t="shared" si="3"/>
        <v>45362</v>
      </c>
    </row>
    <row r="78" spans="1:21" x14ac:dyDescent="0.35">
      <c r="A78" t="s">
        <v>4476</v>
      </c>
      <c r="B78" t="s">
        <v>4477</v>
      </c>
      <c r="C78" t="s">
        <v>30</v>
      </c>
      <c r="D78" t="s">
        <v>1006</v>
      </c>
      <c r="E78" s="1">
        <v>47.12</v>
      </c>
      <c r="F78" t="s">
        <v>995</v>
      </c>
      <c r="G78">
        <v>0</v>
      </c>
      <c r="H78" s="1">
        <v>0</v>
      </c>
      <c r="I78" s="21">
        <v>45358</v>
      </c>
      <c r="J78" s="21">
        <v>45362</v>
      </c>
      <c r="K78" s="21"/>
      <c r="L78" t="s">
        <v>4774</v>
      </c>
      <c r="M78" t="s">
        <v>46</v>
      </c>
      <c r="N78" t="s">
        <v>47</v>
      </c>
      <c r="O78">
        <v>1</v>
      </c>
      <c r="P78" t="s">
        <v>1638</v>
      </c>
      <c r="Q78" t="s">
        <v>4533</v>
      </c>
      <c r="R78" t="s">
        <v>4724</v>
      </c>
      <c r="S78" t="s">
        <v>4718</v>
      </c>
      <c r="T78">
        <f t="shared" si="2"/>
        <v>4</v>
      </c>
      <c r="U78" s="21">
        <f t="shared" si="3"/>
        <v>45362</v>
      </c>
    </row>
    <row r="79" spans="1:21" x14ac:dyDescent="0.35">
      <c r="A79" t="s">
        <v>4474</v>
      </c>
      <c r="B79" t="s">
        <v>4475</v>
      </c>
      <c r="C79" t="s">
        <v>19</v>
      </c>
      <c r="D79" t="s">
        <v>21</v>
      </c>
      <c r="E79" s="1">
        <v>375.71</v>
      </c>
      <c r="F79" t="s">
        <v>22</v>
      </c>
      <c r="G79">
        <v>0</v>
      </c>
      <c r="H79" s="1">
        <v>0</v>
      </c>
      <c r="I79" s="21">
        <v>45357</v>
      </c>
      <c r="J79" s="21">
        <v>45357</v>
      </c>
      <c r="K79" s="21">
        <v>45357</v>
      </c>
      <c r="L79" t="s">
        <v>53</v>
      </c>
      <c r="M79" t="s">
        <v>40</v>
      </c>
      <c r="N79" t="s">
        <v>34</v>
      </c>
      <c r="O79">
        <v>1</v>
      </c>
      <c r="P79" t="s">
        <v>386</v>
      </c>
      <c r="Q79" t="s">
        <v>4518</v>
      </c>
      <c r="R79" t="s">
        <v>4726</v>
      </c>
      <c r="S79" t="s">
        <v>4717</v>
      </c>
      <c r="T79">
        <f t="shared" si="2"/>
        <v>0</v>
      </c>
      <c r="U79" s="21">
        <f t="shared" si="3"/>
        <v>45357</v>
      </c>
    </row>
    <row r="80" spans="1:21" x14ac:dyDescent="0.35">
      <c r="A80" t="s">
        <v>1185</v>
      </c>
      <c r="B80" t="s">
        <v>1186</v>
      </c>
      <c r="C80" t="s">
        <v>30</v>
      </c>
      <c r="D80" t="s">
        <v>21</v>
      </c>
      <c r="E80" s="1">
        <v>839.25000000000011</v>
      </c>
      <c r="F80" t="s">
        <v>22</v>
      </c>
      <c r="G80">
        <v>0</v>
      </c>
      <c r="H80" s="1">
        <v>0</v>
      </c>
      <c r="I80" s="21">
        <v>45357</v>
      </c>
      <c r="J80" s="21">
        <v>45357</v>
      </c>
      <c r="K80" s="21">
        <v>45357</v>
      </c>
      <c r="L80" t="s">
        <v>45</v>
      </c>
      <c r="M80" t="s">
        <v>72</v>
      </c>
      <c r="N80" t="s">
        <v>73</v>
      </c>
      <c r="O80">
        <v>1</v>
      </c>
      <c r="P80" t="s">
        <v>358</v>
      </c>
      <c r="Q80" t="s">
        <v>4729</v>
      </c>
      <c r="R80" t="s">
        <v>4512</v>
      </c>
      <c r="S80" t="s">
        <v>4717</v>
      </c>
      <c r="T80">
        <f t="shared" si="2"/>
        <v>0</v>
      </c>
      <c r="U80" s="21">
        <f t="shared" si="3"/>
        <v>45357</v>
      </c>
    </row>
    <row r="81" spans="1:21" x14ac:dyDescent="0.35">
      <c r="A81" t="s">
        <v>2371</v>
      </c>
      <c r="B81" t="s">
        <v>2372</v>
      </c>
      <c r="C81" t="s">
        <v>30</v>
      </c>
      <c r="D81" t="s">
        <v>1002</v>
      </c>
      <c r="E81" s="1">
        <v>99.99</v>
      </c>
      <c r="F81" t="s">
        <v>995</v>
      </c>
      <c r="G81">
        <v>40</v>
      </c>
      <c r="H81" s="1">
        <v>39.996000000000002</v>
      </c>
      <c r="I81" s="21">
        <v>45357</v>
      </c>
      <c r="J81" s="21">
        <v>45357</v>
      </c>
      <c r="K81" s="21"/>
      <c r="L81" t="s">
        <v>4774</v>
      </c>
      <c r="M81" t="s">
        <v>146</v>
      </c>
      <c r="N81" t="s">
        <v>73</v>
      </c>
      <c r="O81">
        <v>1</v>
      </c>
      <c r="P81" t="s">
        <v>2373</v>
      </c>
      <c r="Q81" t="s">
        <v>4644</v>
      </c>
      <c r="R81" t="s">
        <v>4713</v>
      </c>
      <c r="S81" t="s">
        <v>4719</v>
      </c>
      <c r="T81">
        <f t="shared" si="2"/>
        <v>0</v>
      </c>
      <c r="U81" s="21">
        <f t="shared" si="3"/>
        <v>45357</v>
      </c>
    </row>
    <row r="82" spans="1:21" x14ac:dyDescent="0.35">
      <c r="A82" t="s">
        <v>3504</v>
      </c>
      <c r="B82" t="s">
        <v>3505</v>
      </c>
      <c r="C82" t="s">
        <v>19</v>
      </c>
      <c r="D82" t="s">
        <v>994</v>
      </c>
      <c r="E82" s="1">
        <v>9.9600000000000009</v>
      </c>
      <c r="F82" t="s">
        <v>995</v>
      </c>
      <c r="G82">
        <v>40</v>
      </c>
      <c r="H82" s="1">
        <v>3.9840000000000004</v>
      </c>
      <c r="I82" s="21">
        <v>45356</v>
      </c>
      <c r="J82" s="21">
        <v>45361</v>
      </c>
      <c r="K82" s="21"/>
      <c r="L82" t="s">
        <v>4774</v>
      </c>
      <c r="M82" t="s">
        <v>146</v>
      </c>
      <c r="N82" t="s">
        <v>73</v>
      </c>
      <c r="O82">
        <v>1</v>
      </c>
      <c r="P82" t="s">
        <v>879</v>
      </c>
      <c r="Q82" t="s">
        <v>4519</v>
      </c>
      <c r="R82" t="s">
        <v>4726</v>
      </c>
      <c r="S82" t="s">
        <v>4717</v>
      </c>
      <c r="T82">
        <f t="shared" si="2"/>
        <v>5</v>
      </c>
      <c r="U82" s="21">
        <f t="shared" si="3"/>
        <v>45361</v>
      </c>
    </row>
    <row r="83" spans="1:21" x14ac:dyDescent="0.35">
      <c r="A83" t="s">
        <v>3502</v>
      </c>
      <c r="B83" t="s">
        <v>3503</v>
      </c>
      <c r="C83" t="s">
        <v>19</v>
      </c>
      <c r="D83" t="s">
        <v>1002</v>
      </c>
      <c r="E83" s="1">
        <v>449.56799999999998</v>
      </c>
      <c r="F83" t="s">
        <v>995</v>
      </c>
      <c r="G83">
        <v>40</v>
      </c>
      <c r="H83" s="1">
        <v>179.8272</v>
      </c>
      <c r="I83" s="21">
        <v>45355</v>
      </c>
      <c r="J83" s="21">
        <v>45360</v>
      </c>
      <c r="K83" s="21"/>
      <c r="L83" t="s">
        <v>4774</v>
      </c>
      <c r="M83" t="s">
        <v>46</v>
      </c>
      <c r="N83" t="s">
        <v>47</v>
      </c>
      <c r="O83">
        <v>1</v>
      </c>
      <c r="P83" t="s">
        <v>2550</v>
      </c>
      <c r="Q83" t="s">
        <v>4729</v>
      </c>
      <c r="R83" t="s">
        <v>4714</v>
      </c>
      <c r="S83" t="s">
        <v>4718</v>
      </c>
      <c r="T83">
        <f t="shared" si="2"/>
        <v>5</v>
      </c>
      <c r="U83" s="21">
        <f t="shared" si="3"/>
        <v>45360</v>
      </c>
    </row>
    <row r="84" spans="1:21" x14ac:dyDescent="0.35">
      <c r="A84" t="s">
        <v>1182</v>
      </c>
      <c r="B84" t="s">
        <v>1183</v>
      </c>
      <c r="C84" t="s">
        <v>19</v>
      </c>
      <c r="D84" t="s">
        <v>1002</v>
      </c>
      <c r="E84" s="1">
        <v>2036.86</v>
      </c>
      <c r="F84" t="s">
        <v>995</v>
      </c>
      <c r="G84">
        <v>40</v>
      </c>
      <c r="H84" s="1">
        <v>814.74400000000003</v>
      </c>
      <c r="I84" s="21">
        <v>45355</v>
      </c>
      <c r="J84" s="21">
        <v>45360</v>
      </c>
      <c r="K84" s="21"/>
      <c r="L84" t="s">
        <v>4774</v>
      </c>
      <c r="M84" t="s">
        <v>82</v>
      </c>
      <c r="N84" t="s">
        <v>47</v>
      </c>
      <c r="O84">
        <v>1</v>
      </c>
      <c r="P84" t="s">
        <v>1184</v>
      </c>
      <c r="Q84" t="s">
        <v>4729</v>
      </c>
      <c r="R84" t="s">
        <v>4712</v>
      </c>
      <c r="S84" t="s">
        <v>4718</v>
      </c>
      <c r="T84">
        <f t="shared" si="2"/>
        <v>5</v>
      </c>
      <c r="U84" s="21">
        <f t="shared" si="3"/>
        <v>45360</v>
      </c>
    </row>
    <row r="85" spans="1:21" x14ac:dyDescent="0.35">
      <c r="A85" t="s">
        <v>3500</v>
      </c>
      <c r="B85" t="s">
        <v>3501</v>
      </c>
      <c r="C85" t="s">
        <v>19</v>
      </c>
      <c r="D85" t="s">
        <v>1006</v>
      </c>
      <c r="E85" s="1">
        <v>35.183999999999997</v>
      </c>
      <c r="F85" t="s">
        <v>995</v>
      </c>
      <c r="G85">
        <v>0</v>
      </c>
      <c r="H85" s="1">
        <v>0</v>
      </c>
      <c r="I85" s="21">
        <v>45355</v>
      </c>
      <c r="J85" s="21">
        <v>45359</v>
      </c>
      <c r="K85" s="21"/>
      <c r="L85" t="s">
        <v>4774</v>
      </c>
      <c r="M85" t="s">
        <v>146</v>
      </c>
      <c r="N85" t="s">
        <v>73</v>
      </c>
      <c r="O85">
        <v>1</v>
      </c>
      <c r="P85" t="s">
        <v>2167</v>
      </c>
      <c r="Q85" t="s">
        <v>4647</v>
      </c>
      <c r="R85" t="s">
        <v>4713</v>
      </c>
      <c r="S85" t="s">
        <v>4719</v>
      </c>
      <c r="T85">
        <f t="shared" si="2"/>
        <v>4</v>
      </c>
      <c r="U85" s="21">
        <f t="shared" si="3"/>
        <v>45359</v>
      </c>
    </row>
    <row r="86" spans="1:21" x14ac:dyDescent="0.35">
      <c r="A86" t="s">
        <v>2368</v>
      </c>
      <c r="B86" t="s">
        <v>2369</v>
      </c>
      <c r="C86" t="s">
        <v>19</v>
      </c>
      <c r="D86" t="s">
        <v>1006</v>
      </c>
      <c r="E86" s="1">
        <v>26.352</v>
      </c>
      <c r="F86" t="s">
        <v>995</v>
      </c>
      <c r="G86">
        <v>0</v>
      </c>
      <c r="H86" s="1">
        <v>0</v>
      </c>
      <c r="I86" s="21">
        <v>45354</v>
      </c>
      <c r="J86" s="21">
        <v>45354</v>
      </c>
      <c r="K86" s="21"/>
      <c r="L86" t="s">
        <v>4774</v>
      </c>
      <c r="M86" t="s">
        <v>146</v>
      </c>
      <c r="N86" t="s">
        <v>73</v>
      </c>
      <c r="O86">
        <v>1</v>
      </c>
      <c r="P86" t="s">
        <v>2370</v>
      </c>
      <c r="Q86" t="s">
        <v>4528</v>
      </c>
      <c r="R86" t="s">
        <v>4726</v>
      </c>
      <c r="S86" t="s">
        <v>4717</v>
      </c>
      <c r="T86">
        <f t="shared" si="2"/>
        <v>0</v>
      </c>
      <c r="U86" s="21">
        <f t="shared" si="3"/>
        <v>45354</v>
      </c>
    </row>
    <row r="87" spans="1:21" x14ac:dyDescent="0.35">
      <c r="A87" t="s">
        <v>3497</v>
      </c>
      <c r="B87" t="s">
        <v>3498</v>
      </c>
      <c r="C87" t="s">
        <v>19</v>
      </c>
      <c r="D87" t="s">
        <v>994</v>
      </c>
      <c r="E87" s="1">
        <v>2504.7399999999998</v>
      </c>
      <c r="F87" t="s">
        <v>995</v>
      </c>
      <c r="G87">
        <v>40</v>
      </c>
      <c r="H87" s="1">
        <v>1001.896</v>
      </c>
      <c r="I87" s="21">
        <v>45354</v>
      </c>
      <c r="J87" s="21">
        <v>45358</v>
      </c>
      <c r="K87" s="21"/>
      <c r="L87" t="s">
        <v>4774</v>
      </c>
      <c r="M87" t="s">
        <v>46</v>
      </c>
      <c r="N87" t="s">
        <v>47</v>
      </c>
      <c r="O87">
        <v>1</v>
      </c>
      <c r="P87" t="s">
        <v>3499</v>
      </c>
      <c r="Q87" t="s">
        <v>4547</v>
      </c>
      <c r="R87" t="s">
        <v>4710</v>
      </c>
      <c r="S87" t="s">
        <v>4717</v>
      </c>
      <c r="T87">
        <f t="shared" si="2"/>
        <v>4</v>
      </c>
      <c r="U87" s="21">
        <f t="shared" si="3"/>
        <v>45358</v>
      </c>
    </row>
    <row r="88" spans="1:21" x14ac:dyDescent="0.35">
      <c r="A88" t="s">
        <v>1179</v>
      </c>
      <c r="B88" t="s">
        <v>1180</v>
      </c>
      <c r="C88" t="s">
        <v>30</v>
      </c>
      <c r="D88" t="s">
        <v>994</v>
      </c>
      <c r="E88" s="1">
        <v>24.1</v>
      </c>
      <c r="F88" t="s">
        <v>995</v>
      </c>
      <c r="G88">
        <v>15</v>
      </c>
      <c r="H88" s="1">
        <v>3.6150000000000002</v>
      </c>
      <c r="I88" s="21">
        <v>45354</v>
      </c>
      <c r="J88" s="21">
        <v>45360</v>
      </c>
      <c r="K88" s="21"/>
      <c r="L88" t="s">
        <v>4774</v>
      </c>
      <c r="M88" t="s">
        <v>40</v>
      </c>
      <c r="N88" t="s">
        <v>34</v>
      </c>
      <c r="O88">
        <v>1</v>
      </c>
      <c r="P88" t="s">
        <v>1181</v>
      </c>
      <c r="Q88" t="s">
        <v>4617</v>
      </c>
      <c r="R88" t="s">
        <v>4721</v>
      </c>
      <c r="S88" t="s">
        <v>4717</v>
      </c>
      <c r="T88">
        <f t="shared" si="2"/>
        <v>6</v>
      </c>
      <c r="U88" s="21">
        <f t="shared" si="3"/>
        <v>45360</v>
      </c>
    </row>
    <row r="89" spans="1:21" x14ac:dyDescent="0.35">
      <c r="A89" t="s">
        <v>1176</v>
      </c>
      <c r="B89" t="s">
        <v>1177</v>
      </c>
      <c r="C89" t="s">
        <v>19</v>
      </c>
      <c r="D89" t="s">
        <v>994</v>
      </c>
      <c r="E89" s="1">
        <v>65.424000000000007</v>
      </c>
      <c r="F89" t="s">
        <v>995</v>
      </c>
      <c r="G89">
        <v>40</v>
      </c>
      <c r="H89" s="1">
        <v>26.169600000000003</v>
      </c>
      <c r="I89" s="21">
        <v>45349</v>
      </c>
      <c r="J89" s="21">
        <v>45354</v>
      </c>
      <c r="K89" s="21"/>
      <c r="L89" t="s">
        <v>4774</v>
      </c>
      <c r="M89" t="s">
        <v>67</v>
      </c>
      <c r="N89" t="s">
        <v>68</v>
      </c>
      <c r="O89">
        <v>1</v>
      </c>
      <c r="P89" t="s">
        <v>1178</v>
      </c>
      <c r="Q89" t="s">
        <v>4533</v>
      </c>
      <c r="R89" t="s">
        <v>4724</v>
      </c>
      <c r="S89" t="s">
        <v>4718</v>
      </c>
      <c r="T89">
        <f t="shared" si="2"/>
        <v>5</v>
      </c>
      <c r="U89" s="21">
        <f t="shared" si="3"/>
        <v>45354</v>
      </c>
    </row>
    <row r="90" spans="1:21" x14ac:dyDescent="0.35">
      <c r="A90" t="s">
        <v>2366</v>
      </c>
      <c r="B90" t="s">
        <v>2367</v>
      </c>
      <c r="C90" t="s">
        <v>30</v>
      </c>
      <c r="D90" t="s">
        <v>994</v>
      </c>
      <c r="E90" s="1">
        <v>47.3</v>
      </c>
      <c r="F90" t="s">
        <v>995</v>
      </c>
      <c r="G90">
        <v>40</v>
      </c>
      <c r="H90" s="1">
        <v>18.919999999999998</v>
      </c>
      <c r="I90" s="21">
        <v>45348</v>
      </c>
      <c r="J90" s="21">
        <v>45354</v>
      </c>
      <c r="K90" s="21"/>
      <c r="L90" t="s">
        <v>4774</v>
      </c>
      <c r="M90" t="s">
        <v>33</v>
      </c>
      <c r="N90" t="s">
        <v>34</v>
      </c>
      <c r="O90">
        <v>1</v>
      </c>
      <c r="P90" t="s">
        <v>1269</v>
      </c>
      <c r="Q90" t="s">
        <v>4531</v>
      </c>
      <c r="R90" t="s">
        <v>4726</v>
      </c>
      <c r="S90" t="s">
        <v>4717</v>
      </c>
      <c r="T90">
        <f t="shared" si="2"/>
        <v>6</v>
      </c>
      <c r="U90" s="21">
        <f t="shared" si="3"/>
        <v>45354</v>
      </c>
    </row>
    <row r="91" spans="1:21" x14ac:dyDescent="0.35">
      <c r="A91" t="s">
        <v>2363</v>
      </c>
      <c r="B91" t="s">
        <v>2364</v>
      </c>
      <c r="C91" t="s">
        <v>30</v>
      </c>
      <c r="D91" t="s">
        <v>994</v>
      </c>
      <c r="E91" s="1">
        <v>146.04</v>
      </c>
      <c r="F91" t="s">
        <v>995</v>
      </c>
      <c r="G91">
        <v>15</v>
      </c>
      <c r="H91" s="1">
        <v>21.905999999999999</v>
      </c>
      <c r="I91" s="21">
        <v>45347</v>
      </c>
      <c r="J91" s="21">
        <v>45351</v>
      </c>
      <c r="K91" s="21"/>
      <c r="L91" t="s">
        <v>4774</v>
      </c>
      <c r="M91" t="s">
        <v>54</v>
      </c>
      <c r="N91" t="s">
        <v>26</v>
      </c>
      <c r="O91">
        <v>1</v>
      </c>
      <c r="P91" t="s">
        <v>2365</v>
      </c>
      <c r="Q91" t="s">
        <v>4534</v>
      </c>
      <c r="R91" t="s">
        <v>4712</v>
      </c>
      <c r="S91" t="s">
        <v>4718</v>
      </c>
      <c r="T91">
        <f t="shared" si="2"/>
        <v>4</v>
      </c>
      <c r="U91" s="21">
        <f t="shared" si="3"/>
        <v>45351</v>
      </c>
    </row>
    <row r="92" spans="1:21" x14ac:dyDescent="0.35">
      <c r="A92" t="s">
        <v>4471</v>
      </c>
      <c r="B92" t="s">
        <v>4472</v>
      </c>
      <c r="C92" t="s">
        <v>19</v>
      </c>
      <c r="D92" t="s">
        <v>994</v>
      </c>
      <c r="E92" s="1">
        <v>113.568</v>
      </c>
      <c r="F92" t="s">
        <v>995</v>
      </c>
      <c r="G92">
        <v>15</v>
      </c>
      <c r="H92" s="1">
        <v>17.0352</v>
      </c>
      <c r="I92" s="21">
        <v>45346</v>
      </c>
      <c r="J92" s="21">
        <v>45353</v>
      </c>
      <c r="K92" s="21"/>
      <c r="L92" t="s">
        <v>4774</v>
      </c>
      <c r="M92" t="s">
        <v>33</v>
      </c>
      <c r="N92" t="s">
        <v>34</v>
      </c>
      <c r="O92">
        <v>1</v>
      </c>
      <c r="P92" t="s">
        <v>4473</v>
      </c>
      <c r="Q92" t="s">
        <v>4708</v>
      </c>
      <c r="R92" t="s">
        <v>4709</v>
      </c>
      <c r="S92" t="s">
        <v>4717</v>
      </c>
      <c r="T92">
        <f t="shared" si="2"/>
        <v>7</v>
      </c>
      <c r="U92" s="21">
        <f t="shared" si="3"/>
        <v>45353</v>
      </c>
    </row>
    <row r="93" spans="1:21" x14ac:dyDescent="0.35">
      <c r="A93" t="s">
        <v>1174</v>
      </c>
      <c r="B93" t="s">
        <v>1175</v>
      </c>
      <c r="C93" t="s">
        <v>30</v>
      </c>
      <c r="D93" t="s">
        <v>994</v>
      </c>
      <c r="E93" s="1">
        <v>13.272</v>
      </c>
      <c r="F93" t="s">
        <v>995</v>
      </c>
      <c r="G93">
        <v>40</v>
      </c>
      <c r="H93" s="1">
        <v>5.3088000000000006</v>
      </c>
      <c r="I93" s="21">
        <v>45344</v>
      </c>
      <c r="J93" s="21">
        <v>45349</v>
      </c>
      <c r="K93" s="21"/>
      <c r="L93" t="s">
        <v>4774</v>
      </c>
      <c r="M93" t="s">
        <v>33</v>
      </c>
      <c r="N93" t="s">
        <v>34</v>
      </c>
      <c r="O93">
        <v>1</v>
      </c>
      <c r="P93" t="s">
        <v>1003</v>
      </c>
      <c r="Q93" t="s">
        <v>4517</v>
      </c>
      <c r="R93" t="s">
        <v>4726</v>
      </c>
      <c r="S93" t="s">
        <v>4717</v>
      </c>
      <c r="T93">
        <f t="shared" si="2"/>
        <v>5</v>
      </c>
      <c r="U93" s="21">
        <f t="shared" si="3"/>
        <v>45349</v>
      </c>
    </row>
    <row r="94" spans="1:21" x14ac:dyDescent="0.35">
      <c r="A94" t="s">
        <v>3494</v>
      </c>
      <c r="B94" t="s">
        <v>3495</v>
      </c>
      <c r="C94" t="s">
        <v>19</v>
      </c>
      <c r="D94" t="s">
        <v>994</v>
      </c>
      <c r="E94" s="1">
        <v>499.584</v>
      </c>
      <c r="F94" t="s">
        <v>995</v>
      </c>
      <c r="G94">
        <v>40</v>
      </c>
      <c r="H94" s="1">
        <v>199.83360000000002</v>
      </c>
      <c r="I94" s="21">
        <v>45343</v>
      </c>
      <c r="J94" s="21">
        <v>45348</v>
      </c>
      <c r="K94" s="21"/>
      <c r="L94" t="s">
        <v>4774</v>
      </c>
      <c r="M94" t="s">
        <v>33</v>
      </c>
      <c r="N94" t="s">
        <v>34</v>
      </c>
      <c r="O94">
        <v>1</v>
      </c>
      <c r="P94" t="s">
        <v>3496</v>
      </c>
      <c r="Q94" t="s">
        <v>4729</v>
      </c>
      <c r="R94" t="s">
        <v>4715</v>
      </c>
      <c r="S94" t="s">
        <v>4719</v>
      </c>
      <c r="T94">
        <f t="shared" si="2"/>
        <v>5</v>
      </c>
      <c r="U94" s="21">
        <f t="shared" si="3"/>
        <v>45348</v>
      </c>
    </row>
    <row r="95" spans="1:21" x14ac:dyDescent="0.35">
      <c r="A95" t="s">
        <v>1171</v>
      </c>
      <c r="B95" t="s">
        <v>1172</v>
      </c>
      <c r="C95" t="s">
        <v>19</v>
      </c>
      <c r="D95" t="s">
        <v>21</v>
      </c>
      <c r="E95" s="1">
        <v>238.19799999999998</v>
      </c>
      <c r="F95" t="s">
        <v>22</v>
      </c>
      <c r="G95">
        <v>0</v>
      </c>
      <c r="H95" s="1">
        <v>0</v>
      </c>
      <c r="I95" s="21">
        <v>45343</v>
      </c>
      <c r="J95" s="21">
        <v>45346</v>
      </c>
      <c r="K95" s="21">
        <v>45346</v>
      </c>
      <c r="L95" t="s">
        <v>24</v>
      </c>
      <c r="M95" t="s">
        <v>146</v>
      </c>
      <c r="N95" t="s">
        <v>73</v>
      </c>
      <c r="O95">
        <v>1</v>
      </c>
      <c r="P95" t="s">
        <v>1173</v>
      </c>
      <c r="Q95" t="s">
        <v>4729</v>
      </c>
      <c r="R95" t="s">
        <v>4722</v>
      </c>
      <c r="S95" t="s">
        <v>4718</v>
      </c>
      <c r="T95">
        <f t="shared" si="2"/>
        <v>3</v>
      </c>
      <c r="U95" s="21">
        <f t="shared" si="3"/>
        <v>45346</v>
      </c>
    </row>
    <row r="96" spans="1:21" x14ac:dyDescent="0.35">
      <c r="A96" t="s">
        <v>4465</v>
      </c>
      <c r="B96" t="s">
        <v>4466</v>
      </c>
      <c r="C96" t="s">
        <v>30</v>
      </c>
      <c r="D96" t="s">
        <v>1006</v>
      </c>
      <c r="E96" s="1">
        <v>38.387999999999998</v>
      </c>
      <c r="F96" t="s">
        <v>995</v>
      </c>
      <c r="G96">
        <v>0</v>
      </c>
      <c r="H96" s="1">
        <v>0</v>
      </c>
      <c r="I96" s="21">
        <v>45342</v>
      </c>
      <c r="J96" s="21">
        <v>45344</v>
      </c>
      <c r="K96" s="21"/>
      <c r="L96" t="s">
        <v>4774</v>
      </c>
      <c r="M96" t="s">
        <v>72</v>
      </c>
      <c r="N96" t="s">
        <v>73</v>
      </c>
      <c r="O96">
        <v>1</v>
      </c>
      <c r="P96" t="s">
        <v>4467</v>
      </c>
      <c r="Q96" t="s">
        <v>4596</v>
      </c>
      <c r="R96" t="s">
        <v>4726</v>
      </c>
      <c r="S96" t="s">
        <v>4717</v>
      </c>
      <c r="T96">
        <f t="shared" si="2"/>
        <v>2</v>
      </c>
      <c r="U96" s="21">
        <f t="shared" si="3"/>
        <v>45344</v>
      </c>
    </row>
    <row r="97" spans="1:21" x14ac:dyDescent="0.35">
      <c r="A97" t="s">
        <v>3492</v>
      </c>
      <c r="B97" t="s">
        <v>3493</v>
      </c>
      <c r="C97" t="s">
        <v>19</v>
      </c>
      <c r="D97" t="s">
        <v>21</v>
      </c>
      <c r="E97" s="1">
        <v>57.510000000000005</v>
      </c>
      <c r="F97" t="s">
        <v>22</v>
      </c>
      <c r="G97">
        <v>0</v>
      </c>
      <c r="H97" s="1">
        <v>0</v>
      </c>
      <c r="I97" s="21">
        <v>45342</v>
      </c>
      <c r="J97" s="21">
        <v>45343</v>
      </c>
      <c r="K97" s="21">
        <v>45343</v>
      </c>
      <c r="L97" t="s">
        <v>53</v>
      </c>
      <c r="M97" t="s">
        <v>33</v>
      </c>
      <c r="N97" t="s">
        <v>34</v>
      </c>
      <c r="O97">
        <v>1</v>
      </c>
      <c r="P97" t="s">
        <v>1021</v>
      </c>
      <c r="Q97" t="s">
        <v>4520</v>
      </c>
      <c r="R97" t="s">
        <v>4726</v>
      </c>
      <c r="S97" t="s">
        <v>4717</v>
      </c>
      <c r="T97">
        <f t="shared" si="2"/>
        <v>1</v>
      </c>
      <c r="U97" s="21">
        <f t="shared" si="3"/>
        <v>45343</v>
      </c>
    </row>
    <row r="98" spans="1:21" x14ac:dyDescent="0.35">
      <c r="A98" t="s">
        <v>4468</v>
      </c>
      <c r="B98" t="s">
        <v>4469</v>
      </c>
      <c r="C98" t="s">
        <v>19</v>
      </c>
      <c r="D98" t="s">
        <v>1006</v>
      </c>
      <c r="E98" s="1">
        <v>47.951999999999998</v>
      </c>
      <c r="F98" t="s">
        <v>995</v>
      </c>
      <c r="G98">
        <v>0</v>
      </c>
      <c r="H98" s="1">
        <v>0</v>
      </c>
      <c r="I98" s="21">
        <v>45342</v>
      </c>
      <c r="J98" s="21">
        <v>45346</v>
      </c>
      <c r="K98" s="21"/>
      <c r="L98" t="s">
        <v>4774</v>
      </c>
      <c r="M98" t="s">
        <v>72</v>
      </c>
      <c r="N98" t="s">
        <v>73</v>
      </c>
      <c r="O98">
        <v>1</v>
      </c>
      <c r="P98" t="s">
        <v>4470</v>
      </c>
      <c r="Q98" t="s">
        <v>4519</v>
      </c>
      <c r="R98" t="s">
        <v>4726</v>
      </c>
      <c r="S98" t="s">
        <v>4717</v>
      </c>
      <c r="T98">
        <f t="shared" si="2"/>
        <v>4</v>
      </c>
      <c r="U98" s="21">
        <f t="shared" si="3"/>
        <v>45346</v>
      </c>
    </row>
    <row r="99" spans="1:21" x14ac:dyDescent="0.35">
      <c r="A99" t="s">
        <v>1165</v>
      </c>
      <c r="B99" t="s">
        <v>1166</v>
      </c>
      <c r="C99" t="s">
        <v>19</v>
      </c>
      <c r="D99" t="s">
        <v>1002</v>
      </c>
      <c r="E99" s="1">
        <v>101.4</v>
      </c>
      <c r="F99" t="s">
        <v>995</v>
      </c>
      <c r="G99">
        <v>40</v>
      </c>
      <c r="H99" s="1">
        <v>40.56</v>
      </c>
      <c r="I99" s="21">
        <v>45340</v>
      </c>
      <c r="J99" s="21">
        <v>45344</v>
      </c>
      <c r="K99" s="21"/>
      <c r="L99" t="s">
        <v>4774</v>
      </c>
      <c r="M99" t="s">
        <v>82</v>
      </c>
      <c r="N99" t="s">
        <v>47</v>
      </c>
      <c r="O99">
        <v>1</v>
      </c>
      <c r="P99" t="s">
        <v>1167</v>
      </c>
      <c r="Q99" t="s">
        <v>4616</v>
      </c>
      <c r="R99" t="s">
        <v>4722</v>
      </c>
      <c r="S99" t="s">
        <v>4718</v>
      </c>
      <c r="T99">
        <f t="shared" si="2"/>
        <v>4</v>
      </c>
      <c r="U99" s="21">
        <f t="shared" si="3"/>
        <v>45344</v>
      </c>
    </row>
    <row r="100" spans="1:21" x14ac:dyDescent="0.35">
      <c r="A100" t="s">
        <v>1168</v>
      </c>
      <c r="B100" t="s">
        <v>1169</v>
      </c>
      <c r="C100" t="s">
        <v>30</v>
      </c>
      <c r="D100" t="s">
        <v>21</v>
      </c>
      <c r="E100" s="1">
        <v>1448.8529999999992</v>
      </c>
      <c r="F100" t="s">
        <v>22</v>
      </c>
      <c r="G100">
        <v>0</v>
      </c>
      <c r="H100" s="1">
        <v>0</v>
      </c>
      <c r="I100" s="21">
        <v>45340</v>
      </c>
      <c r="J100" s="21">
        <v>45343</v>
      </c>
      <c r="K100" s="21">
        <v>45343</v>
      </c>
      <c r="L100" t="s">
        <v>24</v>
      </c>
      <c r="M100" t="s">
        <v>72</v>
      </c>
      <c r="N100" t="s">
        <v>73</v>
      </c>
      <c r="O100">
        <v>1</v>
      </c>
      <c r="P100" t="s">
        <v>1170</v>
      </c>
      <c r="Q100" t="s">
        <v>4562</v>
      </c>
      <c r="R100" t="s">
        <v>4712</v>
      </c>
      <c r="S100" t="s">
        <v>4718</v>
      </c>
      <c r="T100">
        <f t="shared" si="2"/>
        <v>3</v>
      </c>
      <c r="U100" s="21">
        <f t="shared" si="3"/>
        <v>45343</v>
      </c>
    </row>
    <row r="101" spans="1:21" x14ac:dyDescent="0.35">
      <c r="A101" t="s">
        <v>4462</v>
      </c>
      <c r="B101" t="s">
        <v>4463</v>
      </c>
      <c r="C101" t="s">
        <v>30</v>
      </c>
      <c r="D101" t="s">
        <v>21</v>
      </c>
      <c r="E101" s="1">
        <v>702.84239999999988</v>
      </c>
      <c r="F101" t="s">
        <v>22</v>
      </c>
      <c r="G101">
        <v>0</v>
      </c>
      <c r="H101" s="1">
        <v>0</v>
      </c>
      <c r="I101" s="21">
        <v>45340</v>
      </c>
      <c r="J101" s="21">
        <v>45342</v>
      </c>
      <c r="K101" s="21">
        <v>45342</v>
      </c>
      <c r="L101" t="s">
        <v>53</v>
      </c>
      <c r="M101" t="s">
        <v>25</v>
      </c>
      <c r="N101" t="s">
        <v>26</v>
      </c>
      <c r="O101">
        <v>1</v>
      </c>
      <c r="P101" t="s">
        <v>4464</v>
      </c>
      <c r="Q101" t="s">
        <v>4658</v>
      </c>
      <c r="R101" t="s">
        <v>4723</v>
      </c>
      <c r="S101" t="s">
        <v>4718</v>
      </c>
      <c r="T101">
        <f t="shared" si="2"/>
        <v>2</v>
      </c>
      <c r="U101" s="21">
        <f t="shared" si="3"/>
        <v>45342</v>
      </c>
    </row>
    <row r="102" spans="1:21" x14ac:dyDescent="0.35">
      <c r="A102" t="s">
        <v>2360</v>
      </c>
      <c r="B102" t="s">
        <v>2361</v>
      </c>
      <c r="C102" t="s">
        <v>19</v>
      </c>
      <c r="D102" t="s">
        <v>1006</v>
      </c>
      <c r="E102" s="1">
        <v>99.98</v>
      </c>
      <c r="F102" t="s">
        <v>995</v>
      </c>
      <c r="G102">
        <v>0</v>
      </c>
      <c r="H102" s="1">
        <v>0</v>
      </c>
      <c r="I102" s="21">
        <v>45339</v>
      </c>
      <c r="J102" s="21">
        <v>45343</v>
      </c>
      <c r="K102" s="21"/>
      <c r="L102" t="s">
        <v>4774</v>
      </c>
      <c r="M102" t="s">
        <v>82</v>
      </c>
      <c r="N102" t="s">
        <v>47</v>
      </c>
      <c r="O102">
        <v>1</v>
      </c>
      <c r="P102" t="s">
        <v>2362</v>
      </c>
      <c r="Q102" t="s">
        <v>4729</v>
      </c>
      <c r="R102" t="s">
        <v>4711</v>
      </c>
      <c r="S102" t="s">
        <v>4719</v>
      </c>
      <c r="T102">
        <f t="shared" si="2"/>
        <v>4</v>
      </c>
      <c r="U102" s="21">
        <f t="shared" si="3"/>
        <v>45343</v>
      </c>
    </row>
    <row r="103" spans="1:21" x14ac:dyDescent="0.35">
      <c r="A103" t="s">
        <v>1162</v>
      </c>
      <c r="B103" t="s">
        <v>1163</v>
      </c>
      <c r="C103" t="s">
        <v>30</v>
      </c>
      <c r="D103" t="s">
        <v>1006</v>
      </c>
      <c r="E103" s="1">
        <v>194.352</v>
      </c>
      <c r="F103" t="s">
        <v>995</v>
      </c>
      <c r="G103">
        <v>0</v>
      </c>
      <c r="H103" s="1">
        <v>0</v>
      </c>
      <c r="I103" s="21">
        <v>45336</v>
      </c>
      <c r="J103" s="21">
        <v>45340</v>
      </c>
      <c r="K103" s="21"/>
      <c r="L103" t="s">
        <v>4774</v>
      </c>
      <c r="M103" t="s">
        <v>82</v>
      </c>
      <c r="N103" t="s">
        <v>47</v>
      </c>
      <c r="O103">
        <v>1</v>
      </c>
      <c r="P103" t="s">
        <v>1164</v>
      </c>
      <c r="Q103" t="s">
        <v>4577</v>
      </c>
      <c r="R103" t="s">
        <v>4709</v>
      </c>
      <c r="S103" t="s">
        <v>4718</v>
      </c>
      <c r="T103">
        <f t="shared" si="2"/>
        <v>4</v>
      </c>
      <c r="U103" s="21">
        <f t="shared" si="3"/>
        <v>45340</v>
      </c>
    </row>
    <row r="104" spans="1:21" x14ac:dyDescent="0.35">
      <c r="A104" t="s">
        <v>2358</v>
      </c>
      <c r="B104" t="s">
        <v>2359</v>
      </c>
      <c r="C104" t="s">
        <v>19</v>
      </c>
      <c r="D104" t="s">
        <v>994</v>
      </c>
      <c r="E104" s="1">
        <v>141.96</v>
      </c>
      <c r="F104" t="s">
        <v>995</v>
      </c>
      <c r="G104">
        <v>15</v>
      </c>
      <c r="H104" s="1">
        <v>21.294</v>
      </c>
      <c r="I104" s="21">
        <v>45336</v>
      </c>
      <c r="J104" s="21">
        <v>45340</v>
      </c>
      <c r="K104" s="21"/>
      <c r="L104" t="s">
        <v>4774</v>
      </c>
      <c r="M104" t="s">
        <v>72</v>
      </c>
      <c r="N104" t="s">
        <v>73</v>
      </c>
      <c r="O104">
        <v>1</v>
      </c>
      <c r="P104" t="s">
        <v>315</v>
      </c>
      <c r="Q104" t="s">
        <v>4729</v>
      </c>
      <c r="R104" t="s">
        <v>4723</v>
      </c>
      <c r="S104" t="s">
        <v>4718</v>
      </c>
      <c r="T104">
        <f t="shared" si="2"/>
        <v>4</v>
      </c>
      <c r="U104" s="21">
        <f t="shared" si="3"/>
        <v>45340</v>
      </c>
    </row>
    <row r="105" spans="1:21" x14ac:dyDescent="0.35">
      <c r="A105" t="s">
        <v>4460</v>
      </c>
      <c r="B105" t="s">
        <v>4461</v>
      </c>
      <c r="C105" t="s">
        <v>19</v>
      </c>
      <c r="D105" t="s">
        <v>1006</v>
      </c>
      <c r="E105" s="1">
        <v>4.9279999999999999</v>
      </c>
      <c r="F105" t="s">
        <v>995</v>
      </c>
      <c r="G105">
        <v>0</v>
      </c>
      <c r="H105" s="1">
        <v>0</v>
      </c>
      <c r="I105" s="21">
        <v>45334</v>
      </c>
      <c r="J105" s="21">
        <v>45337</v>
      </c>
      <c r="K105" s="21"/>
      <c r="L105" t="s">
        <v>4774</v>
      </c>
      <c r="M105" t="s">
        <v>97</v>
      </c>
      <c r="N105" t="s">
        <v>68</v>
      </c>
      <c r="O105">
        <v>1</v>
      </c>
      <c r="P105" t="s">
        <v>2450</v>
      </c>
      <c r="Q105" t="s">
        <v>4517</v>
      </c>
      <c r="R105" t="s">
        <v>4726</v>
      </c>
      <c r="S105" t="s">
        <v>4717</v>
      </c>
      <c r="T105">
        <f t="shared" si="2"/>
        <v>3</v>
      </c>
      <c r="U105" s="21">
        <f t="shared" si="3"/>
        <v>45337</v>
      </c>
    </row>
    <row r="106" spans="1:21" x14ac:dyDescent="0.35">
      <c r="A106" t="s">
        <v>1160</v>
      </c>
      <c r="B106" t="s">
        <v>1161</v>
      </c>
      <c r="C106" t="s">
        <v>19</v>
      </c>
      <c r="D106" t="s">
        <v>1006</v>
      </c>
      <c r="E106" s="1">
        <v>3.5640000000000001</v>
      </c>
      <c r="F106" t="s">
        <v>995</v>
      </c>
      <c r="G106">
        <v>0</v>
      </c>
      <c r="H106" s="1">
        <v>0</v>
      </c>
      <c r="I106" s="21">
        <v>45334</v>
      </c>
      <c r="J106" s="21">
        <v>45337</v>
      </c>
      <c r="K106" s="21"/>
      <c r="L106" t="s">
        <v>4774</v>
      </c>
      <c r="M106" t="s">
        <v>82</v>
      </c>
      <c r="N106" t="s">
        <v>47</v>
      </c>
      <c r="O106">
        <v>1</v>
      </c>
      <c r="P106" t="s">
        <v>794</v>
      </c>
      <c r="Q106" t="s">
        <v>4729</v>
      </c>
      <c r="R106" t="s">
        <v>4726</v>
      </c>
      <c r="S106" t="s">
        <v>4717</v>
      </c>
      <c r="T106">
        <f t="shared" si="2"/>
        <v>3</v>
      </c>
      <c r="U106" s="21">
        <f t="shared" si="3"/>
        <v>45337</v>
      </c>
    </row>
    <row r="107" spans="1:21" x14ac:dyDescent="0.35">
      <c r="A107" t="s">
        <v>4457</v>
      </c>
      <c r="B107" t="s">
        <v>4458</v>
      </c>
      <c r="C107" t="s">
        <v>19</v>
      </c>
      <c r="D107" t="s">
        <v>1006</v>
      </c>
      <c r="E107" s="1">
        <v>12.96</v>
      </c>
      <c r="F107" t="s">
        <v>995</v>
      </c>
      <c r="G107">
        <v>0</v>
      </c>
      <c r="H107" s="1">
        <v>0</v>
      </c>
      <c r="I107" s="21">
        <v>45334</v>
      </c>
      <c r="J107" s="21">
        <v>45338</v>
      </c>
      <c r="K107" s="21"/>
      <c r="L107" t="s">
        <v>4774</v>
      </c>
      <c r="M107" t="s">
        <v>33</v>
      </c>
      <c r="N107" t="s">
        <v>34</v>
      </c>
      <c r="O107">
        <v>1</v>
      </c>
      <c r="P107" t="s">
        <v>4459</v>
      </c>
      <c r="Q107" t="s">
        <v>4519</v>
      </c>
      <c r="R107" t="s">
        <v>4726</v>
      </c>
      <c r="S107" t="s">
        <v>4717</v>
      </c>
      <c r="T107">
        <f t="shared" si="2"/>
        <v>4</v>
      </c>
      <c r="U107" s="21">
        <f t="shared" si="3"/>
        <v>45338</v>
      </c>
    </row>
    <row r="108" spans="1:21" x14ac:dyDescent="0.35">
      <c r="A108" t="s">
        <v>1157</v>
      </c>
      <c r="B108" t="s">
        <v>1158</v>
      </c>
      <c r="C108" t="s">
        <v>30</v>
      </c>
      <c r="D108" t="s">
        <v>994</v>
      </c>
      <c r="E108" s="1">
        <v>5.88</v>
      </c>
      <c r="F108" t="s">
        <v>995</v>
      </c>
      <c r="G108">
        <v>40</v>
      </c>
      <c r="H108" s="1">
        <v>2.3519999999999999</v>
      </c>
      <c r="I108" s="21">
        <v>45333</v>
      </c>
      <c r="J108" s="21">
        <v>45337</v>
      </c>
      <c r="K108" s="21"/>
      <c r="L108" t="s">
        <v>4774</v>
      </c>
      <c r="M108" t="s">
        <v>25</v>
      </c>
      <c r="N108" t="s">
        <v>26</v>
      </c>
      <c r="O108">
        <v>1</v>
      </c>
      <c r="P108" t="s">
        <v>1159</v>
      </c>
      <c r="Q108" t="s">
        <v>4615</v>
      </c>
      <c r="R108" t="s">
        <v>4726</v>
      </c>
      <c r="S108" t="s">
        <v>4717</v>
      </c>
      <c r="T108">
        <f t="shared" si="2"/>
        <v>4</v>
      </c>
      <c r="U108" s="21">
        <f t="shared" si="3"/>
        <v>45337</v>
      </c>
    </row>
    <row r="109" spans="1:21" x14ac:dyDescent="0.35">
      <c r="A109" t="s">
        <v>4455</v>
      </c>
      <c r="B109" t="s">
        <v>4456</v>
      </c>
      <c r="C109" t="s">
        <v>19</v>
      </c>
      <c r="D109" t="s">
        <v>994</v>
      </c>
      <c r="E109" s="1">
        <v>11.54</v>
      </c>
      <c r="F109" t="s">
        <v>995</v>
      </c>
      <c r="G109">
        <v>15</v>
      </c>
      <c r="H109" s="1">
        <v>1.7309999999999999</v>
      </c>
      <c r="I109" s="21">
        <v>45333</v>
      </c>
      <c r="J109" s="21">
        <v>45336</v>
      </c>
      <c r="K109" s="21"/>
      <c r="L109" t="s">
        <v>4774</v>
      </c>
      <c r="M109" t="s">
        <v>97</v>
      </c>
      <c r="N109" t="s">
        <v>68</v>
      </c>
      <c r="O109">
        <v>1</v>
      </c>
      <c r="P109" t="s">
        <v>2276</v>
      </c>
      <c r="Q109" t="s">
        <v>4729</v>
      </c>
      <c r="R109" t="s">
        <v>4713</v>
      </c>
      <c r="S109" t="s">
        <v>4719</v>
      </c>
      <c r="T109">
        <f t="shared" si="2"/>
        <v>3</v>
      </c>
      <c r="U109" s="21">
        <f t="shared" si="3"/>
        <v>45336</v>
      </c>
    </row>
    <row r="110" spans="1:21" x14ac:dyDescent="0.35">
      <c r="A110" t="s">
        <v>1155</v>
      </c>
      <c r="B110" t="s">
        <v>1156</v>
      </c>
      <c r="C110" t="s">
        <v>30</v>
      </c>
      <c r="D110" t="s">
        <v>994</v>
      </c>
      <c r="E110" s="1">
        <v>14.8</v>
      </c>
      <c r="F110" t="s">
        <v>995</v>
      </c>
      <c r="G110">
        <v>40</v>
      </c>
      <c r="H110" s="1">
        <v>5.9200000000000008</v>
      </c>
      <c r="I110" s="21">
        <v>45332</v>
      </c>
      <c r="J110" s="21">
        <v>45337</v>
      </c>
      <c r="K110" s="21"/>
      <c r="L110" t="s">
        <v>4774</v>
      </c>
      <c r="M110" t="s">
        <v>46</v>
      </c>
      <c r="N110" t="s">
        <v>47</v>
      </c>
      <c r="O110">
        <v>1</v>
      </c>
      <c r="P110" t="s">
        <v>891</v>
      </c>
      <c r="Q110" t="s">
        <v>4599</v>
      </c>
      <c r="R110" t="s">
        <v>4721</v>
      </c>
      <c r="S110" t="s">
        <v>4718</v>
      </c>
      <c r="T110">
        <f t="shared" si="2"/>
        <v>5</v>
      </c>
      <c r="U110" s="21">
        <f t="shared" si="3"/>
        <v>45337</v>
      </c>
    </row>
    <row r="111" spans="1:21" x14ac:dyDescent="0.35">
      <c r="A111" t="s">
        <v>4452</v>
      </c>
      <c r="B111" t="s">
        <v>4453</v>
      </c>
      <c r="C111" t="s">
        <v>30</v>
      </c>
      <c r="D111" t="s">
        <v>994</v>
      </c>
      <c r="E111" s="1">
        <v>166.44</v>
      </c>
      <c r="F111" t="s">
        <v>995</v>
      </c>
      <c r="G111">
        <v>15</v>
      </c>
      <c r="H111" s="1">
        <v>24.965999999999998</v>
      </c>
      <c r="I111" s="21">
        <v>45332</v>
      </c>
      <c r="J111" s="21">
        <v>45336</v>
      </c>
      <c r="K111" s="21"/>
      <c r="L111" t="s">
        <v>4774</v>
      </c>
      <c r="M111" t="s">
        <v>146</v>
      </c>
      <c r="N111" t="s">
        <v>73</v>
      </c>
      <c r="O111">
        <v>1</v>
      </c>
      <c r="P111" t="s">
        <v>4454</v>
      </c>
      <c r="Q111" t="s">
        <v>4519</v>
      </c>
      <c r="R111" t="s">
        <v>4726</v>
      </c>
      <c r="S111" t="s">
        <v>4717</v>
      </c>
      <c r="T111">
        <f t="shared" si="2"/>
        <v>4</v>
      </c>
      <c r="U111" s="21">
        <f t="shared" si="3"/>
        <v>45336</v>
      </c>
    </row>
    <row r="112" spans="1:21" x14ac:dyDescent="0.35">
      <c r="A112" t="s">
        <v>1152</v>
      </c>
      <c r="B112" t="s">
        <v>1153</v>
      </c>
      <c r="C112" t="s">
        <v>19</v>
      </c>
      <c r="D112" t="s">
        <v>1002</v>
      </c>
      <c r="E112" s="1">
        <v>18.367999999999999</v>
      </c>
      <c r="F112" t="s">
        <v>995</v>
      </c>
      <c r="G112">
        <v>40</v>
      </c>
      <c r="H112" s="1">
        <v>7.3472</v>
      </c>
      <c r="I112" s="21">
        <v>45329</v>
      </c>
      <c r="J112" s="21">
        <v>45334</v>
      </c>
      <c r="K112" s="21"/>
      <c r="L112" t="s">
        <v>4774</v>
      </c>
      <c r="M112" t="s">
        <v>82</v>
      </c>
      <c r="N112" t="s">
        <v>47</v>
      </c>
      <c r="O112">
        <v>1</v>
      </c>
      <c r="P112" t="s">
        <v>1154</v>
      </c>
      <c r="Q112" t="s">
        <v>4729</v>
      </c>
      <c r="R112" t="s">
        <v>4726</v>
      </c>
      <c r="S112" t="s">
        <v>4717</v>
      </c>
      <c r="T112">
        <f t="shared" si="2"/>
        <v>5</v>
      </c>
      <c r="U112" s="21">
        <f t="shared" si="3"/>
        <v>45334</v>
      </c>
    </row>
    <row r="113" spans="1:21" x14ac:dyDescent="0.35">
      <c r="A113" t="s">
        <v>4449</v>
      </c>
      <c r="B113" t="s">
        <v>4450</v>
      </c>
      <c r="C113" t="s">
        <v>19</v>
      </c>
      <c r="D113" t="s">
        <v>1006</v>
      </c>
      <c r="E113" s="1">
        <v>155.37200000000001</v>
      </c>
      <c r="F113" t="s">
        <v>995</v>
      </c>
      <c r="G113">
        <v>0</v>
      </c>
      <c r="H113" s="1">
        <v>0</v>
      </c>
      <c r="I113" s="21">
        <v>45329</v>
      </c>
      <c r="J113" s="21">
        <v>45332</v>
      </c>
      <c r="K113" s="21"/>
      <c r="L113" t="s">
        <v>4774</v>
      </c>
      <c r="M113" t="s">
        <v>82</v>
      </c>
      <c r="N113" t="s">
        <v>47</v>
      </c>
      <c r="O113">
        <v>1</v>
      </c>
      <c r="P113" t="s">
        <v>4451</v>
      </c>
      <c r="Q113" t="s">
        <v>4729</v>
      </c>
      <c r="R113" t="s">
        <v>4721</v>
      </c>
      <c r="S113" t="s">
        <v>4717</v>
      </c>
      <c r="T113">
        <f t="shared" si="2"/>
        <v>3</v>
      </c>
      <c r="U113" s="21">
        <f t="shared" si="3"/>
        <v>45332</v>
      </c>
    </row>
    <row r="114" spans="1:21" x14ac:dyDescent="0.35">
      <c r="A114" t="s">
        <v>2356</v>
      </c>
      <c r="B114" t="s">
        <v>2357</v>
      </c>
      <c r="C114" t="s">
        <v>30</v>
      </c>
      <c r="D114" t="s">
        <v>994</v>
      </c>
      <c r="E114" s="1">
        <v>720.06399999999996</v>
      </c>
      <c r="F114" t="s">
        <v>995</v>
      </c>
      <c r="G114">
        <v>40</v>
      </c>
      <c r="H114" s="1">
        <v>288.0256</v>
      </c>
      <c r="I114" s="21">
        <v>45329</v>
      </c>
      <c r="J114" s="21">
        <v>45336</v>
      </c>
      <c r="K114" s="21"/>
      <c r="L114" t="s">
        <v>4774</v>
      </c>
      <c r="M114" t="s">
        <v>146</v>
      </c>
      <c r="N114" t="s">
        <v>73</v>
      </c>
      <c r="O114">
        <v>1</v>
      </c>
      <c r="P114" t="s">
        <v>1669</v>
      </c>
      <c r="Q114" t="s">
        <v>4729</v>
      </c>
      <c r="R114" t="s">
        <v>4709</v>
      </c>
      <c r="S114" t="s">
        <v>4717</v>
      </c>
      <c r="T114">
        <f t="shared" si="2"/>
        <v>7</v>
      </c>
      <c r="U114" s="21">
        <f t="shared" si="3"/>
        <v>45336</v>
      </c>
    </row>
    <row r="115" spans="1:21" x14ac:dyDescent="0.35">
      <c r="A115" t="s">
        <v>3489</v>
      </c>
      <c r="B115" t="s">
        <v>3490</v>
      </c>
      <c r="C115" t="s">
        <v>19</v>
      </c>
      <c r="D115" t="s">
        <v>1006</v>
      </c>
      <c r="E115" s="1">
        <v>41.4</v>
      </c>
      <c r="F115" t="s">
        <v>995</v>
      </c>
      <c r="G115">
        <v>0</v>
      </c>
      <c r="H115" s="1">
        <v>0</v>
      </c>
      <c r="I115" s="21">
        <v>45327</v>
      </c>
      <c r="J115" s="21">
        <v>45332</v>
      </c>
      <c r="K115" s="21"/>
      <c r="L115" t="s">
        <v>4774</v>
      </c>
      <c r="M115" t="s">
        <v>54</v>
      </c>
      <c r="N115" t="s">
        <v>26</v>
      </c>
      <c r="O115">
        <v>1</v>
      </c>
      <c r="P115" t="s">
        <v>3491</v>
      </c>
      <c r="Q115" t="s">
        <v>4517</v>
      </c>
      <c r="R115" t="s">
        <v>4726</v>
      </c>
      <c r="S115" t="s">
        <v>4717</v>
      </c>
      <c r="T115">
        <f t="shared" si="2"/>
        <v>5</v>
      </c>
      <c r="U115" s="21">
        <f t="shared" si="3"/>
        <v>45332</v>
      </c>
    </row>
    <row r="116" spans="1:21" x14ac:dyDescent="0.35">
      <c r="A116" t="s">
        <v>3487</v>
      </c>
      <c r="B116" t="s">
        <v>3488</v>
      </c>
      <c r="C116" t="s">
        <v>19</v>
      </c>
      <c r="D116" t="s">
        <v>21</v>
      </c>
      <c r="E116" s="1">
        <v>159.72999999999988</v>
      </c>
      <c r="F116" t="s">
        <v>22</v>
      </c>
      <c r="G116">
        <v>0</v>
      </c>
      <c r="H116" s="1">
        <v>0</v>
      </c>
      <c r="I116" s="21">
        <v>45325</v>
      </c>
      <c r="J116" s="21">
        <v>45328</v>
      </c>
      <c r="K116" s="21">
        <v>45328</v>
      </c>
      <c r="L116" t="s">
        <v>32</v>
      </c>
      <c r="M116" t="s">
        <v>33</v>
      </c>
      <c r="N116" t="s">
        <v>34</v>
      </c>
      <c r="O116">
        <v>1</v>
      </c>
      <c r="P116" t="s">
        <v>1955</v>
      </c>
      <c r="Q116" t="s">
        <v>4729</v>
      </c>
      <c r="R116" t="s">
        <v>4711</v>
      </c>
      <c r="S116" t="s">
        <v>4719</v>
      </c>
      <c r="T116">
        <f t="shared" si="2"/>
        <v>3</v>
      </c>
      <c r="U116" s="21">
        <f t="shared" si="3"/>
        <v>45328</v>
      </c>
    </row>
    <row r="117" spans="1:21" x14ac:dyDescent="0.35">
      <c r="A117" t="s">
        <v>4446</v>
      </c>
      <c r="B117" t="s">
        <v>4447</v>
      </c>
      <c r="C117" t="s">
        <v>19</v>
      </c>
      <c r="D117" t="s">
        <v>1006</v>
      </c>
      <c r="E117" s="1">
        <v>27.78</v>
      </c>
      <c r="F117" t="s">
        <v>995</v>
      </c>
      <c r="G117">
        <v>0</v>
      </c>
      <c r="H117" s="1">
        <v>0</v>
      </c>
      <c r="I117" s="21">
        <v>45322</v>
      </c>
      <c r="J117" s="21">
        <v>45325</v>
      </c>
      <c r="K117" s="21"/>
      <c r="L117" t="s">
        <v>4774</v>
      </c>
      <c r="M117" t="s">
        <v>46</v>
      </c>
      <c r="N117" t="s">
        <v>47</v>
      </c>
      <c r="O117">
        <v>1</v>
      </c>
      <c r="P117" t="s">
        <v>4448</v>
      </c>
      <c r="Q117" t="s">
        <v>4678</v>
      </c>
      <c r="R117" t="s">
        <v>4726</v>
      </c>
      <c r="S117" t="s">
        <v>4717</v>
      </c>
      <c r="T117">
        <f t="shared" si="2"/>
        <v>3</v>
      </c>
      <c r="U117" s="21">
        <f t="shared" si="3"/>
        <v>45325</v>
      </c>
    </row>
    <row r="118" spans="1:21" x14ac:dyDescent="0.35">
      <c r="A118" t="s">
        <v>3485</v>
      </c>
      <c r="B118" t="s">
        <v>3486</v>
      </c>
      <c r="C118" t="s">
        <v>19</v>
      </c>
      <c r="D118" t="s">
        <v>1002</v>
      </c>
      <c r="E118" s="1">
        <v>8.8559999999999999</v>
      </c>
      <c r="F118" t="s">
        <v>995</v>
      </c>
      <c r="G118">
        <v>40</v>
      </c>
      <c r="H118" s="1">
        <v>3.5424000000000002</v>
      </c>
      <c r="I118" s="21">
        <v>45322</v>
      </c>
      <c r="J118" s="21">
        <v>45322</v>
      </c>
      <c r="K118" s="21"/>
      <c r="L118" t="s">
        <v>4774</v>
      </c>
      <c r="M118" t="s">
        <v>72</v>
      </c>
      <c r="N118" t="s">
        <v>73</v>
      </c>
      <c r="O118">
        <v>1</v>
      </c>
      <c r="P118" t="s">
        <v>2613</v>
      </c>
      <c r="Q118" t="s">
        <v>4729</v>
      </c>
      <c r="R118" t="s">
        <v>4512</v>
      </c>
      <c r="S118" t="s">
        <v>4717</v>
      </c>
      <c r="T118">
        <f t="shared" si="2"/>
        <v>0</v>
      </c>
      <c r="U118" s="21">
        <f t="shared" si="3"/>
        <v>45322</v>
      </c>
    </row>
    <row r="119" spans="1:21" x14ac:dyDescent="0.35">
      <c r="A119" t="s">
        <v>2354</v>
      </c>
      <c r="B119" t="s">
        <v>2355</v>
      </c>
      <c r="C119" t="s">
        <v>30</v>
      </c>
      <c r="D119" t="s">
        <v>1002</v>
      </c>
      <c r="E119" s="1">
        <v>18.239999999999998</v>
      </c>
      <c r="F119" t="s">
        <v>995</v>
      </c>
      <c r="G119">
        <v>40</v>
      </c>
      <c r="H119" s="1">
        <v>7.2959999999999994</v>
      </c>
      <c r="I119" s="21">
        <v>45322</v>
      </c>
      <c r="J119" s="21">
        <v>45327</v>
      </c>
      <c r="K119" s="21"/>
      <c r="L119" t="s">
        <v>4774</v>
      </c>
      <c r="M119" t="s">
        <v>33</v>
      </c>
      <c r="N119" t="s">
        <v>34</v>
      </c>
      <c r="O119">
        <v>1</v>
      </c>
      <c r="P119" t="s">
        <v>196</v>
      </c>
      <c r="Q119" t="s">
        <v>4729</v>
      </c>
      <c r="R119" t="s">
        <v>4726</v>
      </c>
      <c r="S119" t="s">
        <v>4717</v>
      </c>
      <c r="T119">
        <f t="shared" si="2"/>
        <v>5</v>
      </c>
      <c r="U119" s="21">
        <f t="shared" si="3"/>
        <v>45327</v>
      </c>
    </row>
    <row r="120" spans="1:21" x14ac:dyDescent="0.35">
      <c r="A120" t="s">
        <v>2351</v>
      </c>
      <c r="B120" t="s">
        <v>2352</v>
      </c>
      <c r="C120" t="s">
        <v>30</v>
      </c>
      <c r="D120" t="s">
        <v>1002</v>
      </c>
      <c r="E120" s="1">
        <v>9.9120000000000008</v>
      </c>
      <c r="F120" t="s">
        <v>995</v>
      </c>
      <c r="G120">
        <v>40</v>
      </c>
      <c r="H120" s="1">
        <v>3.9648000000000003</v>
      </c>
      <c r="I120" s="21">
        <v>45321</v>
      </c>
      <c r="J120" s="21">
        <v>45324</v>
      </c>
      <c r="K120" s="21"/>
      <c r="L120" t="s">
        <v>4774</v>
      </c>
      <c r="M120" t="s">
        <v>33</v>
      </c>
      <c r="N120" t="s">
        <v>34</v>
      </c>
      <c r="O120">
        <v>1</v>
      </c>
      <c r="P120" t="s">
        <v>2353</v>
      </c>
      <c r="Q120" t="s">
        <v>4729</v>
      </c>
      <c r="R120" t="s">
        <v>4512</v>
      </c>
      <c r="S120" t="s">
        <v>4717</v>
      </c>
      <c r="T120">
        <f t="shared" si="2"/>
        <v>3</v>
      </c>
      <c r="U120" s="21">
        <f t="shared" si="3"/>
        <v>45324</v>
      </c>
    </row>
    <row r="121" spans="1:21" x14ac:dyDescent="0.35">
      <c r="A121" t="s">
        <v>4441</v>
      </c>
      <c r="B121" t="s">
        <v>4442</v>
      </c>
      <c r="C121" t="s">
        <v>19</v>
      </c>
      <c r="D121" t="s">
        <v>1006</v>
      </c>
      <c r="E121" s="1">
        <v>7999.9799999999896</v>
      </c>
      <c r="F121" t="s">
        <v>995</v>
      </c>
      <c r="G121">
        <v>0</v>
      </c>
      <c r="H121" s="1">
        <v>0</v>
      </c>
      <c r="I121" s="21">
        <v>45321</v>
      </c>
      <c r="J121" s="21">
        <v>45328</v>
      </c>
      <c r="K121" s="21"/>
      <c r="L121" t="s">
        <v>4774</v>
      </c>
      <c r="M121" t="s">
        <v>40</v>
      </c>
      <c r="N121" t="s">
        <v>34</v>
      </c>
      <c r="O121">
        <v>1</v>
      </c>
      <c r="P121" t="s">
        <v>4443</v>
      </c>
      <c r="Q121" t="s">
        <v>4707</v>
      </c>
      <c r="R121" t="s">
        <v>4720</v>
      </c>
      <c r="S121" t="s">
        <v>4719</v>
      </c>
      <c r="T121">
        <f t="shared" si="2"/>
        <v>7</v>
      </c>
      <c r="U121" s="21">
        <f t="shared" si="3"/>
        <v>45328</v>
      </c>
    </row>
    <row r="122" spans="1:21" x14ac:dyDescent="0.35">
      <c r="A122" t="s">
        <v>4444</v>
      </c>
      <c r="B122" t="s">
        <v>4445</v>
      </c>
      <c r="C122" t="s">
        <v>30</v>
      </c>
      <c r="D122" t="s">
        <v>1006</v>
      </c>
      <c r="E122" s="1">
        <v>199.75</v>
      </c>
      <c r="F122" t="s">
        <v>995</v>
      </c>
      <c r="G122">
        <v>0</v>
      </c>
      <c r="H122" s="1">
        <v>0</v>
      </c>
      <c r="I122" s="21">
        <v>45321</v>
      </c>
      <c r="J122" s="21">
        <v>45325</v>
      </c>
      <c r="K122" s="21"/>
      <c r="L122" t="s">
        <v>4774</v>
      </c>
      <c r="M122" t="s">
        <v>33</v>
      </c>
      <c r="N122" t="s">
        <v>34</v>
      </c>
      <c r="O122">
        <v>1</v>
      </c>
      <c r="P122" t="s">
        <v>1834</v>
      </c>
      <c r="Q122" t="s">
        <v>4613</v>
      </c>
      <c r="R122" t="s">
        <v>4713</v>
      </c>
      <c r="S122" t="s">
        <v>4719</v>
      </c>
      <c r="T122">
        <f t="shared" si="2"/>
        <v>4</v>
      </c>
      <c r="U122" s="21">
        <f t="shared" si="3"/>
        <v>45325</v>
      </c>
    </row>
    <row r="123" spans="1:21" x14ac:dyDescent="0.35">
      <c r="A123" t="s">
        <v>1149</v>
      </c>
      <c r="B123" t="s">
        <v>1150</v>
      </c>
      <c r="C123" t="s">
        <v>30</v>
      </c>
      <c r="D123" t="s">
        <v>1002</v>
      </c>
      <c r="E123" s="1">
        <v>25.12</v>
      </c>
      <c r="F123" t="s">
        <v>995</v>
      </c>
      <c r="G123">
        <v>40</v>
      </c>
      <c r="H123" s="1">
        <v>10.048000000000002</v>
      </c>
      <c r="I123" s="21">
        <v>45320</v>
      </c>
      <c r="J123" s="21">
        <v>45324</v>
      </c>
      <c r="K123" s="21"/>
      <c r="L123" t="s">
        <v>4774</v>
      </c>
      <c r="M123" t="s">
        <v>72</v>
      </c>
      <c r="N123" t="s">
        <v>73</v>
      </c>
      <c r="O123">
        <v>1</v>
      </c>
      <c r="P123" t="s">
        <v>1151</v>
      </c>
      <c r="Q123" t="s">
        <v>4528</v>
      </c>
      <c r="R123" t="s">
        <v>4721</v>
      </c>
      <c r="S123" t="s">
        <v>4717</v>
      </c>
      <c r="T123">
        <f t="shared" si="2"/>
        <v>4</v>
      </c>
      <c r="U123" s="21">
        <f t="shared" si="3"/>
        <v>45324</v>
      </c>
    </row>
    <row r="124" spans="1:21" x14ac:dyDescent="0.35">
      <c r="A124" t="s">
        <v>4438</v>
      </c>
      <c r="B124" t="s">
        <v>4439</v>
      </c>
      <c r="C124" t="s">
        <v>19</v>
      </c>
      <c r="D124" t="s">
        <v>1002</v>
      </c>
      <c r="E124" s="1">
        <v>8.4480000000000004</v>
      </c>
      <c r="F124" t="s">
        <v>995</v>
      </c>
      <c r="G124">
        <v>40</v>
      </c>
      <c r="H124" s="1">
        <v>3.3792000000000004</v>
      </c>
      <c r="I124" s="21">
        <v>45320</v>
      </c>
      <c r="J124" s="21">
        <v>45324</v>
      </c>
      <c r="K124" s="21"/>
      <c r="L124" t="s">
        <v>4774</v>
      </c>
      <c r="M124" t="s">
        <v>40</v>
      </c>
      <c r="N124" t="s">
        <v>34</v>
      </c>
      <c r="O124">
        <v>1</v>
      </c>
      <c r="P124" t="s">
        <v>4440</v>
      </c>
      <c r="Q124" t="s">
        <v>4519</v>
      </c>
      <c r="R124" t="s">
        <v>4726</v>
      </c>
      <c r="S124" t="s">
        <v>4717</v>
      </c>
      <c r="T124">
        <f t="shared" si="2"/>
        <v>4</v>
      </c>
      <c r="U124" s="21">
        <f t="shared" si="3"/>
        <v>45324</v>
      </c>
    </row>
    <row r="125" spans="1:21" x14ac:dyDescent="0.35">
      <c r="A125" t="s">
        <v>4436</v>
      </c>
      <c r="B125" t="s">
        <v>4437</v>
      </c>
      <c r="C125" t="s">
        <v>19</v>
      </c>
      <c r="D125" t="s">
        <v>994</v>
      </c>
      <c r="E125" s="1">
        <v>313.72199999999998</v>
      </c>
      <c r="F125" t="s">
        <v>995</v>
      </c>
      <c r="G125">
        <v>40</v>
      </c>
      <c r="H125" s="1">
        <v>125.4888</v>
      </c>
      <c r="I125" s="21">
        <v>45319</v>
      </c>
      <c r="J125" s="21">
        <v>45323</v>
      </c>
      <c r="K125" s="21"/>
      <c r="L125" t="s">
        <v>4774</v>
      </c>
      <c r="M125" t="s">
        <v>54</v>
      </c>
      <c r="N125" t="s">
        <v>26</v>
      </c>
      <c r="O125">
        <v>1</v>
      </c>
      <c r="P125" t="s">
        <v>2051</v>
      </c>
      <c r="Q125" t="s">
        <v>4597</v>
      </c>
      <c r="R125" t="s">
        <v>4712</v>
      </c>
      <c r="S125" t="s">
        <v>4718</v>
      </c>
      <c r="T125">
        <f t="shared" si="2"/>
        <v>4</v>
      </c>
      <c r="U125" s="21">
        <f t="shared" si="3"/>
        <v>45323</v>
      </c>
    </row>
    <row r="126" spans="1:21" x14ac:dyDescent="0.35">
      <c r="A126" t="s">
        <v>2348</v>
      </c>
      <c r="B126" t="s">
        <v>2349</v>
      </c>
      <c r="C126" t="s">
        <v>19</v>
      </c>
      <c r="D126" t="s">
        <v>994</v>
      </c>
      <c r="E126" s="1">
        <v>43.12</v>
      </c>
      <c r="F126" t="s">
        <v>995</v>
      </c>
      <c r="G126">
        <v>15</v>
      </c>
      <c r="H126" s="1">
        <v>6.4679999999999991</v>
      </c>
      <c r="I126" s="21">
        <v>45318</v>
      </c>
      <c r="J126" s="21">
        <v>45319</v>
      </c>
      <c r="K126" s="21"/>
      <c r="L126" t="s">
        <v>4774</v>
      </c>
      <c r="M126" t="s">
        <v>72</v>
      </c>
      <c r="N126" t="s">
        <v>73</v>
      </c>
      <c r="O126">
        <v>1</v>
      </c>
      <c r="P126" t="s">
        <v>2350</v>
      </c>
      <c r="Q126" t="s">
        <v>4528</v>
      </c>
      <c r="R126" t="s">
        <v>4726</v>
      </c>
      <c r="S126" t="s">
        <v>4717</v>
      </c>
      <c r="T126">
        <f t="shared" si="2"/>
        <v>1</v>
      </c>
      <c r="U126" s="21">
        <f t="shared" si="3"/>
        <v>45319</v>
      </c>
    </row>
    <row r="127" spans="1:21" x14ac:dyDescent="0.35">
      <c r="A127" t="s">
        <v>1147</v>
      </c>
      <c r="B127" t="s">
        <v>1148</v>
      </c>
      <c r="C127" t="s">
        <v>19</v>
      </c>
      <c r="D127" t="s">
        <v>994</v>
      </c>
      <c r="E127" s="1">
        <v>1013.4880000000001</v>
      </c>
      <c r="F127" t="s">
        <v>995</v>
      </c>
      <c r="G127">
        <v>40</v>
      </c>
      <c r="H127" s="1">
        <v>405.39520000000005</v>
      </c>
      <c r="I127" s="21">
        <v>45318</v>
      </c>
      <c r="J127" s="21">
        <v>45322</v>
      </c>
      <c r="K127" s="21"/>
      <c r="L127" t="s">
        <v>4774</v>
      </c>
      <c r="M127" t="s">
        <v>25</v>
      </c>
      <c r="N127" t="s">
        <v>26</v>
      </c>
      <c r="O127">
        <v>1</v>
      </c>
      <c r="P127" t="s">
        <v>1010</v>
      </c>
      <c r="Q127" t="s">
        <v>4567</v>
      </c>
      <c r="R127" t="s">
        <v>4714</v>
      </c>
      <c r="S127" t="s">
        <v>4718</v>
      </c>
      <c r="T127">
        <f t="shared" si="2"/>
        <v>4</v>
      </c>
      <c r="U127" s="21">
        <f t="shared" si="3"/>
        <v>45322</v>
      </c>
    </row>
    <row r="128" spans="1:21" x14ac:dyDescent="0.35">
      <c r="A128" t="s">
        <v>1144</v>
      </c>
      <c r="B128" t="s">
        <v>1145</v>
      </c>
      <c r="C128" t="s">
        <v>19</v>
      </c>
      <c r="D128" t="s">
        <v>994</v>
      </c>
      <c r="E128" s="1">
        <v>67.144000000000005</v>
      </c>
      <c r="F128" t="s">
        <v>995</v>
      </c>
      <c r="G128">
        <v>40</v>
      </c>
      <c r="H128" s="1">
        <v>26.857600000000005</v>
      </c>
      <c r="I128" s="21">
        <v>45316</v>
      </c>
      <c r="J128" s="21">
        <v>45322</v>
      </c>
      <c r="K128" s="21"/>
      <c r="L128" t="s">
        <v>4774</v>
      </c>
      <c r="M128" t="s">
        <v>25</v>
      </c>
      <c r="N128" t="s">
        <v>26</v>
      </c>
      <c r="O128">
        <v>1</v>
      </c>
      <c r="P128" t="s">
        <v>1146</v>
      </c>
      <c r="Q128" t="s">
        <v>4614</v>
      </c>
      <c r="R128" t="s">
        <v>4726</v>
      </c>
      <c r="S128" t="s">
        <v>4717</v>
      </c>
      <c r="T128">
        <f t="shared" si="2"/>
        <v>6</v>
      </c>
      <c r="U128" s="21">
        <f t="shared" si="3"/>
        <v>45322</v>
      </c>
    </row>
    <row r="129" spans="1:21" x14ac:dyDescent="0.35">
      <c r="A129" t="s">
        <v>3483</v>
      </c>
      <c r="B129" t="s">
        <v>3484</v>
      </c>
      <c r="C129" t="s">
        <v>19</v>
      </c>
      <c r="D129" t="s">
        <v>1002</v>
      </c>
      <c r="E129" s="1">
        <v>33.94</v>
      </c>
      <c r="F129" t="s">
        <v>995</v>
      </c>
      <c r="G129">
        <v>40</v>
      </c>
      <c r="H129" s="1">
        <v>13.576000000000001</v>
      </c>
      <c r="I129" s="21">
        <v>45315</v>
      </c>
      <c r="J129" s="21">
        <v>45317</v>
      </c>
      <c r="K129" s="21"/>
      <c r="L129" t="s">
        <v>4774</v>
      </c>
      <c r="M129" t="s">
        <v>25</v>
      </c>
      <c r="N129" t="s">
        <v>26</v>
      </c>
      <c r="O129">
        <v>1</v>
      </c>
      <c r="P129" t="s">
        <v>2288</v>
      </c>
      <c r="Q129" t="s">
        <v>4729</v>
      </c>
      <c r="R129" t="s">
        <v>4714</v>
      </c>
      <c r="S129" t="s">
        <v>4718</v>
      </c>
      <c r="T129">
        <f t="shared" si="2"/>
        <v>2</v>
      </c>
      <c r="U129" s="21">
        <f t="shared" si="3"/>
        <v>45317</v>
      </c>
    </row>
    <row r="130" spans="1:21" x14ac:dyDescent="0.35">
      <c r="A130" t="s">
        <v>1141</v>
      </c>
      <c r="B130" t="s">
        <v>1142</v>
      </c>
      <c r="C130" t="s">
        <v>30</v>
      </c>
      <c r="D130" t="s">
        <v>1006</v>
      </c>
      <c r="E130" s="1">
        <v>35.06</v>
      </c>
      <c r="F130" t="s">
        <v>995</v>
      </c>
      <c r="G130">
        <v>0</v>
      </c>
      <c r="H130" s="1">
        <v>0</v>
      </c>
      <c r="I130" s="21">
        <v>45313</v>
      </c>
      <c r="J130" s="21">
        <v>45317</v>
      </c>
      <c r="K130" s="21"/>
      <c r="L130" t="s">
        <v>4774</v>
      </c>
      <c r="M130" t="s">
        <v>25</v>
      </c>
      <c r="N130" t="s">
        <v>26</v>
      </c>
      <c r="O130">
        <v>1</v>
      </c>
      <c r="P130" t="s">
        <v>1143</v>
      </c>
      <c r="Q130" t="s">
        <v>4546</v>
      </c>
      <c r="R130" t="s">
        <v>4726</v>
      </c>
      <c r="S130" t="s">
        <v>4717</v>
      </c>
      <c r="T130">
        <f t="shared" ref="T130:T193" si="4">J130-I130</f>
        <v>4</v>
      </c>
      <c r="U130" s="21">
        <f t="shared" si="3"/>
        <v>45317</v>
      </c>
    </row>
    <row r="131" spans="1:21" x14ac:dyDescent="0.35">
      <c r="A131" t="s">
        <v>2342</v>
      </c>
      <c r="B131" t="s">
        <v>2343</v>
      </c>
      <c r="C131" t="s">
        <v>19</v>
      </c>
      <c r="D131" t="s">
        <v>1002</v>
      </c>
      <c r="E131" s="1">
        <v>69.08</v>
      </c>
      <c r="F131" t="s">
        <v>995</v>
      </c>
      <c r="G131">
        <v>40</v>
      </c>
      <c r="H131" s="1">
        <v>27.632000000000001</v>
      </c>
      <c r="I131" s="21">
        <v>45312</v>
      </c>
      <c r="J131" s="21">
        <v>45315</v>
      </c>
      <c r="K131" s="21"/>
      <c r="L131" t="s">
        <v>4774</v>
      </c>
      <c r="M131" t="s">
        <v>40</v>
      </c>
      <c r="N131" t="s">
        <v>34</v>
      </c>
      <c r="O131">
        <v>1</v>
      </c>
      <c r="P131" t="s">
        <v>2344</v>
      </c>
      <c r="Q131" t="s">
        <v>4533</v>
      </c>
      <c r="R131" t="s">
        <v>4724</v>
      </c>
      <c r="S131" t="s">
        <v>4718</v>
      </c>
      <c r="T131">
        <f t="shared" si="4"/>
        <v>3</v>
      </c>
      <c r="U131" s="21">
        <f t="shared" ref="U131:U194" si="5">J131</f>
        <v>45315</v>
      </c>
    </row>
    <row r="132" spans="1:21" x14ac:dyDescent="0.35">
      <c r="A132" t="s">
        <v>4434</v>
      </c>
      <c r="B132" t="s">
        <v>4435</v>
      </c>
      <c r="C132" t="s">
        <v>19</v>
      </c>
      <c r="D132" t="s">
        <v>994</v>
      </c>
      <c r="E132" s="1">
        <v>23.18</v>
      </c>
      <c r="F132" t="s">
        <v>995</v>
      </c>
      <c r="G132">
        <v>40</v>
      </c>
      <c r="H132" s="1">
        <v>9.2720000000000002</v>
      </c>
      <c r="I132" s="21">
        <v>45312</v>
      </c>
      <c r="J132" s="21">
        <v>45318</v>
      </c>
      <c r="K132" s="21"/>
      <c r="L132" t="s">
        <v>4774</v>
      </c>
      <c r="M132" t="s">
        <v>46</v>
      </c>
      <c r="N132" t="s">
        <v>47</v>
      </c>
      <c r="O132">
        <v>1</v>
      </c>
      <c r="P132" t="s">
        <v>2529</v>
      </c>
      <c r="Q132" t="s">
        <v>4729</v>
      </c>
      <c r="R132" t="s">
        <v>4713</v>
      </c>
      <c r="S132" t="s">
        <v>4719</v>
      </c>
      <c r="T132">
        <f t="shared" si="4"/>
        <v>6</v>
      </c>
      <c r="U132" s="21">
        <f t="shared" si="5"/>
        <v>45318</v>
      </c>
    </row>
    <row r="133" spans="1:21" x14ac:dyDescent="0.35">
      <c r="A133" t="s">
        <v>2345</v>
      </c>
      <c r="B133" t="s">
        <v>2346</v>
      </c>
      <c r="C133" t="s">
        <v>19</v>
      </c>
      <c r="D133" t="s">
        <v>994</v>
      </c>
      <c r="E133" s="1">
        <v>116.28</v>
      </c>
      <c r="F133" t="s">
        <v>995</v>
      </c>
      <c r="G133">
        <v>40</v>
      </c>
      <c r="H133" s="1">
        <v>46.512</v>
      </c>
      <c r="I133" s="21">
        <v>45312</v>
      </c>
      <c r="J133" s="21">
        <v>45318</v>
      </c>
      <c r="K133" s="21"/>
      <c r="L133" t="s">
        <v>4774</v>
      </c>
      <c r="M133" t="s">
        <v>40</v>
      </c>
      <c r="N133" t="s">
        <v>34</v>
      </c>
      <c r="O133">
        <v>1</v>
      </c>
      <c r="P133" t="s">
        <v>2347</v>
      </c>
      <c r="Q133" t="s">
        <v>4729</v>
      </c>
      <c r="R133" t="s">
        <v>4726</v>
      </c>
      <c r="S133" t="s">
        <v>4717</v>
      </c>
      <c r="T133">
        <f t="shared" si="4"/>
        <v>6</v>
      </c>
      <c r="U133" s="21">
        <f t="shared" si="5"/>
        <v>45318</v>
      </c>
    </row>
    <row r="134" spans="1:21" x14ac:dyDescent="0.35">
      <c r="A134" t="s">
        <v>3480</v>
      </c>
      <c r="B134" t="s">
        <v>3481</v>
      </c>
      <c r="C134" t="s">
        <v>19</v>
      </c>
      <c r="D134" t="s">
        <v>1002</v>
      </c>
      <c r="E134" s="1">
        <v>26.4</v>
      </c>
      <c r="F134" t="s">
        <v>995</v>
      </c>
      <c r="G134">
        <v>40</v>
      </c>
      <c r="H134" s="1">
        <v>10.56</v>
      </c>
      <c r="I134" s="21">
        <v>45312</v>
      </c>
      <c r="J134" s="21">
        <v>45313</v>
      </c>
      <c r="K134" s="21"/>
      <c r="L134" t="s">
        <v>4774</v>
      </c>
      <c r="M134" t="s">
        <v>67</v>
      </c>
      <c r="N134" t="s">
        <v>68</v>
      </c>
      <c r="O134">
        <v>1</v>
      </c>
      <c r="P134" t="s">
        <v>3482</v>
      </c>
      <c r="Q134" t="s">
        <v>4519</v>
      </c>
      <c r="R134" t="s">
        <v>4726</v>
      </c>
      <c r="S134" t="s">
        <v>4717</v>
      </c>
      <c r="T134">
        <f t="shared" si="4"/>
        <v>1</v>
      </c>
      <c r="U134" s="21">
        <f t="shared" si="5"/>
        <v>45313</v>
      </c>
    </row>
    <row r="135" spans="1:21" x14ac:dyDescent="0.35">
      <c r="A135" t="s">
        <v>1138</v>
      </c>
      <c r="B135" t="s">
        <v>1139</v>
      </c>
      <c r="C135" t="s">
        <v>30</v>
      </c>
      <c r="D135" t="s">
        <v>1006</v>
      </c>
      <c r="E135" s="1">
        <v>11.56</v>
      </c>
      <c r="F135" t="s">
        <v>995</v>
      </c>
      <c r="G135">
        <v>0</v>
      </c>
      <c r="H135" s="1">
        <v>0</v>
      </c>
      <c r="I135" s="21">
        <v>45311</v>
      </c>
      <c r="J135" s="21">
        <v>45315</v>
      </c>
      <c r="K135" s="21"/>
      <c r="L135" t="s">
        <v>4774</v>
      </c>
      <c r="M135" t="s">
        <v>97</v>
      </c>
      <c r="N135" t="s">
        <v>68</v>
      </c>
      <c r="O135">
        <v>1</v>
      </c>
      <c r="P135" t="s">
        <v>1140</v>
      </c>
      <c r="Q135" t="s">
        <v>4519</v>
      </c>
      <c r="R135" t="s">
        <v>4726</v>
      </c>
      <c r="S135" t="s">
        <v>4717</v>
      </c>
      <c r="T135">
        <f t="shared" si="4"/>
        <v>4</v>
      </c>
      <c r="U135" s="21">
        <f t="shared" si="5"/>
        <v>45315</v>
      </c>
    </row>
    <row r="136" spans="1:21" x14ac:dyDescent="0.35">
      <c r="A136" t="s">
        <v>2339</v>
      </c>
      <c r="B136" t="s">
        <v>2340</v>
      </c>
      <c r="C136" t="s">
        <v>30</v>
      </c>
      <c r="D136" t="s">
        <v>21</v>
      </c>
      <c r="E136" s="1">
        <v>427.59200000000004</v>
      </c>
      <c r="F136" t="s">
        <v>22</v>
      </c>
      <c r="G136">
        <v>0</v>
      </c>
      <c r="H136" s="1">
        <v>0</v>
      </c>
      <c r="I136" s="21">
        <v>45308</v>
      </c>
      <c r="J136" s="21">
        <v>45308</v>
      </c>
      <c r="K136" s="21">
        <v>45308</v>
      </c>
      <c r="L136" t="s">
        <v>32</v>
      </c>
      <c r="M136" t="s">
        <v>25</v>
      </c>
      <c r="N136" t="s">
        <v>26</v>
      </c>
      <c r="O136">
        <v>1</v>
      </c>
      <c r="P136" t="s">
        <v>2341</v>
      </c>
      <c r="Q136" t="s">
        <v>4533</v>
      </c>
      <c r="R136" t="s">
        <v>4724</v>
      </c>
      <c r="S136" t="s">
        <v>4718</v>
      </c>
      <c r="T136">
        <f t="shared" si="4"/>
        <v>0</v>
      </c>
      <c r="U136" s="21">
        <f t="shared" si="5"/>
        <v>45308</v>
      </c>
    </row>
    <row r="137" spans="1:21" x14ac:dyDescent="0.35">
      <c r="A137" t="s">
        <v>1135</v>
      </c>
      <c r="B137" t="s">
        <v>1136</v>
      </c>
      <c r="C137" t="s">
        <v>19</v>
      </c>
      <c r="D137" t="s">
        <v>21</v>
      </c>
      <c r="E137" s="1">
        <v>1958.5440000000001</v>
      </c>
      <c r="F137" t="s">
        <v>22</v>
      </c>
      <c r="G137">
        <v>0</v>
      </c>
      <c r="H137" s="1">
        <v>0</v>
      </c>
      <c r="I137" s="21">
        <v>45307</v>
      </c>
      <c r="J137" s="21">
        <v>45310</v>
      </c>
      <c r="K137" s="21">
        <v>45310</v>
      </c>
      <c r="L137" t="s">
        <v>39</v>
      </c>
      <c r="M137" t="s">
        <v>67</v>
      </c>
      <c r="N137" t="s">
        <v>68</v>
      </c>
      <c r="O137">
        <v>1</v>
      </c>
      <c r="P137" t="s">
        <v>1137</v>
      </c>
      <c r="Q137" t="s">
        <v>4545</v>
      </c>
      <c r="R137" t="s">
        <v>4721</v>
      </c>
      <c r="S137" t="s">
        <v>4717</v>
      </c>
      <c r="T137">
        <f t="shared" si="4"/>
        <v>3</v>
      </c>
      <c r="U137" s="21">
        <f t="shared" si="5"/>
        <v>45310</v>
      </c>
    </row>
    <row r="138" spans="1:21" x14ac:dyDescent="0.35">
      <c r="A138" t="s">
        <v>1132</v>
      </c>
      <c r="B138" t="s">
        <v>1133</v>
      </c>
      <c r="C138" t="s">
        <v>30</v>
      </c>
      <c r="D138" t="s">
        <v>994</v>
      </c>
      <c r="E138" s="1">
        <v>29.9</v>
      </c>
      <c r="F138" t="s">
        <v>995</v>
      </c>
      <c r="G138">
        <v>40</v>
      </c>
      <c r="H138" s="1">
        <v>11.96</v>
      </c>
      <c r="I138" s="21">
        <v>45307</v>
      </c>
      <c r="J138" s="21">
        <v>45311</v>
      </c>
      <c r="K138" s="21"/>
      <c r="L138" t="s">
        <v>4774</v>
      </c>
      <c r="M138" t="s">
        <v>72</v>
      </c>
      <c r="N138" t="s">
        <v>73</v>
      </c>
      <c r="O138">
        <v>1</v>
      </c>
      <c r="P138" t="s">
        <v>1134</v>
      </c>
      <c r="Q138" t="s">
        <v>4729</v>
      </c>
      <c r="R138" t="s">
        <v>4726</v>
      </c>
      <c r="S138" t="s">
        <v>4717</v>
      </c>
      <c r="T138">
        <f t="shared" si="4"/>
        <v>4</v>
      </c>
      <c r="U138" s="21">
        <f t="shared" si="5"/>
        <v>45311</v>
      </c>
    </row>
    <row r="139" spans="1:21" x14ac:dyDescent="0.35">
      <c r="A139" t="s">
        <v>3477</v>
      </c>
      <c r="B139" t="s">
        <v>3478</v>
      </c>
      <c r="C139" t="s">
        <v>19</v>
      </c>
      <c r="D139" t="s">
        <v>1006</v>
      </c>
      <c r="E139" s="1">
        <v>517.40499999999997</v>
      </c>
      <c r="F139" t="s">
        <v>995</v>
      </c>
      <c r="G139">
        <v>0</v>
      </c>
      <c r="H139" s="1">
        <v>0</v>
      </c>
      <c r="I139" s="21">
        <v>45307</v>
      </c>
      <c r="J139" s="21">
        <v>45311</v>
      </c>
      <c r="K139" s="21"/>
      <c r="L139" t="s">
        <v>4774</v>
      </c>
      <c r="M139" t="s">
        <v>54</v>
      </c>
      <c r="N139" t="s">
        <v>26</v>
      </c>
      <c r="O139">
        <v>1</v>
      </c>
      <c r="P139" t="s">
        <v>3479</v>
      </c>
      <c r="Q139" t="s">
        <v>4729</v>
      </c>
      <c r="R139" t="s">
        <v>4712</v>
      </c>
      <c r="S139" t="s">
        <v>4718</v>
      </c>
      <c r="T139">
        <f t="shared" si="4"/>
        <v>4</v>
      </c>
      <c r="U139" s="21">
        <f t="shared" si="5"/>
        <v>45311</v>
      </c>
    </row>
    <row r="140" spans="1:21" x14ac:dyDescent="0.35">
      <c r="A140" t="s">
        <v>2337</v>
      </c>
      <c r="B140" t="s">
        <v>2338</v>
      </c>
      <c r="C140" t="s">
        <v>19</v>
      </c>
      <c r="D140" t="s">
        <v>21</v>
      </c>
      <c r="E140" s="1">
        <v>147.63599999999988</v>
      </c>
      <c r="F140" t="s">
        <v>22</v>
      </c>
      <c r="G140">
        <v>0</v>
      </c>
      <c r="H140" s="1">
        <v>0</v>
      </c>
      <c r="I140" s="21">
        <v>45307</v>
      </c>
      <c r="J140" s="21">
        <v>45310</v>
      </c>
      <c r="K140" s="21">
        <v>45310</v>
      </c>
      <c r="L140" t="s">
        <v>39</v>
      </c>
      <c r="M140" t="s">
        <v>82</v>
      </c>
      <c r="N140" t="s">
        <v>47</v>
      </c>
      <c r="O140">
        <v>1</v>
      </c>
      <c r="P140" t="s">
        <v>803</v>
      </c>
      <c r="Q140" t="s">
        <v>4515</v>
      </c>
      <c r="R140" t="s">
        <v>4726</v>
      </c>
      <c r="S140" t="s">
        <v>4717</v>
      </c>
      <c r="T140">
        <f t="shared" si="4"/>
        <v>3</v>
      </c>
      <c r="U140" s="21">
        <f t="shared" si="5"/>
        <v>45310</v>
      </c>
    </row>
    <row r="141" spans="1:21" x14ac:dyDescent="0.35">
      <c r="A141" t="s">
        <v>3472</v>
      </c>
      <c r="B141" t="s">
        <v>3473</v>
      </c>
      <c r="C141" t="s">
        <v>19</v>
      </c>
      <c r="D141" t="s">
        <v>21</v>
      </c>
      <c r="E141" s="1">
        <v>337.68799999999999</v>
      </c>
      <c r="F141" t="s">
        <v>22</v>
      </c>
      <c r="G141">
        <v>0</v>
      </c>
      <c r="H141" s="1">
        <v>0</v>
      </c>
      <c r="I141" s="21">
        <v>45306</v>
      </c>
      <c r="J141" s="21">
        <v>45308</v>
      </c>
      <c r="K141" s="21">
        <v>45308</v>
      </c>
      <c r="L141" t="s">
        <v>32</v>
      </c>
      <c r="M141" t="s">
        <v>146</v>
      </c>
      <c r="N141" t="s">
        <v>73</v>
      </c>
      <c r="O141">
        <v>1</v>
      </c>
      <c r="P141" t="s">
        <v>3474</v>
      </c>
      <c r="Q141" t="s">
        <v>4778</v>
      </c>
      <c r="R141" t="s">
        <v>4713</v>
      </c>
      <c r="S141" t="s">
        <v>4719</v>
      </c>
      <c r="T141">
        <f t="shared" si="4"/>
        <v>2</v>
      </c>
      <c r="U141" s="21">
        <f t="shared" si="5"/>
        <v>45308</v>
      </c>
    </row>
    <row r="142" spans="1:21" x14ac:dyDescent="0.35">
      <c r="A142" t="s">
        <v>3475</v>
      </c>
      <c r="B142" t="s">
        <v>3476</v>
      </c>
      <c r="C142" t="s">
        <v>19</v>
      </c>
      <c r="D142" t="s">
        <v>21</v>
      </c>
      <c r="E142" s="1">
        <v>29.664000000000001</v>
      </c>
      <c r="F142" t="s">
        <v>22</v>
      </c>
      <c r="G142">
        <v>0</v>
      </c>
      <c r="H142" s="1">
        <v>0</v>
      </c>
      <c r="I142" s="21">
        <v>45306</v>
      </c>
      <c r="J142" s="21">
        <v>45307</v>
      </c>
      <c r="K142" s="21">
        <v>45307</v>
      </c>
      <c r="L142" t="s">
        <v>24</v>
      </c>
      <c r="M142" t="s">
        <v>25</v>
      </c>
      <c r="N142" t="s">
        <v>26</v>
      </c>
      <c r="O142">
        <v>1</v>
      </c>
      <c r="P142" t="s">
        <v>429</v>
      </c>
      <c r="Q142" t="s">
        <v>4729</v>
      </c>
      <c r="R142" t="s">
        <v>4726</v>
      </c>
      <c r="S142" t="s">
        <v>4717</v>
      </c>
      <c r="T142">
        <f t="shared" si="4"/>
        <v>1</v>
      </c>
      <c r="U142" s="21">
        <f t="shared" si="5"/>
        <v>45307</v>
      </c>
    </row>
    <row r="143" spans="1:21" x14ac:dyDescent="0.35">
      <c r="A143" t="s">
        <v>4432</v>
      </c>
      <c r="B143" t="s">
        <v>4433</v>
      </c>
      <c r="C143" t="s">
        <v>30</v>
      </c>
      <c r="D143" t="s">
        <v>1006</v>
      </c>
      <c r="E143" s="1">
        <v>45.527999999999999</v>
      </c>
      <c r="F143" t="s">
        <v>995</v>
      </c>
      <c r="G143">
        <v>0</v>
      </c>
      <c r="H143" s="1">
        <v>0</v>
      </c>
      <c r="I143" s="21">
        <v>45306</v>
      </c>
      <c r="J143" s="21">
        <v>45311</v>
      </c>
      <c r="K143" s="21"/>
      <c r="L143" t="s">
        <v>4774</v>
      </c>
      <c r="M143" t="s">
        <v>33</v>
      </c>
      <c r="N143" t="s">
        <v>34</v>
      </c>
      <c r="O143">
        <v>1</v>
      </c>
      <c r="P143" t="s">
        <v>2589</v>
      </c>
      <c r="Q143" t="s">
        <v>4519</v>
      </c>
      <c r="R143" t="s">
        <v>4726</v>
      </c>
      <c r="S143" t="s">
        <v>4717</v>
      </c>
      <c r="T143">
        <f t="shared" si="4"/>
        <v>5</v>
      </c>
      <c r="U143" s="21">
        <f t="shared" si="5"/>
        <v>45311</v>
      </c>
    </row>
    <row r="144" spans="1:21" x14ac:dyDescent="0.35">
      <c r="A144" t="s">
        <v>3470</v>
      </c>
      <c r="B144" t="s">
        <v>3471</v>
      </c>
      <c r="C144" t="s">
        <v>19</v>
      </c>
      <c r="D144" t="s">
        <v>1002</v>
      </c>
      <c r="E144" s="1">
        <v>35</v>
      </c>
      <c r="F144" t="s">
        <v>995</v>
      </c>
      <c r="G144">
        <v>40</v>
      </c>
      <c r="H144" s="1">
        <v>14</v>
      </c>
      <c r="I144" s="21">
        <v>45304</v>
      </c>
      <c r="J144" s="21">
        <v>45308</v>
      </c>
      <c r="K144" s="21"/>
      <c r="L144" t="s">
        <v>4774</v>
      </c>
      <c r="M144" t="s">
        <v>25</v>
      </c>
      <c r="N144" t="s">
        <v>26</v>
      </c>
      <c r="O144">
        <v>1</v>
      </c>
      <c r="P144" t="s">
        <v>937</v>
      </c>
      <c r="Q144" t="s">
        <v>4533</v>
      </c>
      <c r="R144" t="s">
        <v>4721</v>
      </c>
      <c r="S144" t="s">
        <v>4717</v>
      </c>
      <c r="T144">
        <f t="shared" si="4"/>
        <v>4</v>
      </c>
      <c r="U144" s="21">
        <f t="shared" si="5"/>
        <v>45308</v>
      </c>
    </row>
    <row r="145" spans="1:21" x14ac:dyDescent="0.35">
      <c r="A145" t="s">
        <v>1129</v>
      </c>
      <c r="B145" t="s">
        <v>1130</v>
      </c>
      <c r="C145" t="s">
        <v>30</v>
      </c>
      <c r="D145" t="s">
        <v>994</v>
      </c>
      <c r="E145" s="1">
        <v>56.56</v>
      </c>
      <c r="F145" t="s">
        <v>995</v>
      </c>
      <c r="G145">
        <v>40</v>
      </c>
      <c r="H145" s="1">
        <v>22.624000000000002</v>
      </c>
      <c r="I145" s="21">
        <v>45304</v>
      </c>
      <c r="J145" s="21">
        <v>45308</v>
      </c>
      <c r="K145" s="21"/>
      <c r="L145" t="s">
        <v>4774</v>
      </c>
      <c r="M145" t="s">
        <v>146</v>
      </c>
      <c r="N145" t="s">
        <v>73</v>
      </c>
      <c r="O145">
        <v>1</v>
      </c>
      <c r="P145" t="s">
        <v>1131</v>
      </c>
      <c r="Q145" t="s">
        <v>4533</v>
      </c>
      <c r="R145" t="s">
        <v>4709</v>
      </c>
      <c r="S145" t="s">
        <v>4717</v>
      </c>
      <c r="T145">
        <f t="shared" si="4"/>
        <v>4</v>
      </c>
      <c r="U145" s="21">
        <f t="shared" si="5"/>
        <v>45308</v>
      </c>
    </row>
    <row r="146" spans="1:21" x14ac:dyDescent="0.35">
      <c r="A146" t="s">
        <v>4430</v>
      </c>
      <c r="B146" t="s">
        <v>4431</v>
      </c>
      <c r="C146" t="s">
        <v>30</v>
      </c>
      <c r="D146" t="s">
        <v>1006</v>
      </c>
      <c r="E146" s="1">
        <v>39.624000000000002</v>
      </c>
      <c r="F146" t="s">
        <v>995</v>
      </c>
      <c r="G146">
        <v>0</v>
      </c>
      <c r="H146" s="1">
        <v>0</v>
      </c>
      <c r="I146" s="21">
        <v>45301</v>
      </c>
      <c r="J146" s="21">
        <v>45305</v>
      </c>
      <c r="K146" s="21"/>
      <c r="L146" t="s">
        <v>4774</v>
      </c>
      <c r="M146" t="s">
        <v>72</v>
      </c>
      <c r="N146" t="s">
        <v>73</v>
      </c>
      <c r="O146">
        <v>1</v>
      </c>
      <c r="P146" t="s">
        <v>732</v>
      </c>
      <c r="Q146" t="s">
        <v>4593</v>
      </c>
      <c r="R146" t="s">
        <v>4726</v>
      </c>
      <c r="S146" t="s">
        <v>4717</v>
      </c>
      <c r="T146">
        <f t="shared" si="4"/>
        <v>4</v>
      </c>
      <c r="U146" s="21">
        <f t="shared" si="5"/>
        <v>45305</v>
      </c>
    </row>
    <row r="147" spans="1:21" x14ac:dyDescent="0.35">
      <c r="A147" t="s">
        <v>2335</v>
      </c>
      <c r="B147" t="s">
        <v>2336</v>
      </c>
      <c r="C147" t="s">
        <v>19</v>
      </c>
      <c r="D147" t="s">
        <v>1006</v>
      </c>
      <c r="E147" s="1">
        <v>29.472000000000001</v>
      </c>
      <c r="F147" t="s">
        <v>995</v>
      </c>
      <c r="G147">
        <v>0</v>
      </c>
      <c r="H147" s="1">
        <v>0</v>
      </c>
      <c r="I147" s="21">
        <v>45300</v>
      </c>
      <c r="J147" s="21">
        <v>45303</v>
      </c>
      <c r="K147" s="21"/>
      <c r="L147" t="s">
        <v>4774</v>
      </c>
      <c r="M147" t="s">
        <v>97</v>
      </c>
      <c r="N147" t="s">
        <v>68</v>
      </c>
      <c r="O147">
        <v>1</v>
      </c>
      <c r="P147" t="s">
        <v>1202</v>
      </c>
      <c r="Q147" t="s">
        <v>4729</v>
      </c>
      <c r="R147" t="s">
        <v>4726</v>
      </c>
      <c r="S147" t="s">
        <v>4717</v>
      </c>
      <c r="T147">
        <f t="shared" si="4"/>
        <v>3</v>
      </c>
      <c r="U147" s="21">
        <f t="shared" si="5"/>
        <v>45303</v>
      </c>
    </row>
    <row r="148" spans="1:21" x14ac:dyDescent="0.35">
      <c r="A148" t="s">
        <v>3467</v>
      </c>
      <c r="B148" t="s">
        <v>3468</v>
      </c>
      <c r="C148" t="s">
        <v>19</v>
      </c>
      <c r="D148" t="s">
        <v>1002</v>
      </c>
      <c r="E148" s="1">
        <v>3.75</v>
      </c>
      <c r="F148" t="s">
        <v>995</v>
      </c>
      <c r="G148">
        <v>40</v>
      </c>
      <c r="H148" s="1">
        <v>1.5</v>
      </c>
      <c r="I148" s="21">
        <v>45299</v>
      </c>
      <c r="J148" s="21">
        <v>45305</v>
      </c>
      <c r="K148" s="21"/>
      <c r="L148" t="s">
        <v>4774</v>
      </c>
      <c r="M148" t="s">
        <v>33</v>
      </c>
      <c r="N148" t="s">
        <v>34</v>
      </c>
      <c r="O148">
        <v>1</v>
      </c>
      <c r="P148" t="s">
        <v>3469</v>
      </c>
      <c r="Q148" t="s">
        <v>4517</v>
      </c>
      <c r="R148" t="s">
        <v>4726</v>
      </c>
      <c r="S148" t="s">
        <v>4717</v>
      </c>
      <c r="T148">
        <f t="shared" si="4"/>
        <v>6</v>
      </c>
      <c r="U148" s="21">
        <f t="shared" si="5"/>
        <v>45305</v>
      </c>
    </row>
    <row r="149" spans="1:21" x14ac:dyDescent="0.35">
      <c r="A149" t="s">
        <v>2333</v>
      </c>
      <c r="B149" t="s">
        <v>2334</v>
      </c>
      <c r="C149" t="s">
        <v>19</v>
      </c>
      <c r="D149" t="s">
        <v>994</v>
      </c>
      <c r="E149" s="1">
        <v>25.92</v>
      </c>
      <c r="F149" t="s">
        <v>995</v>
      </c>
      <c r="G149">
        <v>15</v>
      </c>
      <c r="H149" s="1">
        <v>3.8879999999999999</v>
      </c>
      <c r="I149" s="21">
        <v>45299</v>
      </c>
      <c r="J149" s="21">
        <v>45302</v>
      </c>
      <c r="K149" s="21"/>
      <c r="L149" t="s">
        <v>4774</v>
      </c>
      <c r="M149" t="s">
        <v>54</v>
      </c>
      <c r="N149" t="s">
        <v>26</v>
      </c>
      <c r="O149">
        <v>1</v>
      </c>
      <c r="P149" t="s">
        <v>934</v>
      </c>
      <c r="Q149" t="s">
        <v>4519</v>
      </c>
      <c r="R149" t="s">
        <v>4726</v>
      </c>
      <c r="S149" t="s">
        <v>4717</v>
      </c>
      <c r="T149">
        <f t="shared" si="4"/>
        <v>3</v>
      </c>
      <c r="U149" s="21">
        <f t="shared" si="5"/>
        <v>45302</v>
      </c>
    </row>
    <row r="150" spans="1:21" x14ac:dyDescent="0.35">
      <c r="A150" t="s">
        <v>1126</v>
      </c>
      <c r="B150" t="s">
        <v>1127</v>
      </c>
      <c r="C150" t="s">
        <v>30</v>
      </c>
      <c r="D150" t="s">
        <v>1002</v>
      </c>
      <c r="E150" s="1">
        <v>478.48</v>
      </c>
      <c r="F150" t="s">
        <v>995</v>
      </c>
      <c r="G150">
        <v>40</v>
      </c>
      <c r="H150" s="1">
        <v>191.39200000000002</v>
      </c>
      <c r="I150" s="21">
        <v>45298</v>
      </c>
      <c r="J150" s="21">
        <v>45305</v>
      </c>
      <c r="K150" s="21"/>
      <c r="L150" t="s">
        <v>4774</v>
      </c>
      <c r="M150" t="s">
        <v>40</v>
      </c>
      <c r="N150" t="s">
        <v>34</v>
      </c>
      <c r="O150">
        <v>1</v>
      </c>
      <c r="P150" t="s">
        <v>1128</v>
      </c>
      <c r="Q150" t="s">
        <v>4567</v>
      </c>
      <c r="R150" t="s">
        <v>4714</v>
      </c>
      <c r="S150" t="s">
        <v>4718</v>
      </c>
      <c r="T150">
        <f t="shared" si="4"/>
        <v>7</v>
      </c>
      <c r="U150" s="21">
        <f t="shared" si="5"/>
        <v>45305</v>
      </c>
    </row>
    <row r="151" spans="1:21" x14ac:dyDescent="0.35">
      <c r="A151" t="s">
        <v>3464</v>
      </c>
      <c r="B151" t="s">
        <v>3465</v>
      </c>
      <c r="C151" t="s">
        <v>30</v>
      </c>
      <c r="D151" t="s">
        <v>994</v>
      </c>
      <c r="E151" s="1">
        <v>437.85</v>
      </c>
      <c r="F151" t="s">
        <v>995</v>
      </c>
      <c r="G151">
        <v>40</v>
      </c>
      <c r="H151" s="1">
        <v>175.14000000000001</v>
      </c>
      <c r="I151" s="21">
        <v>45295</v>
      </c>
      <c r="J151" s="21">
        <v>45300</v>
      </c>
      <c r="K151" s="21"/>
      <c r="L151" t="s">
        <v>4774</v>
      </c>
      <c r="M151" t="s">
        <v>54</v>
      </c>
      <c r="N151" t="s">
        <v>26</v>
      </c>
      <c r="O151">
        <v>1</v>
      </c>
      <c r="P151" t="s">
        <v>3466</v>
      </c>
      <c r="Q151" t="s">
        <v>4729</v>
      </c>
      <c r="R151" t="s">
        <v>4711</v>
      </c>
      <c r="S151" t="s">
        <v>4719</v>
      </c>
      <c r="T151">
        <f t="shared" si="4"/>
        <v>5</v>
      </c>
      <c r="U151" s="21">
        <f t="shared" si="5"/>
        <v>45300</v>
      </c>
    </row>
    <row r="152" spans="1:21" x14ac:dyDescent="0.35">
      <c r="A152" t="s">
        <v>1120</v>
      </c>
      <c r="B152" t="s">
        <v>1121</v>
      </c>
      <c r="C152" t="s">
        <v>30</v>
      </c>
      <c r="D152" t="s">
        <v>21</v>
      </c>
      <c r="E152" s="1">
        <v>740.21400000000006</v>
      </c>
      <c r="F152" t="s">
        <v>22</v>
      </c>
      <c r="G152">
        <v>0</v>
      </c>
      <c r="H152" s="1">
        <v>0</v>
      </c>
      <c r="I152" s="21">
        <v>45294</v>
      </c>
      <c r="J152" s="21">
        <v>45296</v>
      </c>
      <c r="K152" s="21">
        <v>45296</v>
      </c>
      <c r="L152" t="s">
        <v>53</v>
      </c>
      <c r="M152" t="s">
        <v>146</v>
      </c>
      <c r="N152" t="s">
        <v>73</v>
      </c>
      <c r="O152">
        <v>1</v>
      </c>
      <c r="P152" t="s">
        <v>1122</v>
      </c>
      <c r="Q152" t="s">
        <v>4551</v>
      </c>
      <c r="R152" t="s">
        <v>4711</v>
      </c>
      <c r="S152" t="s">
        <v>4719</v>
      </c>
      <c r="T152">
        <f t="shared" si="4"/>
        <v>2</v>
      </c>
      <c r="U152" s="21">
        <f t="shared" si="5"/>
        <v>45296</v>
      </c>
    </row>
    <row r="153" spans="1:21" x14ac:dyDescent="0.35">
      <c r="A153" t="s">
        <v>1123</v>
      </c>
      <c r="B153" t="s">
        <v>1124</v>
      </c>
      <c r="C153" t="s">
        <v>30</v>
      </c>
      <c r="D153" t="s">
        <v>994</v>
      </c>
      <c r="E153" s="1">
        <v>10.368</v>
      </c>
      <c r="F153" t="s">
        <v>995</v>
      </c>
      <c r="G153">
        <v>40</v>
      </c>
      <c r="H153" s="1">
        <v>4.1472000000000007</v>
      </c>
      <c r="I153" s="21">
        <v>45294</v>
      </c>
      <c r="J153" s="21">
        <v>45296</v>
      </c>
      <c r="K153" s="21"/>
      <c r="L153" t="s">
        <v>4774</v>
      </c>
      <c r="M153" t="s">
        <v>72</v>
      </c>
      <c r="N153" t="s">
        <v>73</v>
      </c>
      <c r="O153">
        <v>1</v>
      </c>
      <c r="P153" t="s">
        <v>1125</v>
      </c>
      <c r="Q153" t="s">
        <v>4519</v>
      </c>
      <c r="R153" t="s">
        <v>4726</v>
      </c>
      <c r="S153" t="s">
        <v>4717</v>
      </c>
      <c r="T153">
        <f t="shared" si="4"/>
        <v>2</v>
      </c>
      <c r="U153" s="21">
        <f t="shared" si="5"/>
        <v>45296</v>
      </c>
    </row>
    <row r="154" spans="1:21" x14ac:dyDescent="0.35">
      <c r="A154" t="s">
        <v>2327</v>
      </c>
      <c r="B154" t="s">
        <v>2328</v>
      </c>
      <c r="C154" t="s">
        <v>30</v>
      </c>
      <c r="D154" t="s">
        <v>1002</v>
      </c>
      <c r="E154" s="1">
        <v>31.984000000000002</v>
      </c>
      <c r="F154" t="s">
        <v>995</v>
      </c>
      <c r="G154">
        <v>40</v>
      </c>
      <c r="H154" s="1">
        <v>12.793600000000001</v>
      </c>
      <c r="I154" s="21">
        <v>45293</v>
      </c>
      <c r="J154" s="21">
        <v>45294</v>
      </c>
      <c r="K154" s="21"/>
      <c r="L154" t="s">
        <v>4774</v>
      </c>
      <c r="M154" t="s">
        <v>25</v>
      </c>
      <c r="N154" t="s">
        <v>26</v>
      </c>
      <c r="O154">
        <v>1</v>
      </c>
      <c r="P154" t="s">
        <v>2329</v>
      </c>
      <c r="Q154" t="s">
        <v>4729</v>
      </c>
      <c r="R154" t="s">
        <v>4711</v>
      </c>
      <c r="S154" t="s">
        <v>4719</v>
      </c>
      <c r="T154">
        <f t="shared" si="4"/>
        <v>1</v>
      </c>
      <c r="U154" s="21">
        <f t="shared" si="5"/>
        <v>45294</v>
      </c>
    </row>
    <row r="155" spans="1:21" x14ac:dyDescent="0.35">
      <c r="A155" t="s">
        <v>4428</v>
      </c>
      <c r="B155" t="s">
        <v>4429</v>
      </c>
      <c r="C155" t="s">
        <v>30</v>
      </c>
      <c r="D155" t="s">
        <v>1006</v>
      </c>
      <c r="E155" s="1">
        <v>13.05</v>
      </c>
      <c r="F155" t="s">
        <v>995</v>
      </c>
      <c r="G155">
        <v>0</v>
      </c>
      <c r="H155" s="1">
        <v>0</v>
      </c>
      <c r="I155" s="21">
        <v>45293</v>
      </c>
      <c r="J155" s="21">
        <v>45297</v>
      </c>
      <c r="K155" s="21"/>
      <c r="L155" t="s">
        <v>4774</v>
      </c>
      <c r="M155" t="s">
        <v>33</v>
      </c>
      <c r="N155" t="s">
        <v>34</v>
      </c>
      <c r="O155">
        <v>1</v>
      </c>
      <c r="P155" t="s">
        <v>267</v>
      </c>
      <c r="Q155" t="s">
        <v>4729</v>
      </c>
      <c r="R155" t="s">
        <v>4721</v>
      </c>
      <c r="S155" t="s">
        <v>4717</v>
      </c>
      <c r="T155">
        <f t="shared" si="4"/>
        <v>4</v>
      </c>
      <c r="U155" s="21">
        <f t="shared" si="5"/>
        <v>45297</v>
      </c>
    </row>
    <row r="156" spans="1:21" x14ac:dyDescent="0.35">
      <c r="A156" t="s">
        <v>2330</v>
      </c>
      <c r="B156" t="s">
        <v>2331</v>
      </c>
      <c r="C156" t="s">
        <v>19</v>
      </c>
      <c r="D156" t="s">
        <v>994</v>
      </c>
      <c r="E156" s="1">
        <v>16.68</v>
      </c>
      <c r="F156" t="s">
        <v>995</v>
      </c>
      <c r="G156">
        <v>15</v>
      </c>
      <c r="H156" s="1">
        <v>2.5019999999999998</v>
      </c>
      <c r="I156" s="21">
        <v>45293</v>
      </c>
      <c r="J156" s="21">
        <v>45298</v>
      </c>
      <c r="K156" s="21"/>
      <c r="L156" t="s">
        <v>4774</v>
      </c>
      <c r="M156" t="s">
        <v>97</v>
      </c>
      <c r="N156" t="s">
        <v>68</v>
      </c>
      <c r="O156">
        <v>1</v>
      </c>
      <c r="P156" t="s">
        <v>2332</v>
      </c>
      <c r="Q156" t="s">
        <v>4655</v>
      </c>
      <c r="R156" t="s">
        <v>4711</v>
      </c>
      <c r="S156" t="s">
        <v>4719</v>
      </c>
      <c r="T156">
        <f t="shared" si="4"/>
        <v>5</v>
      </c>
      <c r="U156" s="21">
        <f t="shared" si="5"/>
        <v>45298</v>
      </c>
    </row>
    <row r="157" spans="1:21" x14ac:dyDescent="0.35">
      <c r="A157" t="s">
        <v>4422</v>
      </c>
      <c r="B157" t="s">
        <v>4423</v>
      </c>
      <c r="C157" t="s">
        <v>19</v>
      </c>
      <c r="D157" t="s">
        <v>1006</v>
      </c>
      <c r="E157" s="1">
        <v>49.96</v>
      </c>
      <c r="F157" t="s">
        <v>995</v>
      </c>
      <c r="G157">
        <v>0</v>
      </c>
      <c r="H157" s="1">
        <v>0</v>
      </c>
      <c r="I157" s="21">
        <v>45292</v>
      </c>
      <c r="J157" s="21">
        <v>45297</v>
      </c>
      <c r="K157" s="21"/>
      <c r="L157" t="s">
        <v>4774</v>
      </c>
      <c r="M157" t="s">
        <v>25</v>
      </c>
      <c r="N157" t="s">
        <v>26</v>
      </c>
      <c r="O157">
        <v>1</v>
      </c>
      <c r="P157" t="s">
        <v>4424</v>
      </c>
      <c r="Q157" t="s">
        <v>4638</v>
      </c>
      <c r="R157" t="s">
        <v>4709</v>
      </c>
      <c r="S157" t="s">
        <v>4717</v>
      </c>
      <c r="T157">
        <f t="shared" si="4"/>
        <v>5</v>
      </c>
      <c r="U157" s="21">
        <f t="shared" si="5"/>
        <v>45297</v>
      </c>
    </row>
    <row r="158" spans="1:21" x14ac:dyDescent="0.35">
      <c r="A158" t="s">
        <v>2324</v>
      </c>
      <c r="B158" t="s">
        <v>2325</v>
      </c>
      <c r="C158" t="s">
        <v>19</v>
      </c>
      <c r="D158" t="s">
        <v>1006</v>
      </c>
      <c r="E158" s="1">
        <v>37.659999999999997</v>
      </c>
      <c r="F158" t="s">
        <v>995</v>
      </c>
      <c r="G158">
        <v>0</v>
      </c>
      <c r="H158" s="1">
        <v>0</v>
      </c>
      <c r="I158" s="21">
        <v>45292</v>
      </c>
      <c r="J158" s="21">
        <v>45294</v>
      </c>
      <c r="K158" s="21"/>
      <c r="L158" t="s">
        <v>4774</v>
      </c>
      <c r="M158" t="s">
        <v>72</v>
      </c>
      <c r="N158" t="s">
        <v>73</v>
      </c>
      <c r="O158">
        <v>1</v>
      </c>
      <c r="P158" t="s">
        <v>2326</v>
      </c>
      <c r="Q158" t="s">
        <v>4526</v>
      </c>
      <c r="R158" t="s">
        <v>4726</v>
      </c>
      <c r="S158" t="s">
        <v>4717</v>
      </c>
      <c r="T158">
        <f t="shared" si="4"/>
        <v>2</v>
      </c>
      <c r="U158" s="21">
        <f t="shared" si="5"/>
        <v>45294</v>
      </c>
    </row>
    <row r="159" spans="1:21" x14ac:dyDescent="0.35">
      <c r="A159" t="s">
        <v>4425</v>
      </c>
      <c r="B159" t="s">
        <v>4426</v>
      </c>
      <c r="C159" t="s">
        <v>19</v>
      </c>
      <c r="D159" t="s">
        <v>994</v>
      </c>
      <c r="E159" s="1">
        <v>263.88</v>
      </c>
      <c r="F159" t="s">
        <v>995</v>
      </c>
      <c r="G159">
        <v>15</v>
      </c>
      <c r="H159" s="1">
        <v>39.582000000000001</v>
      </c>
      <c r="I159" s="21">
        <v>45292</v>
      </c>
      <c r="J159" s="21">
        <v>45298</v>
      </c>
      <c r="K159" s="21"/>
      <c r="L159" t="s">
        <v>4774</v>
      </c>
      <c r="M159" t="s">
        <v>54</v>
      </c>
      <c r="N159" t="s">
        <v>26</v>
      </c>
      <c r="O159">
        <v>1</v>
      </c>
      <c r="P159" t="s">
        <v>4427</v>
      </c>
      <c r="Q159" t="s">
        <v>4531</v>
      </c>
      <c r="R159" t="s">
        <v>4726</v>
      </c>
      <c r="S159" t="s">
        <v>4717</v>
      </c>
      <c r="T159">
        <f t="shared" si="4"/>
        <v>6</v>
      </c>
      <c r="U159" s="21">
        <f t="shared" si="5"/>
        <v>45298</v>
      </c>
    </row>
    <row r="160" spans="1:21" x14ac:dyDescent="0.35">
      <c r="A160" t="s">
        <v>1111</v>
      </c>
      <c r="B160" t="s">
        <v>1112</v>
      </c>
      <c r="C160" t="s">
        <v>19</v>
      </c>
      <c r="D160" t="s">
        <v>1002</v>
      </c>
      <c r="E160" s="1">
        <v>24.84</v>
      </c>
      <c r="F160" t="s">
        <v>995</v>
      </c>
      <c r="G160">
        <v>40</v>
      </c>
      <c r="H160" s="1">
        <v>9.9359999999999999</v>
      </c>
      <c r="I160" s="21">
        <v>45291</v>
      </c>
      <c r="J160" s="21">
        <v>45293</v>
      </c>
      <c r="K160" s="21"/>
      <c r="L160" t="s">
        <v>4774</v>
      </c>
      <c r="M160" t="s">
        <v>72</v>
      </c>
      <c r="N160" t="s">
        <v>73</v>
      </c>
      <c r="O160">
        <v>1</v>
      </c>
      <c r="P160" t="s">
        <v>1113</v>
      </c>
      <c r="Q160" t="s">
        <v>4517</v>
      </c>
      <c r="R160" t="s">
        <v>4726</v>
      </c>
      <c r="S160" t="s">
        <v>4717</v>
      </c>
      <c r="T160">
        <f t="shared" si="4"/>
        <v>2</v>
      </c>
      <c r="U160" s="21">
        <f t="shared" si="5"/>
        <v>45293</v>
      </c>
    </row>
    <row r="161" spans="1:21" x14ac:dyDescent="0.35">
      <c r="A161" t="s">
        <v>1114</v>
      </c>
      <c r="B161" t="s">
        <v>1115</v>
      </c>
      <c r="C161" t="s">
        <v>30</v>
      </c>
      <c r="D161" t="s">
        <v>1006</v>
      </c>
      <c r="E161" s="1">
        <v>9.4600000000000009</v>
      </c>
      <c r="F161" t="s">
        <v>995</v>
      </c>
      <c r="G161">
        <v>0</v>
      </c>
      <c r="H161" s="1">
        <v>0</v>
      </c>
      <c r="I161" s="21">
        <v>45291</v>
      </c>
      <c r="J161" s="21">
        <v>45296</v>
      </c>
      <c r="K161" s="21"/>
      <c r="L161" t="s">
        <v>4774</v>
      </c>
      <c r="M161" t="s">
        <v>54</v>
      </c>
      <c r="N161" t="s">
        <v>26</v>
      </c>
      <c r="O161">
        <v>1</v>
      </c>
      <c r="P161" t="s">
        <v>1116</v>
      </c>
      <c r="Q161" t="s">
        <v>4555</v>
      </c>
      <c r="R161" t="s">
        <v>4721</v>
      </c>
      <c r="S161" t="s">
        <v>4718</v>
      </c>
      <c r="T161">
        <f t="shared" si="4"/>
        <v>5</v>
      </c>
      <c r="U161" s="21">
        <f t="shared" si="5"/>
        <v>45296</v>
      </c>
    </row>
    <row r="162" spans="1:21" x14ac:dyDescent="0.35">
      <c r="A162" t="s">
        <v>1117</v>
      </c>
      <c r="B162" t="s">
        <v>1118</v>
      </c>
      <c r="C162" t="s">
        <v>30</v>
      </c>
      <c r="D162" t="s">
        <v>1006</v>
      </c>
      <c r="E162" s="1">
        <v>87.92</v>
      </c>
      <c r="F162" t="s">
        <v>995</v>
      </c>
      <c r="G162">
        <v>0</v>
      </c>
      <c r="H162" s="1">
        <v>0</v>
      </c>
      <c r="I162" s="21">
        <v>45291</v>
      </c>
      <c r="J162" s="21">
        <v>45294</v>
      </c>
      <c r="K162" s="21"/>
      <c r="L162" t="s">
        <v>4774</v>
      </c>
      <c r="M162" t="s">
        <v>72</v>
      </c>
      <c r="N162" t="s">
        <v>73</v>
      </c>
      <c r="O162">
        <v>1</v>
      </c>
      <c r="P162" t="s">
        <v>1119</v>
      </c>
      <c r="Q162" t="s">
        <v>4530</v>
      </c>
      <c r="R162" t="s">
        <v>4726</v>
      </c>
      <c r="S162" t="s">
        <v>4717</v>
      </c>
      <c r="T162">
        <f t="shared" si="4"/>
        <v>3</v>
      </c>
      <c r="U162" s="21">
        <f t="shared" si="5"/>
        <v>45294</v>
      </c>
    </row>
    <row r="163" spans="1:21" x14ac:dyDescent="0.35">
      <c r="A163" t="s">
        <v>2321</v>
      </c>
      <c r="B163" t="s">
        <v>2322</v>
      </c>
      <c r="C163" t="s">
        <v>30</v>
      </c>
      <c r="D163" t="s">
        <v>1006</v>
      </c>
      <c r="E163" s="1">
        <v>11.648</v>
      </c>
      <c r="F163" t="s">
        <v>995</v>
      </c>
      <c r="G163">
        <v>0</v>
      </c>
      <c r="H163" s="1">
        <v>0</v>
      </c>
      <c r="I163" s="21">
        <v>45291</v>
      </c>
      <c r="J163" s="21">
        <v>45293</v>
      </c>
      <c r="K163" s="21"/>
      <c r="L163" t="s">
        <v>4774</v>
      </c>
      <c r="M163" t="s">
        <v>82</v>
      </c>
      <c r="N163" t="s">
        <v>47</v>
      </c>
      <c r="O163">
        <v>1</v>
      </c>
      <c r="P163" t="s">
        <v>2323</v>
      </c>
      <c r="Q163" t="s">
        <v>4729</v>
      </c>
      <c r="R163" t="s">
        <v>4721</v>
      </c>
      <c r="S163" t="s">
        <v>4717</v>
      </c>
      <c r="T163">
        <f t="shared" si="4"/>
        <v>2</v>
      </c>
      <c r="U163" s="21">
        <f t="shared" si="5"/>
        <v>45293</v>
      </c>
    </row>
    <row r="164" spans="1:21" x14ac:dyDescent="0.35">
      <c r="A164" t="s">
        <v>2318</v>
      </c>
      <c r="B164" t="s">
        <v>2319</v>
      </c>
      <c r="C164" t="s">
        <v>19</v>
      </c>
      <c r="D164" t="s">
        <v>994</v>
      </c>
      <c r="E164" s="1">
        <v>6.6719999999999997</v>
      </c>
      <c r="F164" t="s">
        <v>995</v>
      </c>
      <c r="G164">
        <v>40</v>
      </c>
      <c r="H164" s="1">
        <v>2.6688000000000001</v>
      </c>
      <c r="I164" s="21">
        <v>45290</v>
      </c>
      <c r="J164" s="21">
        <v>45294</v>
      </c>
      <c r="K164" s="21"/>
      <c r="L164" t="s">
        <v>4774</v>
      </c>
      <c r="M164" t="s">
        <v>82</v>
      </c>
      <c r="N164" t="s">
        <v>47</v>
      </c>
      <c r="O164">
        <v>1</v>
      </c>
      <c r="P164" t="s">
        <v>2320</v>
      </c>
      <c r="Q164" t="s">
        <v>4546</v>
      </c>
      <c r="R164" t="s">
        <v>4726</v>
      </c>
      <c r="S164" t="s">
        <v>4717</v>
      </c>
      <c r="T164">
        <f t="shared" si="4"/>
        <v>4</v>
      </c>
      <c r="U164" s="21">
        <f t="shared" si="5"/>
        <v>45294</v>
      </c>
    </row>
    <row r="165" spans="1:21" x14ac:dyDescent="0.35">
      <c r="A165" t="s">
        <v>1108</v>
      </c>
      <c r="B165" t="s">
        <v>1109</v>
      </c>
      <c r="C165" t="s">
        <v>19</v>
      </c>
      <c r="D165" t="s">
        <v>994</v>
      </c>
      <c r="E165" s="1">
        <v>145.85</v>
      </c>
      <c r="F165" t="s">
        <v>995</v>
      </c>
      <c r="G165">
        <v>15</v>
      </c>
      <c r="H165" s="1">
        <v>21.877499999999998</v>
      </c>
      <c r="I165" s="21">
        <v>45290</v>
      </c>
      <c r="J165" s="21">
        <v>45294</v>
      </c>
      <c r="K165" s="21"/>
      <c r="L165" t="s">
        <v>4774</v>
      </c>
      <c r="M165" t="s">
        <v>146</v>
      </c>
      <c r="N165" t="s">
        <v>73</v>
      </c>
      <c r="O165">
        <v>1</v>
      </c>
      <c r="P165" t="s">
        <v>1110</v>
      </c>
      <c r="Q165" t="s">
        <v>4729</v>
      </c>
      <c r="R165" t="s">
        <v>4726</v>
      </c>
      <c r="S165" t="s">
        <v>4717</v>
      </c>
      <c r="T165">
        <f t="shared" si="4"/>
        <v>4</v>
      </c>
      <c r="U165" s="21">
        <f t="shared" si="5"/>
        <v>45294</v>
      </c>
    </row>
    <row r="166" spans="1:21" x14ac:dyDescent="0.35">
      <c r="A166" t="s">
        <v>4419</v>
      </c>
      <c r="B166" t="s">
        <v>4420</v>
      </c>
      <c r="C166" t="s">
        <v>19</v>
      </c>
      <c r="D166" t="s">
        <v>1006</v>
      </c>
      <c r="E166" s="1">
        <v>39.984000000000002</v>
      </c>
      <c r="F166" t="s">
        <v>995</v>
      </c>
      <c r="G166">
        <v>0</v>
      </c>
      <c r="H166" s="1">
        <v>0</v>
      </c>
      <c r="I166" s="21">
        <v>45290</v>
      </c>
      <c r="J166" s="21">
        <v>45292</v>
      </c>
      <c r="K166" s="21"/>
      <c r="L166" t="s">
        <v>4774</v>
      </c>
      <c r="M166" t="s">
        <v>146</v>
      </c>
      <c r="N166" t="s">
        <v>73</v>
      </c>
      <c r="O166">
        <v>1</v>
      </c>
      <c r="P166" t="s">
        <v>4421</v>
      </c>
      <c r="Q166" t="s">
        <v>4513</v>
      </c>
      <c r="R166" t="s">
        <v>4713</v>
      </c>
      <c r="S166" t="s">
        <v>4719</v>
      </c>
      <c r="T166">
        <f t="shared" si="4"/>
        <v>2</v>
      </c>
      <c r="U166" s="21">
        <f t="shared" si="5"/>
        <v>45292</v>
      </c>
    </row>
    <row r="167" spans="1:21" x14ac:dyDescent="0.35">
      <c r="A167" t="s">
        <v>2315</v>
      </c>
      <c r="B167" t="s">
        <v>2316</v>
      </c>
      <c r="C167" t="s">
        <v>19</v>
      </c>
      <c r="D167" t="s">
        <v>1002</v>
      </c>
      <c r="E167" s="1">
        <v>5.88</v>
      </c>
      <c r="F167" t="s">
        <v>995</v>
      </c>
      <c r="G167">
        <v>40</v>
      </c>
      <c r="H167" s="1">
        <v>2.3519999999999999</v>
      </c>
      <c r="I167" s="21">
        <v>45290</v>
      </c>
      <c r="J167" s="21">
        <v>45291</v>
      </c>
      <c r="K167" s="21"/>
      <c r="L167" t="s">
        <v>4774</v>
      </c>
      <c r="M167" t="s">
        <v>54</v>
      </c>
      <c r="N167" t="s">
        <v>26</v>
      </c>
      <c r="O167">
        <v>1</v>
      </c>
      <c r="P167" t="s">
        <v>2317</v>
      </c>
      <c r="Q167" t="s">
        <v>4520</v>
      </c>
      <c r="R167" t="s">
        <v>4726</v>
      </c>
      <c r="S167" t="s">
        <v>4717</v>
      </c>
      <c r="T167">
        <f t="shared" si="4"/>
        <v>1</v>
      </c>
      <c r="U167" s="21">
        <f t="shared" si="5"/>
        <v>45291</v>
      </c>
    </row>
    <row r="168" spans="1:21" x14ac:dyDescent="0.35">
      <c r="A168" t="s">
        <v>3461</v>
      </c>
      <c r="B168" t="s">
        <v>3462</v>
      </c>
      <c r="C168" t="s">
        <v>19</v>
      </c>
      <c r="D168" t="s">
        <v>1006</v>
      </c>
      <c r="E168" s="1">
        <v>36</v>
      </c>
      <c r="F168" t="s">
        <v>995</v>
      </c>
      <c r="G168">
        <v>0</v>
      </c>
      <c r="H168" s="1">
        <v>0</v>
      </c>
      <c r="I168" s="21">
        <v>45288</v>
      </c>
      <c r="J168" s="21">
        <v>45292</v>
      </c>
      <c r="K168" s="21"/>
      <c r="L168" t="s">
        <v>4774</v>
      </c>
      <c r="M168" t="s">
        <v>25</v>
      </c>
      <c r="N168" t="s">
        <v>26</v>
      </c>
      <c r="O168">
        <v>1</v>
      </c>
      <c r="P168" t="s">
        <v>3463</v>
      </c>
      <c r="Q168" t="s">
        <v>4779</v>
      </c>
      <c r="R168" t="s">
        <v>4713</v>
      </c>
      <c r="S168" t="s">
        <v>4719</v>
      </c>
      <c r="T168">
        <f t="shared" si="4"/>
        <v>4</v>
      </c>
      <c r="U168" s="21">
        <f t="shared" si="5"/>
        <v>45292</v>
      </c>
    </row>
    <row r="169" spans="1:21" x14ac:dyDescent="0.35">
      <c r="A169" t="s">
        <v>2312</v>
      </c>
      <c r="B169" t="s">
        <v>2313</v>
      </c>
      <c r="C169" t="s">
        <v>19</v>
      </c>
      <c r="D169" t="s">
        <v>994</v>
      </c>
      <c r="E169" s="1">
        <v>1665.62</v>
      </c>
      <c r="F169" t="s">
        <v>995</v>
      </c>
      <c r="G169">
        <v>40</v>
      </c>
      <c r="H169" s="1">
        <v>666.24800000000005</v>
      </c>
      <c r="I169" s="21">
        <v>45288</v>
      </c>
      <c r="J169" s="21">
        <v>45292</v>
      </c>
      <c r="K169" s="21"/>
      <c r="L169" t="s">
        <v>4774</v>
      </c>
      <c r="M169" t="s">
        <v>146</v>
      </c>
      <c r="N169" t="s">
        <v>73</v>
      </c>
      <c r="O169">
        <v>1</v>
      </c>
      <c r="P169" t="s">
        <v>2314</v>
      </c>
      <c r="Q169" t="s">
        <v>4654</v>
      </c>
      <c r="R169" t="s">
        <v>4726</v>
      </c>
      <c r="S169" t="s">
        <v>4717</v>
      </c>
      <c r="T169">
        <f t="shared" si="4"/>
        <v>4</v>
      </c>
      <c r="U169" s="21">
        <f t="shared" si="5"/>
        <v>45292</v>
      </c>
    </row>
    <row r="170" spans="1:21" x14ac:dyDescent="0.35">
      <c r="A170" t="s">
        <v>2309</v>
      </c>
      <c r="B170" t="s">
        <v>2310</v>
      </c>
      <c r="C170" t="s">
        <v>19</v>
      </c>
      <c r="D170" t="s">
        <v>994</v>
      </c>
      <c r="E170" s="1">
        <v>15.58</v>
      </c>
      <c r="F170" t="s">
        <v>995</v>
      </c>
      <c r="G170">
        <v>40</v>
      </c>
      <c r="H170" s="1">
        <v>6.2320000000000002</v>
      </c>
      <c r="I170" s="21">
        <v>45288</v>
      </c>
      <c r="J170" s="21">
        <v>45291</v>
      </c>
      <c r="K170" s="21"/>
      <c r="L170" t="s">
        <v>4774</v>
      </c>
      <c r="M170" t="s">
        <v>33</v>
      </c>
      <c r="N170" t="s">
        <v>34</v>
      </c>
      <c r="O170">
        <v>1</v>
      </c>
      <c r="P170" t="s">
        <v>2311</v>
      </c>
      <c r="Q170" t="s">
        <v>4729</v>
      </c>
      <c r="R170" t="s">
        <v>4721</v>
      </c>
      <c r="S170" t="s">
        <v>4717</v>
      </c>
      <c r="T170">
        <f t="shared" si="4"/>
        <v>3</v>
      </c>
      <c r="U170" s="21">
        <f t="shared" si="5"/>
        <v>45291</v>
      </c>
    </row>
    <row r="171" spans="1:21" x14ac:dyDescent="0.35">
      <c r="A171" t="s">
        <v>4417</v>
      </c>
      <c r="B171" t="s">
        <v>4418</v>
      </c>
      <c r="C171" t="s">
        <v>19</v>
      </c>
      <c r="D171" t="s">
        <v>1002</v>
      </c>
      <c r="E171" s="1">
        <v>42.76</v>
      </c>
      <c r="F171" t="s">
        <v>995</v>
      </c>
      <c r="G171">
        <v>40</v>
      </c>
      <c r="H171" s="1">
        <v>17.103999999999999</v>
      </c>
      <c r="I171" s="21">
        <v>45288</v>
      </c>
      <c r="J171" s="21">
        <v>45294</v>
      </c>
      <c r="K171" s="21"/>
      <c r="L171" t="s">
        <v>4774</v>
      </c>
      <c r="M171" t="s">
        <v>97</v>
      </c>
      <c r="N171" t="s">
        <v>68</v>
      </c>
      <c r="O171">
        <v>1</v>
      </c>
      <c r="P171" t="s">
        <v>417</v>
      </c>
      <c r="Q171" t="s">
        <v>4562</v>
      </c>
      <c r="R171" t="s">
        <v>4709</v>
      </c>
      <c r="S171" t="s">
        <v>4717</v>
      </c>
      <c r="T171">
        <f t="shared" si="4"/>
        <v>6</v>
      </c>
      <c r="U171" s="21">
        <f t="shared" si="5"/>
        <v>45294</v>
      </c>
    </row>
    <row r="172" spans="1:21" x14ac:dyDescent="0.35">
      <c r="A172" t="s">
        <v>1105</v>
      </c>
      <c r="B172" t="s">
        <v>1106</v>
      </c>
      <c r="C172" t="s">
        <v>30</v>
      </c>
      <c r="D172" t="s">
        <v>1002</v>
      </c>
      <c r="E172" s="1">
        <v>40.99</v>
      </c>
      <c r="F172" t="s">
        <v>995</v>
      </c>
      <c r="G172">
        <v>40</v>
      </c>
      <c r="H172" s="1">
        <v>16.396000000000001</v>
      </c>
      <c r="I172" s="21">
        <v>45288</v>
      </c>
      <c r="J172" s="21">
        <v>45291</v>
      </c>
      <c r="K172" s="21"/>
      <c r="L172" t="s">
        <v>4774</v>
      </c>
      <c r="M172" t="s">
        <v>40</v>
      </c>
      <c r="N172" t="s">
        <v>34</v>
      </c>
      <c r="O172">
        <v>1</v>
      </c>
      <c r="P172" t="s">
        <v>1107</v>
      </c>
      <c r="Q172" t="s">
        <v>4519</v>
      </c>
      <c r="R172" t="s">
        <v>4726</v>
      </c>
      <c r="S172" t="s">
        <v>4717</v>
      </c>
      <c r="T172">
        <f t="shared" si="4"/>
        <v>3</v>
      </c>
      <c r="U172" s="21">
        <f t="shared" si="5"/>
        <v>45291</v>
      </c>
    </row>
    <row r="173" spans="1:21" x14ac:dyDescent="0.35">
      <c r="A173" t="s">
        <v>4414</v>
      </c>
      <c r="B173" t="s">
        <v>4415</v>
      </c>
      <c r="C173" t="s">
        <v>30</v>
      </c>
      <c r="D173" t="s">
        <v>1006</v>
      </c>
      <c r="E173" s="1">
        <v>15.8</v>
      </c>
      <c r="F173" t="s">
        <v>995</v>
      </c>
      <c r="G173">
        <v>0</v>
      </c>
      <c r="H173" s="1">
        <v>0</v>
      </c>
      <c r="I173" s="21">
        <v>45287</v>
      </c>
      <c r="J173" s="21">
        <v>45291</v>
      </c>
      <c r="K173" s="21"/>
      <c r="L173" t="s">
        <v>4774</v>
      </c>
      <c r="M173" t="s">
        <v>72</v>
      </c>
      <c r="N173" t="s">
        <v>73</v>
      </c>
      <c r="O173">
        <v>1</v>
      </c>
      <c r="P173" t="s">
        <v>4416</v>
      </c>
      <c r="Q173" t="s">
        <v>4547</v>
      </c>
      <c r="R173" t="s">
        <v>4710</v>
      </c>
      <c r="S173" t="s">
        <v>4717</v>
      </c>
      <c r="T173">
        <f t="shared" si="4"/>
        <v>4</v>
      </c>
      <c r="U173" s="21">
        <f t="shared" si="5"/>
        <v>45291</v>
      </c>
    </row>
    <row r="174" spans="1:21" x14ac:dyDescent="0.35">
      <c r="A174" t="s">
        <v>1099</v>
      </c>
      <c r="B174" t="s">
        <v>1100</v>
      </c>
      <c r="C174" t="s">
        <v>30</v>
      </c>
      <c r="D174" t="s">
        <v>994</v>
      </c>
      <c r="E174" s="1">
        <v>40</v>
      </c>
      <c r="F174" t="s">
        <v>995</v>
      </c>
      <c r="G174">
        <v>40</v>
      </c>
      <c r="H174" s="1">
        <v>16</v>
      </c>
      <c r="I174" s="21">
        <v>45287</v>
      </c>
      <c r="J174" s="21">
        <v>45288</v>
      </c>
      <c r="K174" s="21"/>
      <c r="L174" t="s">
        <v>4774</v>
      </c>
      <c r="M174" t="s">
        <v>54</v>
      </c>
      <c r="N174" t="s">
        <v>26</v>
      </c>
      <c r="O174">
        <v>1</v>
      </c>
      <c r="P174" t="s">
        <v>1101</v>
      </c>
      <c r="Q174" t="s">
        <v>4729</v>
      </c>
      <c r="R174" t="s">
        <v>4713</v>
      </c>
      <c r="S174" t="s">
        <v>4719</v>
      </c>
      <c r="T174">
        <f t="shared" si="4"/>
        <v>1</v>
      </c>
      <c r="U174" s="21">
        <f t="shared" si="5"/>
        <v>45288</v>
      </c>
    </row>
    <row r="175" spans="1:21" x14ac:dyDescent="0.35">
      <c r="A175" t="s">
        <v>1102</v>
      </c>
      <c r="B175" t="s">
        <v>1103</v>
      </c>
      <c r="C175" t="s">
        <v>19</v>
      </c>
      <c r="D175" t="s">
        <v>1002</v>
      </c>
      <c r="E175" s="1">
        <v>45.887999999999998</v>
      </c>
      <c r="F175" t="s">
        <v>995</v>
      </c>
      <c r="G175">
        <v>40</v>
      </c>
      <c r="H175" s="1">
        <v>18.3552</v>
      </c>
      <c r="I175" s="21">
        <v>45287</v>
      </c>
      <c r="J175" s="21">
        <v>45294</v>
      </c>
      <c r="K175" s="21"/>
      <c r="L175" t="s">
        <v>4774</v>
      </c>
      <c r="M175" t="s">
        <v>25</v>
      </c>
      <c r="N175" t="s">
        <v>26</v>
      </c>
      <c r="O175">
        <v>1</v>
      </c>
      <c r="P175" t="s">
        <v>1104</v>
      </c>
      <c r="Q175" t="s">
        <v>4529</v>
      </c>
      <c r="R175" t="s">
        <v>4721</v>
      </c>
      <c r="S175" t="s">
        <v>4717</v>
      </c>
      <c r="T175">
        <f t="shared" si="4"/>
        <v>7</v>
      </c>
      <c r="U175" s="21">
        <f t="shared" si="5"/>
        <v>45294</v>
      </c>
    </row>
    <row r="176" spans="1:21" x14ac:dyDescent="0.35">
      <c r="A176" t="s">
        <v>1097</v>
      </c>
      <c r="B176" t="s">
        <v>1098</v>
      </c>
      <c r="C176" t="s">
        <v>30</v>
      </c>
      <c r="D176" t="s">
        <v>1006</v>
      </c>
      <c r="E176" s="1">
        <v>18.936</v>
      </c>
      <c r="F176" t="s">
        <v>995</v>
      </c>
      <c r="G176">
        <v>0</v>
      </c>
      <c r="H176" s="1">
        <v>0</v>
      </c>
      <c r="I176" s="21">
        <v>45287</v>
      </c>
      <c r="J176" s="21">
        <v>45291</v>
      </c>
      <c r="K176" s="21"/>
      <c r="L176" t="s">
        <v>4774</v>
      </c>
      <c r="M176" t="s">
        <v>72</v>
      </c>
      <c r="N176" t="s">
        <v>73</v>
      </c>
      <c r="O176">
        <v>1</v>
      </c>
      <c r="P176" t="s">
        <v>196</v>
      </c>
      <c r="Q176" t="s">
        <v>4729</v>
      </c>
      <c r="R176" t="s">
        <v>4726</v>
      </c>
      <c r="S176" t="s">
        <v>4717</v>
      </c>
      <c r="T176">
        <f t="shared" si="4"/>
        <v>4</v>
      </c>
      <c r="U176" s="21">
        <f t="shared" si="5"/>
        <v>45291</v>
      </c>
    </row>
    <row r="177" spans="1:21" x14ac:dyDescent="0.35">
      <c r="A177" t="s">
        <v>3458</v>
      </c>
      <c r="B177" t="s">
        <v>3459</v>
      </c>
      <c r="C177" t="s">
        <v>19</v>
      </c>
      <c r="D177" t="s">
        <v>994</v>
      </c>
      <c r="E177" s="1">
        <v>55.36</v>
      </c>
      <c r="F177" t="s">
        <v>995</v>
      </c>
      <c r="G177">
        <v>40</v>
      </c>
      <c r="H177" s="1">
        <v>22.144000000000002</v>
      </c>
      <c r="I177" s="21">
        <v>45287</v>
      </c>
      <c r="J177" s="21">
        <v>45292</v>
      </c>
      <c r="K177" s="21"/>
      <c r="L177" t="s">
        <v>4774</v>
      </c>
      <c r="M177" t="s">
        <v>97</v>
      </c>
      <c r="N177" t="s">
        <v>68</v>
      </c>
      <c r="O177">
        <v>1</v>
      </c>
      <c r="P177" t="s">
        <v>3460</v>
      </c>
      <c r="Q177" t="s">
        <v>4729</v>
      </c>
      <c r="R177" t="s">
        <v>4726</v>
      </c>
      <c r="S177" t="s">
        <v>4717</v>
      </c>
      <c r="T177">
        <f t="shared" si="4"/>
        <v>5</v>
      </c>
      <c r="U177" s="21">
        <f t="shared" si="5"/>
        <v>45292</v>
      </c>
    </row>
    <row r="178" spans="1:21" x14ac:dyDescent="0.35">
      <c r="A178" t="s">
        <v>1095</v>
      </c>
      <c r="B178" t="s">
        <v>1096</v>
      </c>
      <c r="C178" t="s">
        <v>19</v>
      </c>
      <c r="D178" t="s">
        <v>1002</v>
      </c>
      <c r="E178" s="1">
        <v>171.28800000000001</v>
      </c>
      <c r="F178" t="s">
        <v>995</v>
      </c>
      <c r="G178">
        <v>40</v>
      </c>
      <c r="H178" s="1">
        <v>68.515200000000007</v>
      </c>
      <c r="I178" s="21">
        <v>45286</v>
      </c>
      <c r="J178" s="21">
        <v>45289</v>
      </c>
      <c r="K178" s="21"/>
      <c r="L178" t="s">
        <v>4774</v>
      </c>
      <c r="M178" t="s">
        <v>82</v>
      </c>
      <c r="N178" t="s">
        <v>47</v>
      </c>
      <c r="O178">
        <v>1</v>
      </c>
      <c r="P178" t="s">
        <v>174</v>
      </c>
      <c r="Q178" t="s">
        <v>4534</v>
      </c>
      <c r="R178" t="s">
        <v>4712</v>
      </c>
      <c r="S178" t="s">
        <v>4718</v>
      </c>
      <c r="T178">
        <f t="shared" si="4"/>
        <v>3</v>
      </c>
      <c r="U178" s="21">
        <f t="shared" si="5"/>
        <v>45289</v>
      </c>
    </row>
    <row r="179" spans="1:21" x14ac:dyDescent="0.35">
      <c r="A179" t="s">
        <v>3452</v>
      </c>
      <c r="B179" t="s">
        <v>3453</v>
      </c>
      <c r="C179" t="s">
        <v>30</v>
      </c>
      <c r="D179" t="s">
        <v>1002</v>
      </c>
      <c r="E179" s="1">
        <v>65.989999999999995</v>
      </c>
      <c r="F179" t="s">
        <v>995</v>
      </c>
      <c r="G179">
        <v>40</v>
      </c>
      <c r="H179" s="1">
        <v>26.396000000000001</v>
      </c>
      <c r="I179" s="21">
        <v>45286</v>
      </c>
      <c r="J179" s="21">
        <v>45292</v>
      </c>
      <c r="K179" s="21"/>
      <c r="L179" t="s">
        <v>4774</v>
      </c>
      <c r="M179" t="s">
        <v>146</v>
      </c>
      <c r="N179" t="s">
        <v>73</v>
      </c>
      <c r="O179">
        <v>1</v>
      </c>
      <c r="P179" t="s">
        <v>3454</v>
      </c>
      <c r="Q179" t="s">
        <v>4552</v>
      </c>
      <c r="R179" t="s">
        <v>4721</v>
      </c>
      <c r="S179" t="s">
        <v>4717</v>
      </c>
      <c r="T179">
        <f t="shared" si="4"/>
        <v>6</v>
      </c>
      <c r="U179" s="21">
        <f t="shared" si="5"/>
        <v>45292</v>
      </c>
    </row>
    <row r="180" spans="1:21" x14ac:dyDescent="0.35">
      <c r="A180" t="s">
        <v>3455</v>
      </c>
      <c r="B180" t="s">
        <v>3456</v>
      </c>
      <c r="C180" t="s">
        <v>30</v>
      </c>
      <c r="D180" t="s">
        <v>21</v>
      </c>
      <c r="E180" s="1">
        <v>2875.5439999999999</v>
      </c>
      <c r="F180" t="s">
        <v>22</v>
      </c>
      <c r="G180">
        <v>0</v>
      </c>
      <c r="H180" s="1">
        <v>0</v>
      </c>
      <c r="I180" s="21">
        <v>45286</v>
      </c>
      <c r="J180" s="21">
        <v>45289</v>
      </c>
      <c r="K180" s="21">
        <v>45289</v>
      </c>
      <c r="L180" t="s">
        <v>24</v>
      </c>
      <c r="M180" t="s">
        <v>72</v>
      </c>
      <c r="N180" t="s">
        <v>73</v>
      </c>
      <c r="O180">
        <v>1</v>
      </c>
      <c r="P180" t="s">
        <v>3457</v>
      </c>
      <c r="Q180" t="s">
        <v>4565</v>
      </c>
      <c r="R180" t="s">
        <v>4711</v>
      </c>
      <c r="S180" t="s">
        <v>4719</v>
      </c>
      <c r="T180">
        <f t="shared" si="4"/>
        <v>3</v>
      </c>
      <c r="U180" s="21">
        <f t="shared" si="5"/>
        <v>45289</v>
      </c>
    </row>
    <row r="181" spans="1:21" x14ac:dyDescent="0.35">
      <c r="A181" t="s">
        <v>1092</v>
      </c>
      <c r="B181" t="s">
        <v>1093</v>
      </c>
      <c r="C181" t="s">
        <v>19</v>
      </c>
      <c r="D181" t="s">
        <v>994</v>
      </c>
      <c r="E181" s="1">
        <v>11.76</v>
      </c>
      <c r="F181" t="s">
        <v>995</v>
      </c>
      <c r="G181">
        <v>40</v>
      </c>
      <c r="H181" s="1">
        <v>4.7039999999999997</v>
      </c>
      <c r="I181" s="21">
        <v>45286</v>
      </c>
      <c r="J181" s="21">
        <v>45293</v>
      </c>
      <c r="K181" s="21"/>
      <c r="L181" t="s">
        <v>4774</v>
      </c>
      <c r="M181" t="s">
        <v>46</v>
      </c>
      <c r="N181" t="s">
        <v>47</v>
      </c>
      <c r="O181">
        <v>1</v>
      </c>
      <c r="P181" t="s">
        <v>1094</v>
      </c>
      <c r="Q181" t="s">
        <v>4729</v>
      </c>
      <c r="R181" t="s">
        <v>4726</v>
      </c>
      <c r="S181" t="s">
        <v>4717</v>
      </c>
      <c r="T181">
        <f t="shared" si="4"/>
        <v>7</v>
      </c>
      <c r="U181" s="21">
        <f t="shared" si="5"/>
        <v>45293</v>
      </c>
    </row>
    <row r="182" spans="1:21" x14ac:dyDescent="0.35">
      <c r="A182" t="s">
        <v>2307</v>
      </c>
      <c r="B182" t="s">
        <v>2308</v>
      </c>
      <c r="C182" t="s">
        <v>19</v>
      </c>
      <c r="D182" t="s">
        <v>994</v>
      </c>
      <c r="E182" s="1">
        <v>83.92</v>
      </c>
      <c r="F182" t="s">
        <v>995</v>
      </c>
      <c r="G182">
        <v>15</v>
      </c>
      <c r="H182" s="1">
        <v>12.587999999999999</v>
      </c>
      <c r="I182" s="21">
        <v>45285</v>
      </c>
      <c r="J182" s="21">
        <v>45288</v>
      </c>
      <c r="K182" s="21"/>
      <c r="L182" t="s">
        <v>4774</v>
      </c>
      <c r="M182" t="s">
        <v>33</v>
      </c>
      <c r="N182" t="s">
        <v>34</v>
      </c>
      <c r="O182">
        <v>1</v>
      </c>
      <c r="P182" t="s">
        <v>1545</v>
      </c>
      <c r="Q182" t="s">
        <v>4528</v>
      </c>
      <c r="R182" t="s">
        <v>4726</v>
      </c>
      <c r="S182" t="s">
        <v>4717</v>
      </c>
      <c r="T182">
        <f t="shared" si="4"/>
        <v>3</v>
      </c>
      <c r="U182" s="21">
        <f t="shared" si="5"/>
        <v>45288</v>
      </c>
    </row>
    <row r="183" spans="1:21" x14ac:dyDescent="0.35">
      <c r="A183" t="s">
        <v>2305</v>
      </c>
      <c r="B183" t="s">
        <v>2306</v>
      </c>
      <c r="C183" t="s">
        <v>30</v>
      </c>
      <c r="D183" t="s">
        <v>1006</v>
      </c>
      <c r="E183" s="1">
        <v>451.15199999999902</v>
      </c>
      <c r="F183" t="s">
        <v>995</v>
      </c>
      <c r="G183">
        <v>0</v>
      </c>
      <c r="H183" s="1">
        <v>0</v>
      </c>
      <c r="I183" s="21">
        <v>45285</v>
      </c>
      <c r="J183" s="21">
        <v>45289</v>
      </c>
      <c r="K183" s="21"/>
      <c r="L183" t="s">
        <v>4774</v>
      </c>
      <c r="M183" t="s">
        <v>72</v>
      </c>
      <c r="N183" t="s">
        <v>73</v>
      </c>
      <c r="O183">
        <v>1</v>
      </c>
      <c r="P183" t="s">
        <v>270</v>
      </c>
      <c r="Q183" t="s">
        <v>4729</v>
      </c>
      <c r="R183" t="s">
        <v>4714</v>
      </c>
      <c r="S183" t="s">
        <v>4718</v>
      </c>
      <c r="T183">
        <f t="shared" si="4"/>
        <v>4</v>
      </c>
      <c r="U183" s="21">
        <f t="shared" si="5"/>
        <v>45289</v>
      </c>
    </row>
    <row r="184" spans="1:21" x14ac:dyDescent="0.35">
      <c r="A184" t="s">
        <v>1089</v>
      </c>
      <c r="B184" t="s">
        <v>1090</v>
      </c>
      <c r="C184" t="s">
        <v>30</v>
      </c>
      <c r="D184" t="s">
        <v>994</v>
      </c>
      <c r="E184" s="1">
        <v>19.440000000000001</v>
      </c>
      <c r="F184" t="s">
        <v>995</v>
      </c>
      <c r="G184">
        <v>15</v>
      </c>
      <c r="H184" s="1">
        <v>2.9159999999999999</v>
      </c>
      <c r="I184" s="21">
        <v>45285</v>
      </c>
      <c r="J184" s="21">
        <v>45286</v>
      </c>
      <c r="K184" s="21"/>
      <c r="L184" t="s">
        <v>4774</v>
      </c>
      <c r="M184" t="s">
        <v>33</v>
      </c>
      <c r="N184" t="s">
        <v>34</v>
      </c>
      <c r="O184">
        <v>1</v>
      </c>
      <c r="P184" t="s">
        <v>1091</v>
      </c>
      <c r="Q184" t="s">
        <v>4519</v>
      </c>
      <c r="R184" t="s">
        <v>4726</v>
      </c>
      <c r="S184" t="s">
        <v>4717</v>
      </c>
      <c r="T184">
        <f t="shared" si="4"/>
        <v>1</v>
      </c>
      <c r="U184" s="21">
        <f t="shared" si="5"/>
        <v>45286</v>
      </c>
    </row>
    <row r="185" spans="1:21" x14ac:dyDescent="0.35">
      <c r="A185" t="s">
        <v>2297</v>
      </c>
      <c r="B185" t="s">
        <v>2298</v>
      </c>
      <c r="C185" t="s">
        <v>19</v>
      </c>
      <c r="D185" t="s">
        <v>1006</v>
      </c>
      <c r="E185" s="1">
        <v>290.33600000000001</v>
      </c>
      <c r="F185" t="s">
        <v>995</v>
      </c>
      <c r="G185">
        <v>0</v>
      </c>
      <c r="H185" s="1">
        <v>0</v>
      </c>
      <c r="I185" s="21">
        <v>45284</v>
      </c>
      <c r="J185" s="21">
        <v>45289</v>
      </c>
      <c r="K185" s="21"/>
      <c r="L185" t="s">
        <v>4774</v>
      </c>
      <c r="M185" t="s">
        <v>97</v>
      </c>
      <c r="N185" t="s">
        <v>68</v>
      </c>
      <c r="O185">
        <v>1</v>
      </c>
      <c r="P185" t="s">
        <v>2299</v>
      </c>
      <c r="Q185" t="s">
        <v>4729</v>
      </c>
      <c r="R185" t="s">
        <v>4709</v>
      </c>
      <c r="S185" t="s">
        <v>4717</v>
      </c>
      <c r="T185">
        <f t="shared" si="4"/>
        <v>5</v>
      </c>
      <c r="U185" s="21">
        <f t="shared" si="5"/>
        <v>45289</v>
      </c>
    </row>
    <row r="186" spans="1:21" x14ac:dyDescent="0.35">
      <c r="A186" t="s">
        <v>2303</v>
      </c>
      <c r="B186" t="s">
        <v>2304</v>
      </c>
      <c r="C186" t="s">
        <v>30</v>
      </c>
      <c r="D186" t="s">
        <v>994</v>
      </c>
      <c r="E186" s="1">
        <v>128.05799999999999</v>
      </c>
      <c r="F186" t="s">
        <v>995</v>
      </c>
      <c r="G186">
        <v>15</v>
      </c>
      <c r="H186" s="1">
        <v>19.208699999999997</v>
      </c>
      <c r="I186" s="21">
        <v>45284</v>
      </c>
      <c r="J186" s="21">
        <v>45290</v>
      </c>
      <c r="K186" s="21"/>
      <c r="L186" t="s">
        <v>4774</v>
      </c>
      <c r="M186" t="s">
        <v>33</v>
      </c>
      <c r="N186" t="s">
        <v>34</v>
      </c>
      <c r="O186">
        <v>1</v>
      </c>
      <c r="P186" t="s">
        <v>481</v>
      </c>
      <c r="Q186" t="s">
        <v>4567</v>
      </c>
      <c r="R186" t="s">
        <v>4714</v>
      </c>
      <c r="S186" t="s">
        <v>4718</v>
      </c>
      <c r="T186">
        <f t="shared" si="4"/>
        <v>6</v>
      </c>
      <c r="U186" s="21">
        <f t="shared" si="5"/>
        <v>45290</v>
      </c>
    </row>
    <row r="187" spans="1:21" x14ac:dyDescent="0.35">
      <c r="A187" t="s">
        <v>2300</v>
      </c>
      <c r="B187" t="s">
        <v>2301</v>
      </c>
      <c r="C187" t="s">
        <v>19</v>
      </c>
      <c r="D187" t="s">
        <v>1002</v>
      </c>
      <c r="E187" s="1">
        <v>104.75</v>
      </c>
      <c r="F187" t="s">
        <v>995</v>
      </c>
      <c r="G187">
        <v>40</v>
      </c>
      <c r="H187" s="1">
        <v>41.900000000000006</v>
      </c>
      <c r="I187" s="21">
        <v>45284</v>
      </c>
      <c r="J187" s="21">
        <v>45289</v>
      </c>
      <c r="K187" s="21"/>
      <c r="L187" t="s">
        <v>4774</v>
      </c>
      <c r="M187" t="s">
        <v>54</v>
      </c>
      <c r="N187" t="s">
        <v>26</v>
      </c>
      <c r="O187">
        <v>1</v>
      </c>
      <c r="P187" t="s">
        <v>2302</v>
      </c>
      <c r="Q187" t="s">
        <v>4571</v>
      </c>
      <c r="R187" t="s">
        <v>4713</v>
      </c>
      <c r="S187" t="s">
        <v>4719</v>
      </c>
      <c r="T187">
        <f t="shared" si="4"/>
        <v>5</v>
      </c>
      <c r="U187" s="21">
        <f t="shared" si="5"/>
        <v>45289</v>
      </c>
    </row>
    <row r="188" spans="1:21" x14ac:dyDescent="0.35">
      <c r="A188" t="s">
        <v>2295</v>
      </c>
      <c r="B188" t="s">
        <v>2296</v>
      </c>
      <c r="C188" t="s">
        <v>19</v>
      </c>
      <c r="D188" t="s">
        <v>994</v>
      </c>
      <c r="E188" s="1">
        <v>91.36</v>
      </c>
      <c r="F188" t="s">
        <v>995</v>
      </c>
      <c r="G188">
        <v>40</v>
      </c>
      <c r="H188" s="1">
        <v>36.544000000000004</v>
      </c>
      <c r="I188" s="21">
        <v>45284</v>
      </c>
      <c r="J188" s="21">
        <v>45285</v>
      </c>
      <c r="K188" s="21"/>
      <c r="L188" t="s">
        <v>4774</v>
      </c>
      <c r="M188" t="s">
        <v>54</v>
      </c>
      <c r="N188" t="s">
        <v>26</v>
      </c>
      <c r="O188">
        <v>1</v>
      </c>
      <c r="P188" t="s">
        <v>1496</v>
      </c>
      <c r="Q188" t="s">
        <v>4519</v>
      </c>
      <c r="R188" t="s">
        <v>4726</v>
      </c>
      <c r="S188" t="s">
        <v>4717</v>
      </c>
      <c r="T188">
        <f t="shared" si="4"/>
        <v>1</v>
      </c>
      <c r="U188" s="21">
        <f t="shared" si="5"/>
        <v>45285</v>
      </c>
    </row>
    <row r="189" spans="1:21" x14ac:dyDescent="0.35">
      <c r="A189" t="s">
        <v>1086</v>
      </c>
      <c r="B189" t="s">
        <v>1087</v>
      </c>
      <c r="C189" t="s">
        <v>19</v>
      </c>
      <c r="D189" t="s">
        <v>1006</v>
      </c>
      <c r="E189" s="1">
        <v>19.760000000000002</v>
      </c>
      <c r="F189" t="s">
        <v>995</v>
      </c>
      <c r="G189">
        <v>0</v>
      </c>
      <c r="H189" s="1">
        <v>0</v>
      </c>
      <c r="I189" s="21">
        <v>45283</v>
      </c>
      <c r="J189" s="21">
        <v>45287</v>
      </c>
      <c r="K189" s="21"/>
      <c r="L189" t="s">
        <v>4774</v>
      </c>
      <c r="M189" t="s">
        <v>25</v>
      </c>
      <c r="N189" t="s">
        <v>26</v>
      </c>
      <c r="O189">
        <v>1</v>
      </c>
      <c r="P189" t="s">
        <v>1088</v>
      </c>
      <c r="Q189" t="s">
        <v>4533</v>
      </c>
      <c r="R189" t="s">
        <v>4721</v>
      </c>
      <c r="S189" t="s">
        <v>4718</v>
      </c>
      <c r="T189">
        <f t="shared" si="4"/>
        <v>4</v>
      </c>
      <c r="U189" s="21">
        <f t="shared" si="5"/>
        <v>45287</v>
      </c>
    </row>
    <row r="190" spans="1:21" x14ac:dyDescent="0.35">
      <c r="A190" t="s">
        <v>2293</v>
      </c>
      <c r="B190" t="s">
        <v>2294</v>
      </c>
      <c r="C190" t="s">
        <v>19</v>
      </c>
      <c r="D190" t="s">
        <v>1002</v>
      </c>
      <c r="E190" s="1">
        <v>11.808</v>
      </c>
      <c r="F190" t="s">
        <v>995</v>
      </c>
      <c r="G190">
        <v>40</v>
      </c>
      <c r="H190" s="1">
        <v>4.7232000000000003</v>
      </c>
      <c r="I190" s="21">
        <v>45281</v>
      </c>
      <c r="J190" s="21">
        <v>45285</v>
      </c>
      <c r="K190" s="21"/>
      <c r="L190" t="s">
        <v>4774</v>
      </c>
      <c r="M190" t="s">
        <v>33</v>
      </c>
      <c r="N190" t="s">
        <v>34</v>
      </c>
      <c r="O190">
        <v>1</v>
      </c>
      <c r="P190" t="s">
        <v>991</v>
      </c>
      <c r="Q190" t="s">
        <v>4533</v>
      </c>
      <c r="R190" t="s">
        <v>4724</v>
      </c>
      <c r="S190" t="s">
        <v>4718</v>
      </c>
      <c r="T190">
        <f t="shared" si="4"/>
        <v>4</v>
      </c>
      <c r="U190" s="21">
        <f t="shared" si="5"/>
        <v>45285</v>
      </c>
    </row>
    <row r="191" spans="1:21" x14ac:dyDescent="0.35">
      <c r="A191" t="s">
        <v>4412</v>
      </c>
      <c r="B191" t="s">
        <v>4413</v>
      </c>
      <c r="C191" t="s">
        <v>19</v>
      </c>
      <c r="D191" t="s">
        <v>1006</v>
      </c>
      <c r="E191" s="1">
        <v>27.36</v>
      </c>
      <c r="F191" t="s">
        <v>995</v>
      </c>
      <c r="G191">
        <v>0</v>
      </c>
      <c r="H191" s="1">
        <v>0</v>
      </c>
      <c r="I191" s="21">
        <v>45281</v>
      </c>
      <c r="J191" s="21">
        <v>45284</v>
      </c>
      <c r="K191" s="21"/>
      <c r="L191" t="s">
        <v>4774</v>
      </c>
      <c r="M191" t="s">
        <v>46</v>
      </c>
      <c r="N191" t="s">
        <v>47</v>
      </c>
      <c r="O191">
        <v>1</v>
      </c>
      <c r="P191" t="s">
        <v>2864</v>
      </c>
      <c r="Q191" t="s">
        <v>4729</v>
      </c>
      <c r="R191" t="s">
        <v>4726</v>
      </c>
      <c r="S191" t="s">
        <v>4717</v>
      </c>
      <c r="T191">
        <f t="shared" si="4"/>
        <v>3</v>
      </c>
      <c r="U191" s="21">
        <f t="shared" si="5"/>
        <v>45284</v>
      </c>
    </row>
    <row r="192" spans="1:21" x14ac:dyDescent="0.35">
      <c r="A192" t="s">
        <v>3449</v>
      </c>
      <c r="B192" t="s">
        <v>3450</v>
      </c>
      <c r="C192" t="s">
        <v>19</v>
      </c>
      <c r="D192" t="s">
        <v>1002</v>
      </c>
      <c r="E192" s="1">
        <v>51.55</v>
      </c>
      <c r="F192" t="s">
        <v>995</v>
      </c>
      <c r="G192">
        <v>40</v>
      </c>
      <c r="H192" s="1">
        <v>20.62</v>
      </c>
      <c r="I192" s="21">
        <v>45280</v>
      </c>
      <c r="J192" s="21">
        <v>45282</v>
      </c>
      <c r="K192" s="21"/>
      <c r="L192" t="s">
        <v>4774</v>
      </c>
      <c r="M192" t="s">
        <v>97</v>
      </c>
      <c r="N192" t="s">
        <v>68</v>
      </c>
      <c r="O192">
        <v>1</v>
      </c>
      <c r="P192" t="s">
        <v>3451</v>
      </c>
      <c r="Q192" t="s">
        <v>4729</v>
      </c>
      <c r="R192" t="s">
        <v>4721</v>
      </c>
      <c r="S192" t="s">
        <v>4717</v>
      </c>
      <c r="T192">
        <f t="shared" si="4"/>
        <v>2</v>
      </c>
      <c r="U192" s="21">
        <f t="shared" si="5"/>
        <v>45282</v>
      </c>
    </row>
    <row r="193" spans="1:21" x14ac:dyDescent="0.35">
      <c r="A193" t="s">
        <v>3446</v>
      </c>
      <c r="B193" t="s">
        <v>3447</v>
      </c>
      <c r="C193" t="s">
        <v>19</v>
      </c>
      <c r="D193" t="s">
        <v>1006</v>
      </c>
      <c r="E193" s="1">
        <v>23.34</v>
      </c>
      <c r="F193" t="s">
        <v>995</v>
      </c>
      <c r="G193">
        <v>0</v>
      </c>
      <c r="H193" s="1">
        <v>0</v>
      </c>
      <c r="I193" s="21">
        <v>45280</v>
      </c>
      <c r="J193" s="21">
        <v>45285</v>
      </c>
      <c r="K193" s="21"/>
      <c r="L193" t="s">
        <v>4774</v>
      </c>
      <c r="M193" t="s">
        <v>46</v>
      </c>
      <c r="N193" t="s">
        <v>47</v>
      </c>
      <c r="O193">
        <v>1</v>
      </c>
      <c r="P193" t="s">
        <v>3448</v>
      </c>
      <c r="Q193" t="s">
        <v>4729</v>
      </c>
      <c r="R193" t="s">
        <v>4512</v>
      </c>
      <c r="S193" t="s">
        <v>4717</v>
      </c>
      <c r="T193">
        <f t="shared" si="4"/>
        <v>5</v>
      </c>
      <c r="U193" s="21">
        <f t="shared" si="5"/>
        <v>45285</v>
      </c>
    </row>
    <row r="194" spans="1:21" x14ac:dyDescent="0.35">
      <c r="A194" t="s">
        <v>4410</v>
      </c>
      <c r="B194" t="s">
        <v>4411</v>
      </c>
      <c r="C194" t="s">
        <v>19</v>
      </c>
      <c r="D194" t="s">
        <v>1006</v>
      </c>
      <c r="E194" s="1">
        <v>35</v>
      </c>
      <c r="F194" t="s">
        <v>995</v>
      </c>
      <c r="G194">
        <v>0</v>
      </c>
      <c r="H194" s="1">
        <v>0</v>
      </c>
      <c r="I194" s="21">
        <v>45279</v>
      </c>
      <c r="J194" s="21">
        <v>45282</v>
      </c>
      <c r="K194" s="21"/>
      <c r="L194" t="s">
        <v>4774</v>
      </c>
      <c r="M194" t="s">
        <v>67</v>
      </c>
      <c r="N194" t="s">
        <v>68</v>
      </c>
      <c r="O194">
        <v>1</v>
      </c>
      <c r="P194" t="s">
        <v>1406</v>
      </c>
      <c r="Q194" t="s">
        <v>4518</v>
      </c>
      <c r="R194" t="s">
        <v>4726</v>
      </c>
      <c r="S194" t="s">
        <v>4717</v>
      </c>
      <c r="T194">
        <f t="shared" ref="T194:T257" si="6">J194-I194</f>
        <v>3</v>
      </c>
      <c r="U194" s="21">
        <f t="shared" si="5"/>
        <v>45282</v>
      </c>
    </row>
    <row r="195" spans="1:21" x14ac:dyDescent="0.35">
      <c r="A195" t="s">
        <v>1083</v>
      </c>
      <c r="B195" t="s">
        <v>1084</v>
      </c>
      <c r="C195" t="s">
        <v>19</v>
      </c>
      <c r="D195" t="s">
        <v>1002</v>
      </c>
      <c r="E195" s="1">
        <v>243.92</v>
      </c>
      <c r="F195" t="s">
        <v>995</v>
      </c>
      <c r="G195">
        <v>40</v>
      </c>
      <c r="H195" s="1">
        <v>97.567999999999998</v>
      </c>
      <c r="I195" s="21">
        <v>45279</v>
      </c>
      <c r="J195" s="21">
        <v>45281</v>
      </c>
      <c r="K195" s="21"/>
      <c r="L195" t="s">
        <v>4774</v>
      </c>
      <c r="M195" t="s">
        <v>146</v>
      </c>
      <c r="N195" t="s">
        <v>73</v>
      </c>
      <c r="O195">
        <v>1</v>
      </c>
      <c r="P195" t="s">
        <v>1085</v>
      </c>
      <c r="Q195" t="s">
        <v>4577</v>
      </c>
      <c r="R195" t="s">
        <v>4709</v>
      </c>
      <c r="S195" t="s">
        <v>4718</v>
      </c>
      <c r="T195">
        <f t="shared" si="6"/>
        <v>2</v>
      </c>
      <c r="U195" s="21">
        <f t="shared" ref="U195:U258" si="7">J195</f>
        <v>45281</v>
      </c>
    </row>
    <row r="196" spans="1:21" x14ac:dyDescent="0.35">
      <c r="A196" t="s">
        <v>2286</v>
      </c>
      <c r="B196" t="s">
        <v>2287</v>
      </c>
      <c r="C196" t="s">
        <v>19</v>
      </c>
      <c r="D196" t="s">
        <v>1002</v>
      </c>
      <c r="E196" s="1">
        <v>108.608</v>
      </c>
      <c r="F196" t="s">
        <v>995</v>
      </c>
      <c r="G196">
        <v>40</v>
      </c>
      <c r="H196" s="1">
        <v>43.443200000000004</v>
      </c>
      <c r="I196" s="21">
        <v>45279</v>
      </c>
      <c r="J196" s="21">
        <v>45285</v>
      </c>
      <c r="K196" s="21"/>
      <c r="L196" t="s">
        <v>4774</v>
      </c>
      <c r="M196" t="s">
        <v>72</v>
      </c>
      <c r="N196" t="s">
        <v>73</v>
      </c>
      <c r="O196">
        <v>1</v>
      </c>
      <c r="P196" t="s">
        <v>2288</v>
      </c>
      <c r="Q196" t="s">
        <v>4729</v>
      </c>
      <c r="R196" t="s">
        <v>4714</v>
      </c>
      <c r="S196" t="s">
        <v>4718</v>
      </c>
      <c r="T196">
        <f t="shared" si="6"/>
        <v>6</v>
      </c>
      <c r="U196" s="21">
        <f t="shared" si="7"/>
        <v>45285</v>
      </c>
    </row>
    <row r="197" spans="1:21" x14ac:dyDescent="0.35">
      <c r="A197" t="s">
        <v>2291</v>
      </c>
      <c r="B197" t="s">
        <v>2292</v>
      </c>
      <c r="C197" t="s">
        <v>30</v>
      </c>
      <c r="D197" t="s">
        <v>994</v>
      </c>
      <c r="E197" s="1">
        <v>5.3460000000000001</v>
      </c>
      <c r="F197" t="s">
        <v>995</v>
      </c>
      <c r="G197">
        <v>40</v>
      </c>
      <c r="H197" s="1">
        <v>2.1384000000000003</v>
      </c>
      <c r="I197" s="21">
        <v>45279</v>
      </c>
      <c r="J197" s="21">
        <v>45283</v>
      </c>
      <c r="K197" s="21"/>
      <c r="L197" t="s">
        <v>4774</v>
      </c>
      <c r="M197" t="s">
        <v>46</v>
      </c>
      <c r="N197" t="s">
        <v>47</v>
      </c>
      <c r="O197">
        <v>1</v>
      </c>
      <c r="P197" t="s">
        <v>794</v>
      </c>
      <c r="Q197" t="s">
        <v>4729</v>
      </c>
      <c r="R197" t="s">
        <v>4726</v>
      </c>
      <c r="S197" t="s">
        <v>4717</v>
      </c>
      <c r="T197">
        <f t="shared" si="6"/>
        <v>4</v>
      </c>
      <c r="U197" s="21">
        <f t="shared" si="7"/>
        <v>45283</v>
      </c>
    </row>
    <row r="198" spans="1:21" x14ac:dyDescent="0.35">
      <c r="A198" t="s">
        <v>2289</v>
      </c>
      <c r="B198" t="s">
        <v>2290</v>
      </c>
      <c r="C198" t="s">
        <v>30</v>
      </c>
      <c r="D198" t="s">
        <v>21</v>
      </c>
      <c r="E198" s="1">
        <v>610.41799999999989</v>
      </c>
      <c r="F198" t="s">
        <v>22</v>
      </c>
      <c r="G198">
        <v>0</v>
      </c>
      <c r="H198" s="1">
        <v>0</v>
      </c>
      <c r="I198" s="21">
        <v>45279</v>
      </c>
      <c r="J198" s="21">
        <v>45282</v>
      </c>
      <c r="K198" s="21">
        <v>45282</v>
      </c>
      <c r="L198" t="s">
        <v>45</v>
      </c>
      <c r="M198" t="s">
        <v>40</v>
      </c>
      <c r="N198" t="s">
        <v>34</v>
      </c>
      <c r="O198">
        <v>1</v>
      </c>
      <c r="P198" t="s">
        <v>1385</v>
      </c>
      <c r="Q198" t="s">
        <v>4729</v>
      </c>
      <c r="R198" t="s">
        <v>4726</v>
      </c>
      <c r="S198" t="s">
        <v>4717</v>
      </c>
      <c r="T198">
        <f t="shared" si="6"/>
        <v>3</v>
      </c>
      <c r="U198" s="21">
        <f t="shared" si="7"/>
        <v>45282</v>
      </c>
    </row>
    <row r="199" spans="1:21" x14ac:dyDescent="0.35">
      <c r="A199" t="s">
        <v>4407</v>
      </c>
      <c r="B199" t="s">
        <v>4408</v>
      </c>
      <c r="C199" t="s">
        <v>30</v>
      </c>
      <c r="D199" t="s">
        <v>1002</v>
      </c>
      <c r="E199" s="1">
        <v>336.51</v>
      </c>
      <c r="F199" t="s">
        <v>995</v>
      </c>
      <c r="G199">
        <v>40</v>
      </c>
      <c r="H199" s="1">
        <v>134.60400000000001</v>
      </c>
      <c r="I199" s="21">
        <v>45279</v>
      </c>
      <c r="J199" s="21">
        <v>45281</v>
      </c>
      <c r="K199" s="21"/>
      <c r="L199" t="s">
        <v>4774</v>
      </c>
      <c r="M199" t="s">
        <v>82</v>
      </c>
      <c r="N199" t="s">
        <v>47</v>
      </c>
      <c r="O199">
        <v>1</v>
      </c>
      <c r="P199" t="s">
        <v>4409</v>
      </c>
      <c r="Q199" t="s">
        <v>4729</v>
      </c>
      <c r="R199" t="s">
        <v>4713</v>
      </c>
      <c r="S199" t="s">
        <v>4719</v>
      </c>
      <c r="T199">
        <f t="shared" si="6"/>
        <v>2</v>
      </c>
      <c r="U199" s="21">
        <f t="shared" si="7"/>
        <v>45281</v>
      </c>
    </row>
    <row r="200" spans="1:21" x14ac:dyDescent="0.35">
      <c r="A200" t="s">
        <v>3441</v>
      </c>
      <c r="B200" t="s">
        <v>3442</v>
      </c>
      <c r="C200" t="s">
        <v>19</v>
      </c>
      <c r="D200" t="s">
        <v>1002</v>
      </c>
      <c r="E200" s="1">
        <v>20.7</v>
      </c>
      <c r="F200" t="s">
        <v>995</v>
      </c>
      <c r="G200">
        <v>40</v>
      </c>
      <c r="H200" s="1">
        <v>8.2799999999999994</v>
      </c>
      <c r="I200" s="21">
        <v>45278</v>
      </c>
      <c r="J200" s="21">
        <v>45282</v>
      </c>
      <c r="K200" s="21"/>
      <c r="L200" t="s">
        <v>4774</v>
      </c>
      <c r="M200" t="s">
        <v>25</v>
      </c>
      <c r="N200" t="s">
        <v>26</v>
      </c>
      <c r="O200">
        <v>1</v>
      </c>
      <c r="P200" t="s">
        <v>3443</v>
      </c>
      <c r="Q200" t="s">
        <v>4517</v>
      </c>
      <c r="R200" t="s">
        <v>4726</v>
      </c>
      <c r="S200" t="s">
        <v>4717</v>
      </c>
      <c r="T200">
        <f t="shared" si="6"/>
        <v>4</v>
      </c>
      <c r="U200" s="21">
        <f t="shared" si="7"/>
        <v>45282</v>
      </c>
    </row>
    <row r="201" spans="1:21" x14ac:dyDescent="0.35">
      <c r="A201" t="s">
        <v>1081</v>
      </c>
      <c r="B201" t="s">
        <v>1082</v>
      </c>
      <c r="C201" t="s">
        <v>19</v>
      </c>
      <c r="D201" t="s">
        <v>994</v>
      </c>
      <c r="E201" s="1">
        <v>842.94</v>
      </c>
      <c r="F201" t="s">
        <v>995</v>
      </c>
      <c r="G201">
        <v>40</v>
      </c>
      <c r="H201" s="1">
        <v>337.17600000000004</v>
      </c>
      <c r="I201" s="21">
        <v>45278</v>
      </c>
      <c r="J201" s="21">
        <v>45282</v>
      </c>
      <c r="K201" s="21"/>
      <c r="L201" t="s">
        <v>4774</v>
      </c>
      <c r="M201" t="s">
        <v>67</v>
      </c>
      <c r="N201" t="s">
        <v>68</v>
      </c>
      <c r="O201">
        <v>1</v>
      </c>
      <c r="P201" t="s">
        <v>664</v>
      </c>
      <c r="Q201" t="s">
        <v>4567</v>
      </c>
      <c r="R201" t="s">
        <v>4712</v>
      </c>
      <c r="S201" t="s">
        <v>4718</v>
      </c>
      <c r="T201">
        <f t="shared" si="6"/>
        <v>4</v>
      </c>
      <c r="U201" s="21">
        <f t="shared" si="7"/>
        <v>45282</v>
      </c>
    </row>
    <row r="202" spans="1:21" x14ac:dyDescent="0.35">
      <c r="A202" t="s">
        <v>3444</v>
      </c>
      <c r="B202" t="s">
        <v>3445</v>
      </c>
      <c r="C202" t="s">
        <v>19</v>
      </c>
      <c r="D202" t="s">
        <v>1002</v>
      </c>
      <c r="E202" s="1">
        <v>54.384</v>
      </c>
      <c r="F202" t="s">
        <v>995</v>
      </c>
      <c r="G202">
        <v>40</v>
      </c>
      <c r="H202" s="1">
        <v>21.753600000000002</v>
      </c>
      <c r="I202" s="21">
        <v>45278</v>
      </c>
      <c r="J202" s="21">
        <v>45283</v>
      </c>
      <c r="K202" s="21"/>
      <c r="L202" t="s">
        <v>4774</v>
      </c>
      <c r="M202" t="s">
        <v>72</v>
      </c>
      <c r="N202" t="s">
        <v>73</v>
      </c>
      <c r="O202">
        <v>1</v>
      </c>
      <c r="P202" t="s">
        <v>374</v>
      </c>
      <c r="Q202" t="s">
        <v>4558</v>
      </c>
      <c r="R202" t="s">
        <v>4713</v>
      </c>
      <c r="S202" t="s">
        <v>4719</v>
      </c>
      <c r="T202">
        <f t="shared" si="6"/>
        <v>5</v>
      </c>
      <c r="U202" s="21">
        <f t="shared" si="7"/>
        <v>45283</v>
      </c>
    </row>
    <row r="203" spans="1:21" x14ac:dyDescent="0.35">
      <c r="A203" t="s">
        <v>2283</v>
      </c>
      <c r="B203" t="s">
        <v>2284</v>
      </c>
      <c r="C203" t="s">
        <v>30</v>
      </c>
      <c r="D203" t="s">
        <v>994</v>
      </c>
      <c r="E203" s="1">
        <v>12.76</v>
      </c>
      <c r="F203" t="s">
        <v>995</v>
      </c>
      <c r="G203">
        <v>15</v>
      </c>
      <c r="H203" s="1">
        <v>1.9139999999999999</v>
      </c>
      <c r="I203" s="21">
        <v>45277</v>
      </c>
      <c r="J203" s="21">
        <v>45280</v>
      </c>
      <c r="K203" s="21"/>
      <c r="L203" t="s">
        <v>4774</v>
      </c>
      <c r="M203" t="s">
        <v>82</v>
      </c>
      <c r="N203" t="s">
        <v>47</v>
      </c>
      <c r="O203">
        <v>1</v>
      </c>
      <c r="P203" t="s">
        <v>2285</v>
      </c>
      <c r="Q203" t="s">
        <v>4526</v>
      </c>
      <c r="R203" t="s">
        <v>4726</v>
      </c>
      <c r="S203" t="s">
        <v>4717</v>
      </c>
      <c r="T203">
        <f t="shared" si="6"/>
        <v>3</v>
      </c>
      <c r="U203" s="21">
        <f t="shared" si="7"/>
        <v>45280</v>
      </c>
    </row>
    <row r="204" spans="1:21" x14ac:dyDescent="0.35">
      <c r="A204" t="s">
        <v>3435</v>
      </c>
      <c r="B204" t="s">
        <v>3436</v>
      </c>
      <c r="C204" t="s">
        <v>19</v>
      </c>
      <c r="D204" t="s">
        <v>1006</v>
      </c>
      <c r="E204" s="1">
        <v>21.96</v>
      </c>
      <c r="F204" t="s">
        <v>995</v>
      </c>
      <c r="G204">
        <v>0</v>
      </c>
      <c r="H204" s="1">
        <v>0</v>
      </c>
      <c r="I204" s="21">
        <v>45277</v>
      </c>
      <c r="J204" s="21">
        <v>45281</v>
      </c>
      <c r="K204" s="21"/>
      <c r="L204" t="s">
        <v>4774</v>
      </c>
      <c r="M204" t="s">
        <v>72</v>
      </c>
      <c r="N204" t="s">
        <v>73</v>
      </c>
      <c r="O204">
        <v>1</v>
      </c>
      <c r="P204" t="s">
        <v>3437</v>
      </c>
      <c r="Q204" t="s">
        <v>4532</v>
      </c>
      <c r="R204" t="s">
        <v>4726</v>
      </c>
      <c r="S204" t="s">
        <v>4717</v>
      </c>
      <c r="T204">
        <f t="shared" si="6"/>
        <v>4</v>
      </c>
      <c r="U204" s="21">
        <f t="shared" si="7"/>
        <v>45281</v>
      </c>
    </row>
    <row r="205" spans="1:21" x14ac:dyDescent="0.35">
      <c r="A205" t="s">
        <v>2280</v>
      </c>
      <c r="B205" t="s">
        <v>2281</v>
      </c>
      <c r="C205" t="s">
        <v>30</v>
      </c>
      <c r="D205" t="s">
        <v>994</v>
      </c>
      <c r="E205" s="1">
        <v>60.287999999999997</v>
      </c>
      <c r="F205" t="s">
        <v>995</v>
      </c>
      <c r="G205">
        <v>15</v>
      </c>
      <c r="H205" s="1">
        <v>9.0431999999999988</v>
      </c>
      <c r="I205" s="21">
        <v>45277</v>
      </c>
      <c r="J205" s="21">
        <v>45284</v>
      </c>
      <c r="K205" s="21"/>
      <c r="L205" t="s">
        <v>4774</v>
      </c>
      <c r="M205" t="s">
        <v>146</v>
      </c>
      <c r="N205" t="s">
        <v>73</v>
      </c>
      <c r="O205">
        <v>1</v>
      </c>
      <c r="P205" t="s">
        <v>2282</v>
      </c>
      <c r="Q205" t="s">
        <v>4729</v>
      </c>
      <c r="R205" t="s">
        <v>4721</v>
      </c>
      <c r="S205" t="s">
        <v>4718</v>
      </c>
      <c r="T205">
        <f t="shared" si="6"/>
        <v>7</v>
      </c>
      <c r="U205" s="21">
        <f t="shared" si="7"/>
        <v>45284</v>
      </c>
    </row>
    <row r="206" spans="1:21" x14ac:dyDescent="0.35">
      <c r="A206" t="s">
        <v>3438</v>
      </c>
      <c r="B206" t="s">
        <v>3439</v>
      </c>
      <c r="C206" t="s">
        <v>19</v>
      </c>
      <c r="D206" t="s">
        <v>1002</v>
      </c>
      <c r="E206" s="1">
        <v>2254.41</v>
      </c>
      <c r="F206" t="s">
        <v>995</v>
      </c>
      <c r="G206">
        <v>40</v>
      </c>
      <c r="H206" s="1">
        <v>901.76400000000001</v>
      </c>
      <c r="I206" s="21">
        <v>45277</v>
      </c>
      <c r="J206" s="21">
        <v>45280</v>
      </c>
      <c r="K206" s="21"/>
      <c r="L206" t="s">
        <v>4774</v>
      </c>
      <c r="M206" t="s">
        <v>46</v>
      </c>
      <c r="N206" t="s">
        <v>47</v>
      </c>
      <c r="O206">
        <v>1</v>
      </c>
      <c r="P206" t="s">
        <v>3440</v>
      </c>
      <c r="Q206" t="s">
        <v>4567</v>
      </c>
      <c r="R206" t="s">
        <v>4714</v>
      </c>
      <c r="S206" t="s">
        <v>4718</v>
      </c>
      <c r="T206">
        <f t="shared" si="6"/>
        <v>3</v>
      </c>
      <c r="U206" s="21">
        <f t="shared" si="7"/>
        <v>45280</v>
      </c>
    </row>
    <row r="207" spans="1:21" x14ac:dyDescent="0.35">
      <c r="A207" t="s">
        <v>1078</v>
      </c>
      <c r="B207" t="s">
        <v>1079</v>
      </c>
      <c r="C207" t="s">
        <v>19</v>
      </c>
      <c r="D207" t="s">
        <v>1006</v>
      </c>
      <c r="E207" s="1">
        <v>251.64</v>
      </c>
      <c r="F207" t="s">
        <v>995</v>
      </c>
      <c r="G207">
        <v>0</v>
      </c>
      <c r="H207" s="1">
        <v>0</v>
      </c>
      <c r="I207" s="21">
        <v>45277</v>
      </c>
      <c r="J207" s="21">
        <v>45284</v>
      </c>
      <c r="K207" s="21"/>
      <c r="L207" t="s">
        <v>4774</v>
      </c>
      <c r="M207" t="s">
        <v>33</v>
      </c>
      <c r="N207" t="s">
        <v>34</v>
      </c>
      <c r="O207">
        <v>1</v>
      </c>
      <c r="P207" t="s">
        <v>1080</v>
      </c>
      <c r="Q207" t="s">
        <v>4519</v>
      </c>
      <c r="R207" t="s">
        <v>4726</v>
      </c>
      <c r="S207" t="s">
        <v>4717</v>
      </c>
      <c r="T207">
        <f t="shared" si="6"/>
        <v>7</v>
      </c>
      <c r="U207" s="21">
        <f t="shared" si="7"/>
        <v>45284</v>
      </c>
    </row>
    <row r="208" spans="1:21" x14ac:dyDescent="0.35">
      <c r="A208" t="s">
        <v>2277</v>
      </c>
      <c r="B208" t="s">
        <v>2278</v>
      </c>
      <c r="C208" t="s">
        <v>30</v>
      </c>
      <c r="D208" t="s">
        <v>1006</v>
      </c>
      <c r="E208" s="1">
        <v>20.16</v>
      </c>
      <c r="F208" t="s">
        <v>995</v>
      </c>
      <c r="G208">
        <v>0</v>
      </c>
      <c r="H208" s="1">
        <v>0</v>
      </c>
      <c r="I208" s="21">
        <v>45276</v>
      </c>
      <c r="J208" s="21">
        <v>45278</v>
      </c>
      <c r="K208" s="21"/>
      <c r="L208" t="s">
        <v>4774</v>
      </c>
      <c r="M208" t="s">
        <v>40</v>
      </c>
      <c r="N208" t="s">
        <v>34</v>
      </c>
      <c r="O208">
        <v>1</v>
      </c>
      <c r="P208" t="s">
        <v>2279</v>
      </c>
      <c r="Q208" t="s">
        <v>4517</v>
      </c>
      <c r="R208" t="s">
        <v>4726</v>
      </c>
      <c r="S208" t="s">
        <v>4717</v>
      </c>
      <c r="T208">
        <f t="shared" si="6"/>
        <v>2</v>
      </c>
      <c r="U208" s="21">
        <f t="shared" si="7"/>
        <v>45278</v>
      </c>
    </row>
    <row r="209" spans="1:21" x14ac:dyDescent="0.35">
      <c r="A209" t="s">
        <v>4404</v>
      </c>
      <c r="B209" t="s">
        <v>4405</v>
      </c>
      <c r="C209" t="s">
        <v>19</v>
      </c>
      <c r="D209" t="s">
        <v>994</v>
      </c>
      <c r="E209" s="1">
        <v>29.95</v>
      </c>
      <c r="F209" t="s">
        <v>995</v>
      </c>
      <c r="G209">
        <v>40</v>
      </c>
      <c r="H209" s="1">
        <v>11.98</v>
      </c>
      <c r="I209" s="21">
        <v>45276</v>
      </c>
      <c r="J209" s="21">
        <v>45280</v>
      </c>
      <c r="K209" s="21"/>
      <c r="L209" t="s">
        <v>4774</v>
      </c>
      <c r="M209" t="s">
        <v>54</v>
      </c>
      <c r="N209" t="s">
        <v>26</v>
      </c>
      <c r="O209">
        <v>1</v>
      </c>
      <c r="P209" t="s">
        <v>4406</v>
      </c>
      <c r="Q209" t="s">
        <v>4614</v>
      </c>
      <c r="R209" t="s">
        <v>4726</v>
      </c>
      <c r="S209" t="s">
        <v>4717</v>
      </c>
      <c r="T209">
        <f t="shared" si="6"/>
        <v>4</v>
      </c>
      <c r="U209" s="21">
        <f t="shared" si="7"/>
        <v>45280</v>
      </c>
    </row>
    <row r="210" spans="1:21" x14ac:dyDescent="0.35">
      <c r="A210" t="s">
        <v>1075</v>
      </c>
      <c r="B210" t="s">
        <v>1076</v>
      </c>
      <c r="C210" t="s">
        <v>19</v>
      </c>
      <c r="D210" t="s">
        <v>1006</v>
      </c>
      <c r="E210" s="1">
        <v>219.84</v>
      </c>
      <c r="F210" t="s">
        <v>995</v>
      </c>
      <c r="G210">
        <v>0</v>
      </c>
      <c r="H210" s="1">
        <v>0</v>
      </c>
      <c r="I210" s="21">
        <v>45276</v>
      </c>
      <c r="J210" s="21">
        <v>45283</v>
      </c>
      <c r="K210" s="21"/>
      <c r="L210" t="s">
        <v>4774</v>
      </c>
      <c r="M210" t="s">
        <v>46</v>
      </c>
      <c r="N210" t="s">
        <v>47</v>
      </c>
      <c r="O210">
        <v>1</v>
      </c>
      <c r="P210" t="s">
        <v>1077</v>
      </c>
      <c r="Q210" t="s">
        <v>4519</v>
      </c>
      <c r="R210" t="s">
        <v>4726</v>
      </c>
      <c r="S210" t="s">
        <v>4717</v>
      </c>
      <c r="T210">
        <f t="shared" si="6"/>
        <v>7</v>
      </c>
      <c r="U210" s="21">
        <f t="shared" si="7"/>
        <v>45283</v>
      </c>
    </row>
    <row r="211" spans="1:21" x14ac:dyDescent="0.35">
      <c r="A211" t="s">
        <v>3433</v>
      </c>
      <c r="B211" t="s">
        <v>3434</v>
      </c>
      <c r="C211" t="s">
        <v>30</v>
      </c>
      <c r="D211" t="s">
        <v>21</v>
      </c>
      <c r="E211" s="1">
        <v>216.22400000000002</v>
      </c>
      <c r="F211" t="s">
        <v>22</v>
      </c>
      <c r="G211">
        <v>0</v>
      </c>
      <c r="H211" s="1">
        <v>0</v>
      </c>
      <c r="I211" s="21">
        <v>45275</v>
      </c>
      <c r="J211" s="21">
        <v>45278</v>
      </c>
      <c r="K211" s="21">
        <v>45278</v>
      </c>
      <c r="L211" t="s">
        <v>63</v>
      </c>
      <c r="M211" t="s">
        <v>46</v>
      </c>
      <c r="N211" t="s">
        <v>47</v>
      </c>
      <c r="O211">
        <v>1</v>
      </c>
      <c r="P211" t="s">
        <v>3127</v>
      </c>
      <c r="Q211" t="s">
        <v>4567</v>
      </c>
      <c r="R211" t="s">
        <v>4714</v>
      </c>
      <c r="S211" t="s">
        <v>4718</v>
      </c>
      <c r="T211">
        <f t="shared" si="6"/>
        <v>3</v>
      </c>
      <c r="U211" s="21">
        <f t="shared" si="7"/>
        <v>45278</v>
      </c>
    </row>
    <row r="212" spans="1:21" x14ac:dyDescent="0.35">
      <c r="A212" t="s">
        <v>1072</v>
      </c>
      <c r="B212" t="s">
        <v>1073</v>
      </c>
      <c r="C212" t="s">
        <v>30</v>
      </c>
      <c r="D212" t="s">
        <v>1002</v>
      </c>
      <c r="E212" s="1">
        <v>199.95</v>
      </c>
      <c r="F212" t="s">
        <v>995</v>
      </c>
      <c r="G212">
        <v>40</v>
      </c>
      <c r="H212" s="1">
        <v>79.98</v>
      </c>
      <c r="I212" s="21">
        <v>45275</v>
      </c>
      <c r="J212" s="21">
        <v>45280</v>
      </c>
      <c r="K212" s="21"/>
      <c r="L212" t="s">
        <v>4774</v>
      </c>
      <c r="M212" t="s">
        <v>33</v>
      </c>
      <c r="N212" t="s">
        <v>34</v>
      </c>
      <c r="O212">
        <v>1</v>
      </c>
      <c r="P212" t="s">
        <v>1074</v>
      </c>
      <c r="Q212" t="s">
        <v>4613</v>
      </c>
      <c r="R212" t="s">
        <v>4713</v>
      </c>
      <c r="S212" t="s">
        <v>4719</v>
      </c>
      <c r="T212">
        <f t="shared" si="6"/>
        <v>5</v>
      </c>
      <c r="U212" s="21">
        <f t="shared" si="7"/>
        <v>45280</v>
      </c>
    </row>
    <row r="213" spans="1:21" x14ac:dyDescent="0.35">
      <c r="A213" t="s">
        <v>4398</v>
      </c>
      <c r="B213" t="s">
        <v>4399</v>
      </c>
      <c r="C213" t="s">
        <v>30</v>
      </c>
      <c r="D213" t="s">
        <v>1006</v>
      </c>
      <c r="E213" s="1">
        <v>55.86</v>
      </c>
      <c r="F213" t="s">
        <v>995</v>
      </c>
      <c r="G213">
        <v>0</v>
      </c>
      <c r="H213" s="1">
        <v>0</v>
      </c>
      <c r="I213" s="21">
        <v>45274</v>
      </c>
      <c r="J213" s="21">
        <v>45280</v>
      </c>
      <c r="K213" s="21"/>
      <c r="L213" t="s">
        <v>4774</v>
      </c>
      <c r="M213" t="s">
        <v>40</v>
      </c>
      <c r="N213" t="s">
        <v>34</v>
      </c>
      <c r="O213">
        <v>1</v>
      </c>
      <c r="P213" t="s">
        <v>4400</v>
      </c>
      <c r="Q213" t="s">
        <v>4615</v>
      </c>
      <c r="R213" t="s">
        <v>4726</v>
      </c>
      <c r="S213" t="s">
        <v>4717</v>
      </c>
      <c r="T213">
        <f t="shared" si="6"/>
        <v>6</v>
      </c>
      <c r="U213" s="21">
        <f t="shared" si="7"/>
        <v>45280</v>
      </c>
    </row>
    <row r="214" spans="1:21" x14ac:dyDescent="0.35">
      <c r="A214" t="s">
        <v>4401</v>
      </c>
      <c r="B214" t="s">
        <v>4402</v>
      </c>
      <c r="C214" t="s">
        <v>30</v>
      </c>
      <c r="D214" t="s">
        <v>1002</v>
      </c>
      <c r="E214" s="1">
        <v>89.584000000000003</v>
      </c>
      <c r="F214" t="s">
        <v>995</v>
      </c>
      <c r="G214">
        <v>40</v>
      </c>
      <c r="H214" s="1">
        <v>35.833600000000004</v>
      </c>
      <c r="I214" s="21">
        <v>45274</v>
      </c>
      <c r="J214" s="21">
        <v>45278</v>
      </c>
      <c r="K214" s="21"/>
      <c r="L214" t="s">
        <v>4774</v>
      </c>
      <c r="M214" t="s">
        <v>33</v>
      </c>
      <c r="N214" t="s">
        <v>34</v>
      </c>
      <c r="O214">
        <v>1</v>
      </c>
      <c r="P214" t="s">
        <v>4403</v>
      </c>
      <c r="Q214" t="s">
        <v>4571</v>
      </c>
      <c r="R214" t="s">
        <v>4713</v>
      </c>
      <c r="S214" t="s">
        <v>4719</v>
      </c>
      <c r="T214">
        <f t="shared" si="6"/>
        <v>4</v>
      </c>
      <c r="U214" s="21">
        <f t="shared" si="7"/>
        <v>45278</v>
      </c>
    </row>
    <row r="215" spans="1:21" x14ac:dyDescent="0.35">
      <c r="A215" t="s">
        <v>3430</v>
      </c>
      <c r="B215" t="s">
        <v>3431</v>
      </c>
      <c r="C215" t="s">
        <v>19</v>
      </c>
      <c r="D215" t="s">
        <v>1002</v>
      </c>
      <c r="E215" s="1">
        <v>27.72</v>
      </c>
      <c r="F215" t="s">
        <v>995</v>
      </c>
      <c r="G215">
        <v>40</v>
      </c>
      <c r="H215" s="1">
        <v>11.088000000000001</v>
      </c>
      <c r="I215" s="21">
        <v>45272</v>
      </c>
      <c r="J215" s="21">
        <v>45274</v>
      </c>
      <c r="K215" s="21"/>
      <c r="L215" t="s">
        <v>4774</v>
      </c>
      <c r="M215" t="s">
        <v>54</v>
      </c>
      <c r="N215" t="s">
        <v>26</v>
      </c>
      <c r="O215">
        <v>1</v>
      </c>
      <c r="P215" t="s">
        <v>3432</v>
      </c>
      <c r="Q215" t="s">
        <v>4517</v>
      </c>
      <c r="R215" t="s">
        <v>4726</v>
      </c>
      <c r="S215" t="s">
        <v>4717</v>
      </c>
      <c r="T215">
        <f t="shared" si="6"/>
        <v>2</v>
      </c>
      <c r="U215" s="21">
        <f t="shared" si="7"/>
        <v>45274</v>
      </c>
    </row>
    <row r="216" spans="1:21" x14ac:dyDescent="0.35">
      <c r="A216" t="s">
        <v>3428</v>
      </c>
      <c r="B216" t="s">
        <v>3429</v>
      </c>
      <c r="C216" t="s">
        <v>30</v>
      </c>
      <c r="D216" t="s">
        <v>1006</v>
      </c>
      <c r="E216" s="1">
        <v>149.94999999999999</v>
      </c>
      <c r="F216" t="s">
        <v>995</v>
      </c>
      <c r="G216">
        <v>0</v>
      </c>
      <c r="H216" s="1">
        <v>0</v>
      </c>
      <c r="I216" s="21">
        <v>45272</v>
      </c>
      <c r="J216" s="21">
        <v>45278</v>
      </c>
      <c r="K216" s="21"/>
      <c r="L216" t="s">
        <v>4774</v>
      </c>
      <c r="M216" t="s">
        <v>67</v>
      </c>
      <c r="N216" t="s">
        <v>68</v>
      </c>
      <c r="O216">
        <v>1</v>
      </c>
      <c r="P216" t="s">
        <v>2387</v>
      </c>
      <c r="Q216" t="s">
        <v>4613</v>
      </c>
      <c r="R216" t="s">
        <v>4713</v>
      </c>
      <c r="S216" t="s">
        <v>4719</v>
      </c>
      <c r="T216">
        <f t="shared" si="6"/>
        <v>6</v>
      </c>
      <c r="U216" s="21">
        <f t="shared" si="7"/>
        <v>45278</v>
      </c>
    </row>
    <row r="217" spans="1:21" x14ac:dyDescent="0.35">
      <c r="A217" t="s">
        <v>2274</v>
      </c>
      <c r="B217" t="s">
        <v>2275</v>
      </c>
      <c r="C217" t="s">
        <v>30</v>
      </c>
      <c r="D217" t="s">
        <v>994</v>
      </c>
      <c r="E217" s="1">
        <v>23.08</v>
      </c>
      <c r="F217" t="s">
        <v>995</v>
      </c>
      <c r="G217">
        <v>15</v>
      </c>
      <c r="H217" s="1">
        <v>3.4619999999999997</v>
      </c>
      <c r="I217" s="21">
        <v>45272</v>
      </c>
      <c r="J217" s="21">
        <v>45275</v>
      </c>
      <c r="K217" s="21"/>
      <c r="L217" t="s">
        <v>4774</v>
      </c>
      <c r="M217" t="s">
        <v>46</v>
      </c>
      <c r="N217" t="s">
        <v>47</v>
      </c>
      <c r="O217">
        <v>1</v>
      </c>
      <c r="P217" t="s">
        <v>2276</v>
      </c>
      <c r="Q217" t="s">
        <v>4729</v>
      </c>
      <c r="R217" t="s">
        <v>4713</v>
      </c>
      <c r="S217" t="s">
        <v>4719</v>
      </c>
      <c r="T217">
        <f t="shared" si="6"/>
        <v>3</v>
      </c>
      <c r="U217" s="21">
        <f t="shared" si="7"/>
        <v>45275</v>
      </c>
    </row>
    <row r="218" spans="1:21" x14ac:dyDescent="0.35">
      <c r="A218" t="s">
        <v>4396</v>
      </c>
      <c r="B218" t="s">
        <v>4397</v>
      </c>
      <c r="C218" t="s">
        <v>30</v>
      </c>
      <c r="D218" t="s">
        <v>1002</v>
      </c>
      <c r="E218" s="1">
        <v>1071</v>
      </c>
      <c r="F218" t="s">
        <v>995</v>
      </c>
      <c r="G218">
        <v>40</v>
      </c>
      <c r="H218" s="1">
        <v>428.40000000000003</v>
      </c>
      <c r="I218" s="21">
        <v>45272</v>
      </c>
      <c r="J218" s="21">
        <v>45272</v>
      </c>
      <c r="K218" s="21"/>
      <c r="L218" t="s">
        <v>4774</v>
      </c>
      <c r="M218" t="s">
        <v>46</v>
      </c>
      <c r="N218" t="s">
        <v>47</v>
      </c>
      <c r="O218">
        <v>1</v>
      </c>
      <c r="P218" t="s">
        <v>2189</v>
      </c>
      <c r="Q218" t="s">
        <v>4729</v>
      </c>
      <c r="R218" t="s">
        <v>4713</v>
      </c>
      <c r="S218" t="s">
        <v>4719</v>
      </c>
      <c r="T218">
        <f t="shared" si="6"/>
        <v>0</v>
      </c>
      <c r="U218" s="21">
        <f t="shared" si="7"/>
        <v>45272</v>
      </c>
    </row>
    <row r="219" spans="1:21" x14ac:dyDescent="0.35">
      <c r="A219" t="s">
        <v>3424</v>
      </c>
      <c r="B219" t="s">
        <v>3425</v>
      </c>
      <c r="C219" t="s">
        <v>30</v>
      </c>
      <c r="D219" t="s">
        <v>21</v>
      </c>
      <c r="E219" s="1">
        <v>442.5</v>
      </c>
      <c r="F219" t="s">
        <v>22</v>
      </c>
      <c r="G219">
        <v>0</v>
      </c>
      <c r="H219" s="1">
        <v>0</v>
      </c>
      <c r="I219" s="21">
        <v>45271</v>
      </c>
      <c r="J219" s="21">
        <v>45274</v>
      </c>
      <c r="K219" s="21">
        <v>45274</v>
      </c>
      <c r="L219" t="s">
        <v>24</v>
      </c>
      <c r="M219" t="s">
        <v>146</v>
      </c>
      <c r="N219" t="s">
        <v>73</v>
      </c>
      <c r="O219">
        <v>1</v>
      </c>
      <c r="P219" t="s">
        <v>1436</v>
      </c>
      <c r="Q219" t="s">
        <v>4560</v>
      </c>
      <c r="R219" t="s">
        <v>4709</v>
      </c>
      <c r="S219" t="s">
        <v>4717</v>
      </c>
      <c r="T219">
        <f t="shared" si="6"/>
        <v>3</v>
      </c>
      <c r="U219" s="21">
        <f t="shared" si="7"/>
        <v>45274</v>
      </c>
    </row>
    <row r="220" spans="1:21" x14ac:dyDescent="0.35">
      <c r="A220" t="s">
        <v>2269</v>
      </c>
      <c r="B220" t="s">
        <v>2270</v>
      </c>
      <c r="C220" t="s">
        <v>19</v>
      </c>
      <c r="D220" t="s">
        <v>1002</v>
      </c>
      <c r="E220" s="1">
        <v>318.43</v>
      </c>
      <c r="F220" t="s">
        <v>995</v>
      </c>
      <c r="G220">
        <v>40</v>
      </c>
      <c r="H220" s="1">
        <v>127.37200000000001</v>
      </c>
      <c r="I220" s="21">
        <v>45271</v>
      </c>
      <c r="J220" s="21">
        <v>45277</v>
      </c>
      <c r="K220" s="21"/>
      <c r="L220" t="s">
        <v>4774</v>
      </c>
      <c r="M220" t="s">
        <v>25</v>
      </c>
      <c r="N220" t="s">
        <v>26</v>
      </c>
      <c r="O220">
        <v>1</v>
      </c>
      <c r="P220" t="s">
        <v>2271</v>
      </c>
      <c r="Q220" t="s">
        <v>4567</v>
      </c>
      <c r="R220" t="s">
        <v>4714</v>
      </c>
      <c r="S220" t="s">
        <v>4718</v>
      </c>
      <c r="T220">
        <f t="shared" si="6"/>
        <v>6</v>
      </c>
      <c r="U220" s="21">
        <f t="shared" si="7"/>
        <v>45277</v>
      </c>
    </row>
    <row r="221" spans="1:21" x14ac:dyDescent="0.35">
      <c r="A221" t="s">
        <v>4391</v>
      </c>
      <c r="B221" t="s">
        <v>4392</v>
      </c>
      <c r="C221" t="s">
        <v>30</v>
      </c>
      <c r="D221" t="s">
        <v>1006</v>
      </c>
      <c r="E221" s="1">
        <v>79.98</v>
      </c>
      <c r="F221" t="s">
        <v>995</v>
      </c>
      <c r="G221">
        <v>0</v>
      </c>
      <c r="H221" s="1">
        <v>0</v>
      </c>
      <c r="I221" s="21">
        <v>45271</v>
      </c>
      <c r="J221" s="21">
        <v>45276</v>
      </c>
      <c r="K221" s="21"/>
      <c r="L221" t="s">
        <v>4774</v>
      </c>
      <c r="M221" t="s">
        <v>54</v>
      </c>
      <c r="N221" t="s">
        <v>26</v>
      </c>
      <c r="O221">
        <v>1</v>
      </c>
      <c r="P221" t="s">
        <v>4393</v>
      </c>
      <c r="Q221" t="s">
        <v>4513</v>
      </c>
      <c r="R221" t="s">
        <v>4713</v>
      </c>
      <c r="S221" t="s">
        <v>4719</v>
      </c>
      <c r="T221">
        <f t="shared" si="6"/>
        <v>5</v>
      </c>
      <c r="U221" s="21">
        <f t="shared" si="7"/>
        <v>45276</v>
      </c>
    </row>
    <row r="222" spans="1:21" x14ac:dyDescent="0.35">
      <c r="A222" t="s">
        <v>4394</v>
      </c>
      <c r="B222" t="s">
        <v>4395</v>
      </c>
      <c r="C222" t="s">
        <v>19</v>
      </c>
      <c r="D222" t="s">
        <v>1002</v>
      </c>
      <c r="E222" s="1">
        <v>8.82</v>
      </c>
      <c r="F222" t="s">
        <v>995</v>
      </c>
      <c r="G222">
        <v>40</v>
      </c>
      <c r="H222" s="1">
        <v>3.5280000000000005</v>
      </c>
      <c r="I222" s="21">
        <v>45271</v>
      </c>
      <c r="J222" s="21">
        <v>45273</v>
      </c>
      <c r="K222" s="21"/>
      <c r="L222" t="s">
        <v>4774</v>
      </c>
      <c r="M222" t="s">
        <v>33</v>
      </c>
      <c r="N222" t="s">
        <v>34</v>
      </c>
      <c r="O222">
        <v>1</v>
      </c>
      <c r="P222" t="s">
        <v>2317</v>
      </c>
      <c r="Q222" t="s">
        <v>4520</v>
      </c>
      <c r="R222" t="s">
        <v>4726</v>
      </c>
      <c r="S222" t="s">
        <v>4717</v>
      </c>
      <c r="T222">
        <f t="shared" si="6"/>
        <v>2</v>
      </c>
      <c r="U222" s="21">
        <f t="shared" si="7"/>
        <v>45273</v>
      </c>
    </row>
    <row r="223" spans="1:21" x14ac:dyDescent="0.35">
      <c r="A223" t="s">
        <v>3426</v>
      </c>
      <c r="B223" t="s">
        <v>3427</v>
      </c>
      <c r="C223" t="s">
        <v>19</v>
      </c>
      <c r="D223" t="s">
        <v>1006</v>
      </c>
      <c r="E223" s="1">
        <v>9.9120000000000008</v>
      </c>
      <c r="F223" t="s">
        <v>995</v>
      </c>
      <c r="G223">
        <v>0</v>
      </c>
      <c r="H223" s="1">
        <v>0</v>
      </c>
      <c r="I223" s="21">
        <v>45271</v>
      </c>
      <c r="J223" s="21">
        <v>45275</v>
      </c>
      <c r="K223" s="21"/>
      <c r="L223" t="s">
        <v>4774</v>
      </c>
      <c r="M223" t="s">
        <v>67</v>
      </c>
      <c r="N223" t="s">
        <v>68</v>
      </c>
      <c r="O223">
        <v>1</v>
      </c>
      <c r="P223" t="s">
        <v>2796</v>
      </c>
      <c r="Q223" t="s">
        <v>4520</v>
      </c>
      <c r="R223" t="s">
        <v>4726</v>
      </c>
      <c r="S223" t="s">
        <v>4717</v>
      </c>
      <c r="T223">
        <f t="shared" si="6"/>
        <v>4</v>
      </c>
      <c r="U223" s="21">
        <f t="shared" si="7"/>
        <v>45275</v>
      </c>
    </row>
    <row r="224" spans="1:21" x14ac:dyDescent="0.35">
      <c r="A224" t="s">
        <v>2272</v>
      </c>
      <c r="B224" t="s">
        <v>2273</v>
      </c>
      <c r="C224" t="s">
        <v>19</v>
      </c>
      <c r="D224" t="s">
        <v>1006</v>
      </c>
      <c r="E224" s="1">
        <v>35.4</v>
      </c>
      <c r="F224" t="s">
        <v>995</v>
      </c>
      <c r="G224">
        <v>0</v>
      </c>
      <c r="H224" s="1">
        <v>0</v>
      </c>
      <c r="I224" s="21">
        <v>45271</v>
      </c>
      <c r="J224" s="21">
        <v>45271</v>
      </c>
      <c r="K224" s="21"/>
      <c r="L224" t="s">
        <v>4774</v>
      </c>
      <c r="M224" t="s">
        <v>25</v>
      </c>
      <c r="N224" t="s">
        <v>26</v>
      </c>
      <c r="O224">
        <v>1</v>
      </c>
      <c r="P224" t="s">
        <v>78</v>
      </c>
      <c r="Q224" t="s">
        <v>4521</v>
      </c>
      <c r="R224" t="s">
        <v>4726</v>
      </c>
      <c r="S224" t="s">
        <v>4717</v>
      </c>
      <c r="T224">
        <f t="shared" si="6"/>
        <v>0</v>
      </c>
      <c r="U224" s="21">
        <f t="shared" si="7"/>
        <v>45271</v>
      </c>
    </row>
    <row r="225" spans="1:21" x14ac:dyDescent="0.35">
      <c r="A225" t="s">
        <v>2264</v>
      </c>
      <c r="B225" t="s">
        <v>2265</v>
      </c>
      <c r="C225" t="s">
        <v>19</v>
      </c>
      <c r="D225" t="s">
        <v>1006</v>
      </c>
      <c r="E225" s="1">
        <v>106.32</v>
      </c>
      <c r="F225" t="s">
        <v>995</v>
      </c>
      <c r="G225">
        <v>0</v>
      </c>
      <c r="H225" s="1">
        <v>0</v>
      </c>
      <c r="I225" s="21">
        <v>45270</v>
      </c>
      <c r="J225" s="21">
        <v>45272</v>
      </c>
      <c r="K225" s="21"/>
      <c r="L225" t="s">
        <v>4774</v>
      </c>
      <c r="M225" t="s">
        <v>40</v>
      </c>
      <c r="N225" t="s">
        <v>34</v>
      </c>
      <c r="O225">
        <v>1</v>
      </c>
      <c r="P225" t="s">
        <v>1202</v>
      </c>
      <c r="Q225" t="s">
        <v>4729</v>
      </c>
      <c r="R225" t="s">
        <v>4726</v>
      </c>
      <c r="S225" t="s">
        <v>4717</v>
      </c>
      <c r="T225">
        <f t="shared" si="6"/>
        <v>2</v>
      </c>
      <c r="U225" s="21">
        <f t="shared" si="7"/>
        <v>45272</v>
      </c>
    </row>
    <row r="226" spans="1:21" x14ac:dyDescent="0.35">
      <c r="A226" t="s">
        <v>3422</v>
      </c>
      <c r="B226" t="s">
        <v>3423</v>
      </c>
      <c r="C226" t="s">
        <v>19</v>
      </c>
      <c r="D226" t="s">
        <v>1002</v>
      </c>
      <c r="E226" s="1">
        <v>34.479999999999997</v>
      </c>
      <c r="F226" t="s">
        <v>995</v>
      </c>
      <c r="G226">
        <v>40</v>
      </c>
      <c r="H226" s="1">
        <v>13.792</v>
      </c>
      <c r="I226" s="21">
        <v>45270</v>
      </c>
      <c r="J226" s="21">
        <v>45273</v>
      </c>
      <c r="K226" s="21"/>
      <c r="L226" t="s">
        <v>4774</v>
      </c>
      <c r="M226" t="s">
        <v>72</v>
      </c>
      <c r="N226" t="s">
        <v>73</v>
      </c>
      <c r="O226">
        <v>1</v>
      </c>
      <c r="P226" t="s">
        <v>3093</v>
      </c>
      <c r="Q226" t="s">
        <v>4532</v>
      </c>
      <c r="R226" t="s">
        <v>4726</v>
      </c>
      <c r="S226" t="s">
        <v>4717</v>
      </c>
      <c r="T226">
        <f t="shared" si="6"/>
        <v>3</v>
      </c>
      <c r="U226" s="21">
        <f t="shared" si="7"/>
        <v>45273</v>
      </c>
    </row>
    <row r="227" spans="1:21" x14ac:dyDescent="0.35">
      <c r="A227" t="s">
        <v>2266</v>
      </c>
      <c r="B227" t="s">
        <v>2267</v>
      </c>
      <c r="C227" t="s">
        <v>30</v>
      </c>
      <c r="D227" t="s">
        <v>1002</v>
      </c>
      <c r="E227" s="1">
        <v>244.55</v>
      </c>
      <c r="F227" t="s">
        <v>995</v>
      </c>
      <c r="G227">
        <v>40</v>
      </c>
      <c r="H227" s="1">
        <v>97.820000000000007</v>
      </c>
      <c r="I227" s="21">
        <v>45270</v>
      </c>
      <c r="J227" s="21">
        <v>45274</v>
      </c>
      <c r="K227" s="21"/>
      <c r="L227" t="s">
        <v>4774</v>
      </c>
      <c r="M227" t="s">
        <v>46</v>
      </c>
      <c r="N227" t="s">
        <v>47</v>
      </c>
      <c r="O227">
        <v>1</v>
      </c>
      <c r="P227" t="s">
        <v>2268</v>
      </c>
      <c r="Q227" t="s">
        <v>4519</v>
      </c>
      <c r="R227" t="s">
        <v>4726</v>
      </c>
      <c r="S227" t="s">
        <v>4717</v>
      </c>
      <c r="T227">
        <f t="shared" si="6"/>
        <v>4</v>
      </c>
      <c r="U227" s="21">
        <f t="shared" si="7"/>
        <v>45274</v>
      </c>
    </row>
    <row r="228" spans="1:21" x14ac:dyDescent="0.35">
      <c r="A228" t="s">
        <v>4384</v>
      </c>
      <c r="B228" t="s">
        <v>4385</v>
      </c>
      <c r="C228" t="s">
        <v>30</v>
      </c>
      <c r="D228" t="s">
        <v>994</v>
      </c>
      <c r="E228" s="1">
        <v>17.712</v>
      </c>
      <c r="F228" t="s">
        <v>995</v>
      </c>
      <c r="G228">
        <v>15</v>
      </c>
      <c r="H228" s="1">
        <v>2.6568000000000001</v>
      </c>
      <c r="I228" s="21">
        <v>45269</v>
      </c>
      <c r="J228" s="21">
        <v>45273</v>
      </c>
      <c r="K228" s="21"/>
      <c r="L228" t="s">
        <v>4774</v>
      </c>
      <c r="M228" t="s">
        <v>25</v>
      </c>
      <c r="N228" t="s">
        <v>26</v>
      </c>
      <c r="O228">
        <v>1</v>
      </c>
      <c r="P228" t="s">
        <v>3396</v>
      </c>
      <c r="Q228" t="s">
        <v>4517</v>
      </c>
      <c r="R228" t="s">
        <v>4726</v>
      </c>
      <c r="S228" t="s">
        <v>4717</v>
      </c>
      <c r="T228">
        <f t="shared" si="6"/>
        <v>4</v>
      </c>
      <c r="U228" s="21">
        <f t="shared" si="7"/>
        <v>45273</v>
      </c>
    </row>
    <row r="229" spans="1:21" x14ac:dyDescent="0.35">
      <c r="A229" t="s">
        <v>4386</v>
      </c>
      <c r="B229" t="s">
        <v>4387</v>
      </c>
      <c r="C229" t="s">
        <v>19</v>
      </c>
      <c r="D229" t="s">
        <v>994</v>
      </c>
      <c r="E229" s="1">
        <v>5.3879999999999999</v>
      </c>
      <c r="F229" t="s">
        <v>995</v>
      </c>
      <c r="G229">
        <v>15</v>
      </c>
      <c r="H229" s="1">
        <v>0.80819999999999992</v>
      </c>
      <c r="I229" s="21">
        <v>45269</v>
      </c>
      <c r="J229" s="21">
        <v>45273</v>
      </c>
      <c r="K229" s="21"/>
      <c r="L229" t="s">
        <v>4774</v>
      </c>
      <c r="M229" t="s">
        <v>97</v>
      </c>
      <c r="N229" t="s">
        <v>68</v>
      </c>
      <c r="O229">
        <v>1</v>
      </c>
      <c r="P229" t="s">
        <v>55</v>
      </c>
      <c r="Q229" t="s">
        <v>4517</v>
      </c>
      <c r="R229" t="s">
        <v>4726</v>
      </c>
      <c r="S229" t="s">
        <v>4717</v>
      </c>
      <c r="T229">
        <f t="shared" si="6"/>
        <v>4</v>
      </c>
      <c r="U229" s="21">
        <f t="shared" si="7"/>
        <v>45273</v>
      </c>
    </row>
    <row r="230" spans="1:21" x14ac:dyDescent="0.35">
      <c r="A230" t="s">
        <v>4388</v>
      </c>
      <c r="B230" t="s">
        <v>4389</v>
      </c>
      <c r="C230" t="s">
        <v>30</v>
      </c>
      <c r="D230" t="s">
        <v>21</v>
      </c>
      <c r="E230" s="1">
        <v>1288.4640000000002</v>
      </c>
      <c r="F230" t="s">
        <v>22</v>
      </c>
      <c r="G230">
        <v>0</v>
      </c>
      <c r="H230" s="1">
        <v>0</v>
      </c>
      <c r="I230" s="21">
        <v>45269</v>
      </c>
      <c r="J230" s="21">
        <v>45271</v>
      </c>
      <c r="K230" s="21">
        <v>45271</v>
      </c>
      <c r="L230" t="s">
        <v>53</v>
      </c>
      <c r="M230" t="s">
        <v>40</v>
      </c>
      <c r="N230" t="s">
        <v>34</v>
      </c>
      <c r="O230">
        <v>1</v>
      </c>
      <c r="P230" t="s">
        <v>4390</v>
      </c>
      <c r="Q230" t="s">
        <v>4586</v>
      </c>
      <c r="R230" t="s">
        <v>4711</v>
      </c>
      <c r="S230" t="s">
        <v>4719</v>
      </c>
      <c r="T230">
        <f t="shared" si="6"/>
        <v>2</v>
      </c>
      <c r="U230" s="21">
        <f t="shared" si="7"/>
        <v>45271</v>
      </c>
    </row>
    <row r="231" spans="1:21" x14ac:dyDescent="0.35">
      <c r="A231" t="s">
        <v>3419</v>
      </c>
      <c r="B231" t="s">
        <v>3420</v>
      </c>
      <c r="C231" t="s">
        <v>19</v>
      </c>
      <c r="D231" t="s">
        <v>1006</v>
      </c>
      <c r="E231" s="1">
        <v>11.52</v>
      </c>
      <c r="F231" t="s">
        <v>995</v>
      </c>
      <c r="G231">
        <v>0</v>
      </c>
      <c r="H231" s="1">
        <v>0</v>
      </c>
      <c r="I231" s="21">
        <v>45269</v>
      </c>
      <c r="J231" s="21">
        <v>45273</v>
      </c>
      <c r="K231" s="21"/>
      <c r="L231" t="s">
        <v>4774</v>
      </c>
      <c r="M231" t="s">
        <v>146</v>
      </c>
      <c r="N231" t="s">
        <v>73</v>
      </c>
      <c r="O231">
        <v>1</v>
      </c>
      <c r="P231" t="s">
        <v>3421</v>
      </c>
      <c r="Q231" t="s">
        <v>4729</v>
      </c>
      <c r="R231" t="s">
        <v>4726</v>
      </c>
      <c r="S231" t="s">
        <v>4717</v>
      </c>
      <c r="T231">
        <f t="shared" si="6"/>
        <v>4</v>
      </c>
      <c r="U231" s="21">
        <f t="shared" si="7"/>
        <v>45273</v>
      </c>
    </row>
    <row r="232" spans="1:21" x14ac:dyDescent="0.35">
      <c r="A232" t="s">
        <v>4382</v>
      </c>
      <c r="B232" t="s">
        <v>4383</v>
      </c>
      <c r="C232" t="s">
        <v>30</v>
      </c>
      <c r="D232" t="s">
        <v>1002</v>
      </c>
      <c r="E232" s="1">
        <v>161.376</v>
      </c>
      <c r="F232" t="s">
        <v>995</v>
      </c>
      <c r="G232">
        <v>40</v>
      </c>
      <c r="H232" s="1">
        <v>64.55040000000001</v>
      </c>
      <c r="I232" s="21">
        <v>45267</v>
      </c>
      <c r="J232" s="21">
        <v>45268</v>
      </c>
      <c r="K232" s="21"/>
      <c r="L232" t="s">
        <v>4774</v>
      </c>
      <c r="M232" t="s">
        <v>40</v>
      </c>
      <c r="N232" t="s">
        <v>34</v>
      </c>
      <c r="O232">
        <v>1</v>
      </c>
      <c r="P232" t="s">
        <v>3567</v>
      </c>
      <c r="Q232" t="s">
        <v>4560</v>
      </c>
      <c r="R232" t="s">
        <v>4710</v>
      </c>
      <c r="S232" t="s">
        <v>4717</v>
      </c>
      <c r="T232">
        <f t="shared" si="6"/>
        <v>1</v>
      </c>
      <c r="U232" s="21">
        <f t="shared" si="7"/>
        <v>45268</v>
      </c>
    </row>
    <row r="233" spans="1:21" x14ac:dyDescent="0.35">
      <c r="A233" t="s">
        <v>2260</v>
      </c>
      <c r="B233" t="s">
        <v>2261</v>
      </c>
      <c r="C233" t="s">
        <v>19</v>
      </c>
      <c r="D233" t="s">
        <v>1002</v>
      </c>
      <c r="E233" s="1">
        <v>115.29600000000001</v>
      </c>
      <c r="F233" t="s">
        <v>995</v>
      </c>
      <c r="G233">
        <v>40</v>
      </c>
      <c r="H233" s="1">
        <v>46.118400000000008</v>
      </c>
      <c r="I233" s="21">
        <v>45266</v>
      </c>
      <c r="J233" s="21">
        <v>45269</v>
      </c>
      <c r="K233" s="21"/>
      <c r="L233" t="s">
        <v>4774</v>
      </c>
      <c r="M233" t="s">
        <v>146</v>
      </c>
      <c r="N233" t="s">
        <v>73</v>
      </c>
      <c r="O233">
        <v>1</v>
      </c>
      <c r="P233" t="s">
        <v>2125</v>
      </c>
      <c r="Q233" t="s">
        <v>4729</v>
      </c>
      <c r="R233" t="s">
        <v>4726</v>
      </c>
      <c r="S233" t="s">
        <v>4717</v>
      </c>
      <c r="T233">
        <f t="shared" si="6"/>
        <v>3</v>
      </c>
      <c r="U233" s="21">
        <f t="shared" si="7"/>
        <v>45269</v>
      </c>
    </row>
    <row r="234" spans="1:21" x14ac:dyDescent="0.35">
      <c r="A234" t="s">
        <v>3415</v>
      </c>
      <c r="B234" t="s">
        <v>3416</v>
      </c>
      <c r="C234" t="s">
        <v>30</v>
      </c>
      <c r="D234" t="s">
        <v>1006</v>
      </c>
      <c r="E234" s="1">
        <v>26.55</v>
      </c>
      <c r="F234" t="s">
        <v>995</v>
      </c>
      <c r="G234">
        <v>0</v>
      </c>
      <c r="H234" s="1">
        <v>0</v>
      </c>
      <c r="I234" s="21">
        <v>45266</v>
      </c>
      <c r="J234" s="21">
        <v>45268</v>
      </c>
      <c r="K234" s="21"/>
      <c r="L234" t="s">
        <v>4774</v>
      </c>
      <c r="M234" t="s">
        <v>67</v>
      </c>
      <c r="N234" t="s">
        <v>68</v>
      </c>
      <c r="O234">
        <v>1</v>
      </c>
      <c r="P234" t="s">
        <v>3061</v>
      </c>
      <c r="Q234" t="s">
        <v>4528</v>
      </c>
      <c r="R234" t="s">
        <v>4721</v>
      </c>
      <c r="S234" t="s">
        <v>4717</v>
      </c>
      <c r="T234">
        <f t="shared" si="6"/>
        <v>2</v>
      </c>
      <c r="U234" s="21">
        <f t="shared" si="7"/>
        <v>45268</v>
      </c>
    </row>
    <row r="235" spans="1:21" x14ac:dyDescent="0.35">
      <c r="A235" t="s">
        <v>2262</v>
      </c>
      <c r="B235" t="s">
        <v>2263</v>
      </c>
      <c r="C235" t="s">
        <v>30</v>
      </c>
      <c r="D235" t="s">
        <v>994</v>
      </c>
      <c r="E235" s="1">
        <v>59.98</v>
      </c>
      <c r="F235" t="s">
        <v>995</v>
      </c>
      <c r="G235">
        <v>40</v>
      </c>
      <c r="H235" s="1">
        <v>23.992000000000001</v>
      </c>
      <c r="I235" s="21">
        <v>45266</v>
      </c>
      <c r="J235" s="21">
        <v>45271</v>
      </c>
      <c r="K235" s="21"/>
      <c r="L235" t="s">
        <v>4774</v>
      </c>
      <c r="M235" t="s">
        <v>72</v>
      </c>
      <c r="N235" t="s">
        <v>73</v>
      </c>
      <c r="O235">
        <v>1</v>
      </c>
      <c r="P235" t="s">
        <v>1744</v>
      </c>
      <c r="Q235" t="s">
        <v>4729</v>
      </c>
      <c r="R235" t="s">
        <v>4713</v>
      </c>
      <c r="S235" t="s">
        <v>4719</v>
      </c>
      <c r="T235">
        <f t="shared" si="6"/>
        <v>5</v>
      </c>
      <c r="U235" s="21">
        <f t="shared" si="7"/>
        <v>45271</v>
      </c>
    </row>
    <row r="236" spans="1:21" x14ac:dyDescent="0.35">
      <c r="A236" t="s">
        <v>4380</v>
      </c>
      <c r="B236" t="s">
        <v>4381</v>
      </c>
      <c r="C236" t="s">
        <v>19</v>
      </c>
      <c r="D236" t="s">
        <v>994</v>
      </c>
      <c r="E236" s="1">
        <v>301.95999999999998</v>
      </c>
      <c r="F236" t="s">
        <v>995</v>
      </c>
      <c r="G236">
        <v>40</v>
      </c>
      <c r="H236" s="1">
        <v>120.78399999999999</v>
      </c>
      <c r="I236" s="21">
        <v>45266</v>
      </c>
      <c r="J236" s="21">
        <v>45270</v>
      </c>
      <c r="K236" s="21"/>
      <c r="L236" t="s">
        <v>4774</v>
      </c>
      <c r="M236" t="s">
        <v>97</v>
      </c>
      <c r="N236" t="s">
        <v>68</v>
      </c>
      <c r="O236">
        <v>1</v>
      </c>
      <c r="P236" t="s">
        <v>112</v>
      </c>
      <c r="Q236" t="s">
        <v>4525</v>
      </c>
      <c r="R236" t="s">
        <v>4714</v>
      </c>
      <c r="S236" t="s">
        <v>4718</v>
      </c>
      <c r="T236">
        <f t="shared" si="6"/>
        <v>4</v>
      </c>
      <c r="U236" s="21">
        <f t="shared" si="7"/>
        <v>45270</v>
      </c>
    </row>
    <row r="237" spans="1:21" x14ac:dyDescent="0.35">
      <c r="A237" t="s">
        <v>3417</v>
      </c>
      <c r="B237" t="s">
        <v>3418</v>
      </c>
      <c r="C237" t="s">
        <v>19</v>
      </c>
      <c r="D237" t="s">
        <v>1002</v>
      </c>
      <c r="E237" s="1">
        <v>54.816000000000003</v>
      </c>
      <c r="F237" t="s">
        <v>995</v>
      </c>
      <c r="G237">
        <v>40</v>
      </c>
      <c r="H237" s="1">
        <v>21.926400000000001</v>
      </c>
      <c r="I237" s="21">
        <v>45266</v>
      </c>
      <c r="J237" s="21">
        <v>45268</v>
      </c>
      <c r="K237" s="21"/>
      <c r="L237" t="s">
        <v>4774</v>
      </c>
      <c r="M237" t="s">
        <v>46</v>
      </c>
      <c r="N237" t="s">
        <v>47</v>
      </c>
      <c r="O237">
        <v>1</v>
      </c>
      <c r="P237" t="s">
        <v>2703</v>
      </c>
      <c r="Q237" t="s">
        <v>4519</v>
      </c>
      <c r="R237" t="s">
        <v>4726</v>
      </c>
      <c r="S237" t="s">
        <v>4717</v>
      </c>
      <c r="T237">
        <f t="shared" si="6"/>
        <v>2</v>
      </c>
      <c r="U237" s="21">
        <f t="shared" si="7"/>
        <v>45268</v>
      </c>
    </row>
    <row r="238" spans="1:21" x14ac:dyDescent="0.35">
      <c r="A238" t="s">
        <v>1069</v>
      </c>
      <c r="B238" t="s">
        <v>1070</v>
      </c>
      <c r="C238" t="s">
        <v>19</v>
      </c>
      <c r="D238" t="s">
        <v>1006</v>
      </c>
      <c r="E238" s="1">
        <v>20.736000000000001</v>
      </c>
      <c r="F238" t="s">
        <v>995</v>
      </c>
      <c r="G238">
        <v>0</v>
      </c>
      <c r="H238" s="1">
        <v>0</v>
      </c>
      <c r="I238" s="21">
        <v>45266</v>
      </c>
      <c r="J238" s="21">
        <v>45267</v>
      </c>
      <c r="K238" s="21"/>
      <c r="L238" t="s">
        <v>4774</v>
      </c>
      <c r="M238" t="s">
        <v>67</v>
      </c>
      <c r="N238" t="s">
        <v>68</v>
      </c>
      <c r="O238">
        <v>1</v>
      </c>
      <c r="P238" t="s">
        <v>1071</v>
      </c>
      <c r="Q238" t="s">
        <v>4519</v>
      </c>
      <c r="R238" t="s">
        <v>4726</v>
      </c>
      <c r="S238" t="s">
        <v>4717</v>
      </c>
      <c r="T238">
        <f t="shared" si="6"/>
        <v>1</v>
      </c>
      <c r="U238" s="21">
        <f t="shared" si="7"/>
        <v>45267</v>
      </c>
    </row>
    <row r="239" spans="1:21" x14ac:dyDescent="0.35">
      <c r="A239" t="s">
        <v>4378</v>
      </c>
      <c r="B239" t="s">
        <v>4379</v>
      </c>
      <c r="C239" t="s">
        <v>30</v>
      </c>
      <c r="D239" t="s">
        <v>994</v>
      </c>
      <c r="E239" s="1">
        <v>18.239999999999998</v>
      </c>
      <c r="F239" t="s">
        <v>995</v>
      </c>
      <c r="G239">
        <v>40</v>
      </c>
      <c r="H239" s="1">
        <v>7.2959999999999994</v>
      </c>
      <c r="I239" s="21">
        <v>45266</v>
      </c>
      <c r="J239" s="21">
        <v>45271</v>
      </c>
      <c r="K239" s="21"/>
      <c r="L239" t="s">
        <v>4774</v>
      </c>
      <c r="M239" t="s">
        <v>33</v>
      </c>
      <c r="N239" t="s">
        <v>34</v>
      </c>
      <c r="O239">
        <v>1</v>
      </c>
      <c r="P239" t="s">
        <v>1260</v>
      </c>
      <c r="Q239" t="s">
        <v>4729</v>
      </c>
      <c r="R239" t="s">
        <v>4726</v>
      </c>
      <c r="S239" t="s">
        <v>4717</v>
      </c>
      <c r="T239">
        <f t="shared" si="6"/>
        <v>5</v>
      </c>
      <c r="U239" s="21">
        <f t="shared" si="7"/>
        <v>45271</v>
      </c>
    </row>
    <row r="240" spans="1:21" x14ac:dyDescent="0.35">
      <c r="A240" t="s">
        <v>3412</v>
      </c>
      <c r="B240" t="s">
        <v>3413</v>
      </c>
      <c r="C240" t="s">
        <v>30</v>
      </c>
      <c r="D240" t="s">
        <v>994</v>
      </c>
      <c r="E240" s="1">
        <v>12.4199999999999</v>
      </c>
      <c r="F240" t="s">
        <v>995</v>
      </c>
      <c r="G240">
        <v>15</v>
      </c>
      <c r="H240" s="1">
        <v>1.8629999999999849</v>
      </c>
      <c r="I240" s="21">
        <v>45265</v>
      </c>
      <c r="J240" s="21">
        <v>45269</v>
      </c>
      <c r="K240" s="21"/>
      <c r="L240" t="s">
        <v>4774</v>
      </c>
      <c r="M240" t="s">
        <v>33</v>
      </c>
      <c r="N240" t="s">
        <v>34</v>
      </c>
      <c r="O240">
        <v>1</v>
      </c>
      <c r="P240" t="s">
        <v>3414</v>
      </c>
      <c r="Q240" t="s">
        <v>4549</v>
      </c>
      <c r="R240" t="s">
        <v>4726</v>
      </c>
      <c r="S240" t="s">
        <v>4717</v>
      </c>
      <c r="T240">
        <f t="shared" si="6"/>
        <v>4</v>
      </c>
      <c r="U240" s="21">
        <f t="shared" si="7"/>
        <v>45269</v>
      </c>
    </row>
    <row r="241" spans="1:21" x14ac:dyDescent="0.35">
      <c r="A241" t="s">
        <v>2258</v>
      </c>
      <c r="B241" t="s">
        <v>2259</v>
      </c>
      <c r="C241" t="s">
        <v>30</v>
      </c>
      <c r="D241" t="s">
        <v>21</v>
      </c>
      <c r="E241" s="1">
        <v>611.02800000000002</v>
      </c>
      <c r="F241" t="s">
        <v>22</v>
      </c>
      <c r="G241">
        <v>0</v>
      </c>
      <c r="H241" s="1">
        <v>0</v>
      </c>
      <c r="I241" s="21">
        <v>45265</v>
      </c>
      <c r="J241" s="21">
        <v>45266</v>
      </c>
      <c r="K241" s="21">
        <v>45266</v>
      </c>
      <c r="L241" t="s">
        <v>39</v>
      </c>
      <c r="M241" t="s">
        <v>25</v>
      </c>
      <c r="N241" t="s">
        <v>26</v>
      </c>
      <c r="O241">
        <v>1</v>
      </c>
      <c r="P241" t="s">
        <v>1343</v>
      </c>
      <c r="Q241" t="s">
        <v>4533</v>
      </c>
      <c r="R241" t="s">
        <v>4721</v>
      </c>
      <c r="S241" t="s">
        <v>4718</v>
      </c>
      <c r="T241">
        <f t="shared" si="6"/>
        <v>1</v>
      </c>
      <c r="U241" s="21">
        <f t="shared" si="7"/>
        <v>45266</v>
      </c>
    </row>
    <row r="242" spans="1:21" x14ac:dyDescent="0.35">
      <c r="A242" t="s">
        <v>4374</v>
      </c>
      <c r="B242" t="s">
        <v>4375</v>
      </c>
      <c r="C242" t="s">
        <v>30</v>
      </c>
      <c r="D242" t="s">
        <v>1006</v>
      </c>
      <c r="E242" s="1">
        <v>239.45599999999999</v>
      </c>
      <c r="F242" t="s">
        <v>995</v>
      </c>
      <c r="G242">
        <v>0</v>
      </c>
      <c r="H242" s="1">
        <v>0</v>
      </c>
      <c r="I242" s="21">
        <v>45265</v>
      </c>
      <c r="J242" s="21">
        <v>45269</v>
      </c>
      <c r="K242" s="21"/>
      <c r="L242" t="s">
        <v>4774</v>
      </c>
      <c r="M242" t="s">
        <v>54</v>
      </c>
      <c r="N242" t="s">
        <v>26</v>
      </c>
      <c r="O242">
        <v>1</v>
      </c>
      <c r="P242" t="s">
        <v>417</v>
      </c>
      <c r="Q242" t="s">
        <v>4562</v>
      </c>
      <c r="R242" t="s">
        <v>4709</v>
      </c>
      <c r="S242" t="s">
        <v>4717</v>
      </c>
      <c r="T242">
        <f t="shared" si="6"/>
        <v>4</v>
      </c>
      <c r="U242" s="21">
        <f t="shared" si="7"/>
        <v>45269</v>
      </c>
    </row>
    <row r="243" spans="1:21" x14ac:dyDescent="0.35">
      <c r="A243" t="s">
        <v>4376</v>
      </c>
      <c r="B243" t="s">
        <v>4377</v>
      </c>
      <c r="C243" t="s">
        <v>30</v>
      </c>
      <c r="D243" t="s">
        <v>994</v>
      </c>
      <c r="E243" s="1">
        <v>20.952000000000002</v>
      </c>
      <c r="F243" t="s">
        <v>995</v>
      </c>
      <c r="G243">
        <v>15</v>
      </c>
      <c r="H243" s="1">
        <v>3.1428000000000003</v>
      </c>
      <c r="I243" s="21">
        <v>45265</v>
      </c>
      <c r="J243" s="21">
        <v>45270</v>
      </c>
      <c r="K243" s="21"/>
      <c r="L243" t="s">
        <v>4774</v>
      </c>
      <c r="M243" t="s">
        <v>67</v>
      </c>
      <c r="N243" t="s">
        <v>68</v>
      </c>
      <c r="O243">
        <v>1</v>
      </c>
      <c r="P243" t="s">
        <v>577</v>
      </c>
      <c r="Q243" t="s">
        <v>4515</v>
      </c>
      <c r="R243" t="s">
        <v>4726</v>
      </c>
      <c r="S243" t="s">
        <v>4717</v>
      </c>
      <c r="T243">
        <f t="shared" si="6"/>
        <v>5</v>
      </c>
      <c r="U243" s="21">
        <f t="shared" si="7"/>
        <v>45270</v>
      </c>
    </row>
    <row r="244" spans="1:21" x14ac:dyDescent="0.35">
      <c r="A244" t="s">
        <v>2255</v>
      </c>
      <c r="B244" t="s">
        <v>2256</v>
      </c>
      <c r="C244" t="s">
        <v>19</v>
      </c>
      <c r="D244" t="s">
        <v>21</v>
      </c>
      <c r="E244" s="1">
        <v>1761.8500000000001</v>
      </c>
      <c r="F244" t="s">
        <v>22</v>
      </c>
      <c r="G244">
        <v>0</v>
      </c>
      <c r="H244" s="1">
        <v>0</v>
      </c>
      <c r="I244" s="21">
        <v>45264</v>
      </c>
      <c r="J244" s="21">
        <v>45267</v>
      </c>
      <c r="K244" s="21">
        <v>45267</v>
      </c>
      <c r="L244" t="s">
        <v>32</v>
      </c>
      <c r="M244" t="s">
        <v>146</v>
      </c>
      <c r="N244" t="s">
        <v>73</v>
      </c>
      <c r="O244">
        <v>1</v>
      </c>
      <c r="P244" t="s">
        <v>2257</v>
      </c>
      <c r="Q244" t="s">
        <v>4513</v>
      </c>
      <c r="R244" t="s">
        <v>4713</v>
      </c>
      <c r="S244" t="s">
        <v>4719</v>
      </c>
      <c r="T244">
        <f t="shared" si="6"/>
        <v>3</v>
      </c>
      <c r="U244" s="21">
        <f t="shared" si="7"/>
        <v>45267</v>
      </c>
    </row>
    <row r="245" spans="1:21" x14ac:dyDescent="0.35">
      <c r="A245" t="s">
        <v>4371</v>
      </c>
      <c r="B245" t="s">
        <v>4372</v>
      </c>
      <c r="C245" t="s">
        <v>19</v>
      </c>
      <c r="D245" t="s">
        <v>1002</v>
      </c>
      <c r="E245" s="1">
        <v>23.99</v>
      </c>
      <c r="F245" t="s">
        <v>995</v>
      </c>
      <c r="G245">
        <v>40</v>
      </c>
      <c r="H245" s="1">
        <v>9.5960000000000001</v>
      </c>
      <c r="I245" s="21">
        <v>45264</v>
      </c>
      <c r="J245" s="21">
        <v>45270</v>
      </c>
      <c r="K245" s="21"/>
      <c r="L245" t="s">
        <v>4774</v>
      </c>
      <c r="M245" t="s">
        <v>46</v>
      </c>
      <c r="N245" t="s">
        <v>47</v>
      </c>
      <c r="O245">
        <v>1</v>
      </c>
      <c r="P245" t="s">
        <v>4373</v>
      </c>
      <c r="Q245" t="s">
        <v>4729</v>
      </c>
      <c r="R245" t="s">
        <v>4725</v>
      </c>
      <c r="S245" t="s">
        <v>4718</v>
      </c>
      <c r="T245">
        <f t="shared" si="6"/>
        <v>6</v>
      </c>
      <c r="U245" s="21">
        <f t="shared" si="7"/>
        <v>45270</v>
      </c>
    </row>
    <row r="246" spans="1:21" x14ac:dyDescent="0.35">
      <c r="A246" t="s">
        <v>2252</v>
      </c>
      <c r="B246" t="s">
        <v>2253</v>
      </c>
      <c r="C246" t="s">
        <v>19</v>
      </c>
      <c r="D246" t="s">
        <v>21</v>
      </c>
      <c r="E246" s="1">
        <v>1165.3279999999997</v>
      </c>
      <c r="F246" t="s">
        <v>22</v>
      </c>
      <c r="G246">
        <v>0</v>
      </c>
      <c r="H246" s="1">
        <v>0</v>
      </c>
      <c r="I246" s="21">
        <v>45264</v>
      </c>
      <c r="J246" s="21">
        <v>45267</v>
      </c>
      <c r="K246" s="21">
        <v>45267</v>
      </c>
      <c r="L246" t="s">
        <v>63</v>
      </c>
      <c r="M246" t="s">
        <v>33</v>
      </c>
      <c r="N246" t="s">
        <v>34</v>
      </c>
      <c r="O246">
        <v>1</v>
      </c>
      <c r="P246" t="s">
        <v>2254</v>
      </c>
      <c r="Q246" t="s">
        <v>4519</v>
      </c>
      <c r="R246" t="s">
        <v>4726</v>
      </c>
      <c r="S246" t="s">
        <v>4717</v>
      </c>
      <c r="T246">
        <f t="shared" si="6"/>
        <v>3</v>
      </c>
      <c r="U246" s="21">
        <f t="shared" si="7"/>
        <v>45267</v>
      </c>
    </row>
    <row r="247" spans="1:21" x14ac:dyDescent="0.35">
      <c r="A247" t="s">
        <v>4369</v>
      </c>
      <c r="B247" t="s">
        <v>4370</v>
      </c>
      <c r="C247" t="s">
        <v>30</v>
      </c>
      <c r="D247" t="s">
        <v>1006</v>
      </c>
      <c r="E247" s="1">
        <v>9.5519999999999996</v>
      </c>
      <c r="F247" t="s">
        <v>995</v>
      </c>
      <c r="G247">
        <v>0</v>
      </c>
      <c r="H247" s="1">
        <v>0</v>
      </c>
      <c r="I247" s="21">
        <v>45263</v>
      </c>
      <c r="J247" s="21">
        <v>45269</v>
      </c>
      <c r="K247" s="21"/>
      <c r="L247" t="s">
        <v>4774</v>
      </c>
      <c r="M247" t="s">
        <v>146</v>
      </c>
      <c r="N247" t="s">
        <v>73</v>
      </c>
      <c r="O247">
        <v>1</v>
      </c>
      <c r="P247" t="s">
        <v>2210</v>
      </c>
      <c r="Q247" t="s">
        <v>4626</v>
      </c>
      <c r="R247" t="s">
        <v>4726</v>
      </c>
      <c r="S247" t="s">
        <v>4717</v>
      </c>
      <c r="T247">
        <f t="shared" si="6"/>
        <v>6</v>
      </c>
      <c r="U247" s="21">
        <f t="shared" si="7"/>
        <v>45269</v>
      </c>
    </row>
    <row r="248" spans="1:21" x14ac:dyDescent="0.35">
      <c r="A248" t="s">
        <v>3409</v>
      </c>
      <c r="B248" t="s">
        <v>3410</v>
      </c>
      <c r="C248" t="s">
        <v>30</v>
      </c>
      <c r="D248" t="s">
        <v>994</v>
      </c>
      <c r="E248" s="1">
        <v>5.1840000000000002</v>
      </c>
      <c r="F248" t="s">
        <v>995</v>
      </c>
      <c r="G248">
        <v>15</v>
      </c>
      <c r="H248" s="1">
        <v>0.77759999999999996</v>
      </c>
      <c r="I248" s="21">
        <v>45263</v>
      </c>
      <c r="J248" s="21">
        <v>45267</v>
      </c>
      <c r="K248" s="21"/>
      <c r="L248" t="s">
        <v>4774</v>
      </c>
      <c r="M248" t="s">
        <v>67</v>
      </c>
      <c r="N248" t="s">
        <v>68</v>
      </c>
      <c r="O248">
        <v>1</v>
      </c>
      <c r="P248" t="s">
        <v>3411</v>
      </c>
      <c r="Q248" t="s">
        <v>4519</v>
      </c>
      <c r="R248" t="s">
        <v>4726</v>
      </c>
      <c r="S248" t="s">
        <v>4717</v>
      </c>
      <c r="T248">
        <f t="shared" si="6"/>
        <v>4</v>
      </c>
      <c r="U248" s="21">
        <f t="shared" si="7"/>
        <v>45267</v>
      </c>
    </row>
    <row r="249" spans="1:21" x14ac:dyDescent="0.35">
      <c r="A249" t="s">
        <v>1066</v>
      </c>
      <c r="B249" t="s">
        <v>1067</v>
      </c>
      <c r="C249" t="s">
        <v>30</v>
      </c>
      <c r="D249" t="s">
        <v>1006</v>
      </c>
      <c r="E249" s="1">
        <v>385.8</v>
      </c>
      <c r="F249" t="s">
        <v>995</v>
      </c>
      <c r="G249">
        <v>0</v>
      </c>
      <c r="H249" s="1">
        <v>0</v>
      </c>
      <c r="I249" s="21">
        <v>45262</v>
      </c>
      <c r="J249" s="21">
        <v>45266</v>
      </c>
      <c r="K249" s="21"/>
      <c r="L249" t="s">
        <v>4774</v>
      </c>
      <c r="M249" t="s">
        <v>72</v>
      </c>
      <c r="N249" t="s">
        <v>73</v>
      </c>
      <c r="O249">
        <v>1</v>
      </c>
      <c r="P249" t="s">
        <v>1068</v>
      </c>
      <c r="Q249" t="s">
        <v>4551</v>
      </c>
      <c r="R249" t="s">
        <v>4711</v>
      </c>
      <c r="S249" t="s">
        <v>4719</v>
      </c>
      <c r="T249">
        <f t="shared" si="6"/>
        <v>4</v>
      </c>
      <c r="U249" s="21">
        <f t="shared" si="7"/>
        <v>45266</v>
      </c>
    </row>
    <row r="250" spans="1:21" x14ac:dyDescent="0.35">
      <c r="A250" t="s">
        <v>1063</v>
      </c>
      <c r="B250" t="s">
        <v>1064</v>
      </c>
      <c r="C250" t="s">
        <v>19</v>
      </c>
      <c r="D250" t="s">
        <v>1006</v>
      </c>
      <c r="E250" s="1">
        <v>17.088000000000001</v>
      </c>
      <c r="F250" t="s">
        <v>995</v>
      </c>
      <c r="G250">
        <v>0</v>
      </c>
      <c r="H250" s="1">
        <v>0</v>
      </c>
      <c r="I250" s="21">
        <v>45262</v>
      </c>
      <c r="J250" s="21">
        <v>45265</v>
      </c>
      <c r="K250" s="21"/>
      <c r="L250" t="s">
        <v>4774</v>
      </c>
      <c r="M250" t="s">
        <v>25</v>
      </c>
      <c r="N250" t="s">
        <v>26</v>
      </c>
      <c r="O250">
        <v>1</v>
      </c>
      <c r="P250" t="s">
        <v>1065</v>
      </c>
      <c r="Q250" t="s">
        <v>4612</v>
      </c>
      <c r="R250" t="s">
        <v>4725</v>
      </c>
      <c r="S250" t="s">
        <v>4718</v>
      </c>
      <c r="T250">
        <f t="shared" si="6"/>
        <v>3</v>
      </c>
      <c r="U250" s="21">
        <f t="shared" si="7"/>
        <v>45265</v>
      </c>
    </row>
    <row r="251" spans="1:21" x14ac:dyDescent="0.35">
      <c r="A251" t="s">
        <v>2246</v>
      </c>
      <c r="B251" t="s">
        <v>2247</v>
      </c>
      <c r="C251" t="s">
        <v>19</v>
      </c>
      <c r="D251" t="s">
        <v>1006</v>
      </c>
      <c r="E251" s="1">
        <v>50.32</v>
      </c>
      <c r="F251" t="s">
        <v>995</v>
      </c>
      <c r="G251">
        <v>0</v>
      </c>
      <c r="H251" s="1">
        <v>0</v>
      </c>
      <c r="I251" s="21">
        <v>45262</v>
      </c>
      <c r="J251" s="21">
        <v>45267</v>
      </c>
      <c r="K251" s="21"/>
      <c r="L251" t="s">
        <v>4774</v>
      </c>
      <c r="M251" t="s">
        <v>72</v>
      </c>
      <c r="N251" t="s">
        <v>73</v>
      </c>
      <c r="O251">
        <v>1</v>
      </c>
      <c r="P251" t="s">
        <v>2248</v>
      </c>
      <c r="Q251" t="s">
        <v>4603</v>
      </c>
      <c r="R251" t="s">
        <v>4721</v>
      </c>
      <c r="S251" t="s">
        <v>4718</v>
      </c>
      <c r="T251">
        <f t="shared" si="6"/>
        <v>5</v>
      </c>
      <c r="U251" s="21">
        <f t="shared" si="7"/>
        <v>45267</v>
      </c>
    </row>
    <row r="252" spans="1:21" x14ac:dyDescent="0.35">
      <c r="A252" t="s">
        <v>4367</v>
      </c>
      <c r="B252" t="s">
        <v>4368</v>
      </c>
      <c r="C252" t="s">
        <v>19</v>
      </c>
      <c r="D252" t="s">
        <v>1006</v>
      </c>
      <c r="E252" s="1">
        <v>12.224</v>
      </c>
      <c r="F252" t="s">
        <v>995</v>
      </c>
      <c r="G252">
        <v>0</v>
      </c>
      <c r="H252" s="1">
        <v>0</v>
      </c>
      <c r="I252" s="21">
        <v>45262</v>
      </c>
      <c r="J252" s="21">
        <v>45268</v>
      </c>
      <c r="K252" s="21"/>
      <c r="L252" t="s">
        <v>4774</v>
      </c>
      <c r="M252" t="s">
        <v>82</v>
      </c>
      <c r="N252" t="s">
        <v>47</v>
      </c>
      <c r="O252">
        <v>1</v>
      </c>
      <c r="P252" t="s">
        <v>3004</v>
      </c>
      <c r="Q252" t="s">
        <v>4675</v>
      </c>
      <c r="R252" t="s">
        <v>4721</v>
      </c>
      <c r="S252" t="s">
        <v>4717</v>
      </c>
      <c r="T252">
        <f t="shared" si="6"/>
        <v>6</v>
      </c>
      <c r="U252" s="21">
        <f t="shared" si="7"/>
        <v>45268</v>
      </c>
    </row>
    <row r="253" spans="1:21" x14ac:dyDescent="0.35">
      <c r="A253" t="s">
        <v>2249</v>
      </c>
      <c r="B253" t="s">
        <v>2250</v>
      </c>
      <c r="C253" t="s">
        <v>30</v>
      </c>
      <c r="D253" t="s">
        <v>1002</v>
      </c>
      <c r="E253" s="1">
        <v>19.04</v>
      </c>
      <c r="F253" t="s">
        <v>995</v>
      </c>
      <c r="G253">
        <v>40</v>
      </c>
      <c r="H253" s="1">
        <v>7.6159999999999997</v>
      </c>
      <c r="I253" s="21">
        <v>45262</v>
      </c>
      <c r="J253" s="21">
        <v>45262</v>
      </c>
      <c r="K253" s="21"/>
      <c r="L253" t="s">
        <v>4774</v>
      </c>
      <c r="M253" t="s">
        <v>25</v>
      </c>
      <c r="N253" t="s">
        <v>26</v>
      </c>
      <c r="O253">
        <v>1</v>
      </c>
      <c r="P253" t="s">
        <v>2251</v>
      </c>
      <c r="Q253" t="s">
        <v>4729</v>
      </c>
      <c r="R253" t="s">
        <v>4721</v>
      </c>
      <c r="S253" t="s">
        <v>4717</v>
      </c>
      <c r="T253">
        <f t="shared" si="6"/>
        <v>0</v>
      </c>
      <c r="U253" s="21">
        <f t="shared" si="7"/>
        <v>45262</v>
      </c>
    </row>
    <row r="254" spans="1:21" x14ac:dyDescent="0.35">
      <c r="A254" t="s">
        <v>4364</v>
      </c>
      <c r="B254" t="s">
        <v>4365</v>
      </c>
      <c r="C254" t="s">
        <v>19</v>
      </c>
      <c r="D254" t="s">
        <v>1002</v>
      </c>
      <c r="E254" s="1">
        <v>24.56</v>
      </c>
      <c r="F254" t="s">
        <v>995</v>
      </c>
      <c r="G254">
        <v>40</v>
      </c>
      <c r="H254" s="1">
        <v>9.8239999999999998</v>
      </c>
      <c r="I254" s="21">
        <v>45262</v>
      </c>
      <c r="J254" s="21">
        <v>45266</v>
      </c>
      <c r="K254" s="21"/>
      <c r="L254" t="s">
        <v>4774</v>
      </c>
      <c r="M254" t="s">
        <v>82</v>
      </c>
      <c r="N254" t="s">
        <v>47</v>
      </c>
      <c r="O254">
        <v>1</v>
      </c>
      <c r="P254" t="s">
        <v>4366</v>
      </c>
      <c r="Q254" t="s">
        <v>4519</v>
      </c>
      <c r="R254" t="s">
        <v>4726</v>
      </c>
      <c r="S254" t="s">
        <v>4717</v>
      </c>
      <c r="T254">
        <f t="shared" si="6"/>
        <v>4</v>
      </c>
      <c r="U254" s="21">
        <f t="shared" si="7"/>
        <v>45266</v>
      </c>
    </row>
    <row r="255" spans="1:21" x14ac:dyDescent="0.35">
      <c r="A255" t="s">
        <v>3406</v>
      </c>
      <c r="B255" t="s">
        <v>3407</v>
      </c>
      <c r="C255" t="s">
        <v>30</v>
      </c>
      <c r="D255" t="s">
        <v>1006</v>
      </c>
      <c r="E255" s="1">
        <v>18.288</v>
      </c>
      <c r="F255" t="s">
        <v>995</v>
      </c>
      <c r="G255">
        <v>0</v>
      </c>
      <c r="H255" s="1">
        <v>0</v>
      </c>
      <c r="I255" s="21">
        <v>45261</v>
      </c>
      <c r="J255" s="21">
        <v>45261</v>
      </c>
      <c r="K255" s="21"/>
      <c r="L255" t="s">
        <v>4774</v>
      </c>
      <c r="M255" t="s">
        <v>67</v>
      </c>
      <c r="N255" t="s">
        <v>68</v>
      </c>
      <c r="O255">
        <v>1</v>
      </c>
      <c r="P255" t="s">
        <v>3408</v>
      </c>
      <c r="Q255" t="s">
        <v>4526</v>
      </c>
      <c r="R255" t="s">
        <v>4726</v>
      </c>
      <c r="S255" t="s">
        <v>4717</v>
      </c>
      <c r="T255">
        <f t="shared" si="6"/>
        <v>0</v>
      </c>
      <c r="U255" s="21">
        <f t="shared" si="7"/>
        <v>45261</v>
      </c>
    </row>
    <row r="256" spans="1:21" x14ac:dyDescent="0.35">
      <c r="A256" t="s">
        <v>4362</v>
      </c>
      <c r="B256" t="s">
        <v>4363</v>
      </c>
      <c r="C256" t="s">
        <v>19</v>
      </c>
      <c r="D256" t="s">
        <v>1002</v>
      </c>
      <c r="E256" s="1">
        <v>23.975999999999999</v>
      </c>
      <c r="F256" t="s">
        <v>995</v>
      </c>
      <c r="G256">
        <v>40</v>
      </c>
      <c r="H256" s="1">
        <v>9.5904000000000007</v>
      </c>
      <c r="I256" s="21">
        <v>45260</v>
      </c>
      <c r="J256" s="21">
        <v>45265</v>
      </c>
      <c r="K256" s="21"/>
      <c r="L256" t="s">
        <v>4774</v>
      </c>
      <c r="M256" t="s">
        <v>72</v>
      </c>
      <c r="N256" t="s">
        <v>73</v>
      </c>
      <c r="O256">
        <v>1</v>
      </c>
      <c r="P256" t="s">
        <v>2889</v>
      </c>
      <c r="Q256" t="s">
        <v>4729</v>
      </c>
      <c r="R256" t="s">
        <v>4722</v>
      </c>
      <c r="S256" t="s">
        <v>4718</v>
      </c>
      <c r="T256">
        <f t="shared" si="6"/>
        <v>5</v>
      </c>
      <c r="U256" s="21">
        <f t="shared" si="7"/>
        <v>45265</v>
      </c>
    </row>
    <row r="257" spans="1:21" x14ac:dyDescent="0.35">
      <c r="A257" t="s">
        <v>2243</v>
      </c>
      <c r="B257" t="s">
        <v>2244</v>
      </c>
      <c r="C257" t="s">
        <v>30</v>
      </c>
      <c r="D257" t="s">
        <v>994</v>
      </c>
      <c r="E257" s="1">
        <v>65.989999999999995</v>
      </c>
      <c r="F257" t="s">
        <v>995</v>
      </c>
      <c r="G257">
        <v>40</v>
      </c>
      <c r="H257" s="1">
        <v>26.396000000000001</v>
      </c>
      <c r="I257" s="21">
        <v>45260</v>
      </c>
      <c r="J257" s="21">
        <v>45262</v>
      </c>
      <c r="K257" s="21"/>
      <c r="L257" t="s">
        <v>4774</v>
      </c>
      <c r="M257" t="s">
        <v>82</v>
      </c>
      <c r="N257" t="s">
        <v>47</v>
      </c>
      <c r="O257">
        <v>1</v>
      </c>
      <c r="P257" t="s">
        <v>2245</v>
      </c>
      <c r="Q257" t="s">
        <v>4653</v>
      </c>
      <c r="R257" t="s">
        <v>4711</v>
      </c>
      <c r="S257" t="s">
        <v>4719</v>
      </c>
      <c r="T257">
        <f t="shared" si="6"/>
        <v>2</v>
      </c>
      <c r="U257" s="21">
        <f t="shared" si="7"/>
        <v>45262</v>
      </c>
    </row>
    <row r="258" spans="1:21" x14ac:dyDescent="0.35">
      <c r="A258" t="s">
        <v>2241</v>
      </c>
      <c r="B258" t="s">
        <v>2242</v>
      </c>
      <c r="C258" t="s">
        <v>19</v>
      </c>
      <c r="D258" t="s">
        <v>994</v>
      </c>
      <c r="E258" s="1">
        <v>301.95999999999998</v>
      </c>
      <c r="F258" t="s">
        <v>995</v>
      </c>
      <c r="G258">
        <v>15</v>
      </c>
      <c r="H258" s="1">
        <v>45.293999999999997</v>
      </c>
      <c r="I258" s="21">
        <v>45259</v>
      </c>
      <c r="J258" s="21">
        <v>45264</v>
      </c>
      <c r="K258" s="21"/>
      <c r="L258" t="s">
        <v>4774</v>
      </c>
      <c r="M258" t="s">
        <v>82</v>
      </c>
      <c r="N258" t="s">
        <v>47</v>
      </c>
      <c r="O258">
        <v>1</v>
      </c>
      <c r="P258" t="s">
        <v>770</v>
      </c>
      <c r="Q258" t="s">
        <v>4567</v>
      </c>
      <c r="R258" t="s">
        <v>4714</v>
      </c>
      <c r="S258" t="s">
        <v>4718</v>
      </c>
      <c r="T258">
        <f t="shared" ref="T258:T321" si="8">J258-I258</f>
        <v>5</v>
      </c>
      <c r="U258" s="21">
        <f t="shared" si="7"/>
        <v>45264</v>
      </c>
    </row>
    <row r="259" spans="1:21" x14ac:dyDescent="0.35">
      <c r="A259" t="s">
        <v>4360</v>
      </c>
      <c r="B259" t="s">
        <v>4361</v>
      </c>
      <c r="C259" t="s">
        <v>30</v>
      </c>
      <c r="D259" t="s">
        <v>1002</v>
      </c>
      <c r="E259" s="1">
        <v>122.97</v>
      </c>
      <c r="F259" t="s">
        <v>995</v>
      </c>
      <c r="G259">
        <v>40</v>
      </c>
      <c r="H259" s="1">
        <v>49.188000000000002</v>
      </c>
      <c r="I259" s="21">
        <v>45259</v>
      </c>
      <c r="J259" s="21">
        <v>45263</v>
      </c>
      <c r="K259" s="21"/>
      <c r="L259" t="s">
        <v>4774</v>
      </c>
      <c r="M259" t="s">
        <v>46</v>
      </c>
      <c r="N259" t="s">
        <v>47</v>
      </c>
      <c r="O259">
        <v>1</v>
      </c>
      <c r="P259" t="s">
        <v>2732</v>
      </c>
      <c r="Q259" t="s">
        <v>4729</v>
      </c>
      <c r="R259" t="s">
        <v>4726</v>
      </c>
      <c r="S259" t="s">
        <v>4717</v>
      </c>
      <c r="T259">
        <f t="shared" si="8"/>
        <v>4</v>
      </c>
      <c r="U259" s="21">
        <f t="shared" ref="U259:U322" si="9">J259</f>
        <v>45263</v>
      </c>
    </row>
    <row r="260" spans="1:21" x14ac:dyDescent="0.35">
      <c r="A260" t="s">
        <v>1057</v>
      </c>
      <c r="B260" t="s">
        <v>1058</v>
      </c>
      <c r="C260" t="s">
        <v>30</v>
      </c>
      <c r="D260" t="s">
        <v>994</v>
      </c>
      <c r="E260" s="1">
        <v>8.5440000000000005</v>
      </c>
      <c r="F260" t="s">
        <v>995</v>
      </c>
      <c r="G260">
        <v>15</v>
      </c>
      <c r="H260" s="1">
        <v>1.2816000000000001</v>
      </c>
      <c r="I260" s="21">
        <v>45258</v>
      </c>
      <c r="J260" s="21">
        <v>45262</v>
      </c>
      <c r="K260" s="21"/>
      <c r="L260" t="s">
        <v>4774</v>
      </c>
      <c r="M260" t="s">
        <v>97</v>
      </c>
      <c r="N260" t="s">
        <v>68</v>
      </c>
      <c r="O260">
        <v>1</v>
      </c>
      <c r="P260" t="s">
        <v>1059</v>
      </c>
      <c r="Q260" t="s">
        <v>4611</v>
      </c>
      <c r="R260" t="s">
        <v>4724</v>
      </c>
      <c r="S260" t="s">
        <v>4718</v>
      </c>
      <c r="T260">
        <f t="shared" si="8"/>
        <v>4</v>
      </c>
      <c r="U260" s="21">
        <f t="shared" si="9"/>
        <v>45262</v>
      </c>
    </row>
    <row r="261" spans="1:21" x14ac:dyDescent="0.35">
      <c r="A261" t="s">
        <v>2238</v>
      </c>
      <c r="B261" t="s">
        <v>2239</v>
      </c>
      <c r="C261" t="s">
        <v>30</v>
      </c>
      <c r="D261" t="s">
        <v>1006</v>
      </c>
      <c r="E261" s="1">
        <v>115.96</v>
      </c>
      <c r="F261" t="s">
        <v>995</v>
      </c>
      <c r="G261">
        <v>0</v>
      </c>
      <c r="H261" s="1">
        <v>0</v>
      </c>
      <c r="I261" s="21">
        <v>45258</v>
      </c>
      <c r="J261" s="21">
        <v>45260</v>
      </c>
      <c r="K261" s="21"/>
      <c r="L261" t="s">
        <v>4774</v>
      </c>
      <c r="M261" t="s">
        <v>25</v>
      </c>
      <c r="N261" t="s">
        <v>26</v>
      </c>
      <c r="O261">
        <v>1</v>
      </c>
      <c r="P261" t="s">
        <v>2240</v>
      </c>
      <c r="Q261" t="s">
        <v>4566</v>
      </c>
      <c r="R261" t="s">
        <v>4723</v>
      </c>
      <c r="S261" t="s">
        <v>4718</v>
      </c>
      <c r="T261">
        <f t="shared" si="8"/>
        <v>2</v>
      </c>
      <c r="U261" s="21">
        <f t="shared" si="9"/>
        <v>45260</v>
      </c>
    </row>
    <row r="262" spans="1:21" x14ac:dyDescent="0.35">
      <c r="A262" t="s">
        <v>3404</v>
      </c>
      <c r="B262" t="s">
        <v>3405</v>
      </c>
      <c r="C262" t="s">
        <v>19</v>
      </c>
      <c r="D262" t="s">
        <v>1002</v>
      </c>
      <c r="E262" s="1">
        <v>6.24</v>
      </c>
      <c r="F262" t="s">
        <v>995</v>
      </c>
      <c r="G262">
        <v>40</v>
      </c>
      <c r="H262" s="1">
        <v>2.4960000000000004</v>
      </c>
      <c r="I262" s="21">
        <v>45258</v>
      </c>
      <c r="J262" s="21">
        <v>45261</v>
      </c>
      <c r="K262" s="21"/>
      <c r="L262" t="s">
        <v>4774</v>
      </c>
      <c r="M262" t="s">
        <v>82</v>
      </c>
      <c r="N262" t="s">
        <v>47</v>
      </c>
      <c r="O262">
        <v>1</v>
      </c>
      <c r="P262" t="s">
        <v>1638</v>
      </c>
      <c r="Q262" t="s">
        <v>4533</v>
      </c>
      <c r="R262" t="s">
        <v>4724</v>
      </c>
      <c r="S262" t="s">
        <v>4718</v>
      </c>
      <c r="T262">
        <f t="shared" si="8"/>
        <v>3</v>
      </c>
      <c r="U262" s="21">
        <f t="shared" si="9"/>
        <v>45261</v>
      </c>
    </row>
    <row r="263" spans="1:21" x14ac:dyDescent="0.35">
      <c r="A263" t="s">
        <v>1060</v>
      </c>
      <c r="B263" t="s">
        <v>1061</v>
      </c>
      <c r="C263" t="s">
        <v>19</v>
      </c>
      <c r="D263" t="s">
        <v>21</v>
      </c>
      <c r="E263" s="1">
        <v>186.95</v>
      </c>
      <c r="F263" t="s">
        <v>22</v>
      </c>
      <c r="G263">
        <v>0</v>
      </c>
      <c r="H263" s="1">
        <v>0</v>
      </c>
      <c r="I263" s="21">
        <v>45258</v>
      </c>
      <c r="J263" s="21">
        <v>45261</v>
      </c>
      <c r="K263" s="21">
        <v>45261</v>
      </c>
      <c r="L263" t="s">
        <v>24</v>
      </c>
      <c r="M263" t="s">
        <v>54</v>
      </c>
      <c r="N263" t="s">
        <v>26</v>
      </c>
      <c r="O263">
        <v>1</v>
      </c>
      <c r="P263" t="s">
        <v>1062</v>
      </c>
      <c r="Q263" t="s">
        <v>4729</v>
      </c>
      <c r="R263" t="s">
        <v>4713</v>
      </c>
      <c r="S263" t="s">
        <v>4719</v>
      </c>
      <c r="T263">
        <f t="shared" si="8"/>
        <v>3</v>
      </c>
      <c r="U263" s="21">
        <f t="shared" si="9"/>
        <v>45261</v>
      </c>
    </row>
    <row r="264" spans="1:21" x14ac:dyDescent="0.35">
      <c r="A264" t="s">
        <v>1054</v>
      </c>
      <c r="B264" t="s">
        <v>1055</v>
      </c>
      <c r="C264" t="s">
        <v>19</v>
      </c>
      <c r="D264" t="s">
        <v>21</v>
      </c>
      <c r="E264" s="1">
        <v>345.46999999999997</v>
      </c>
      <c r="F264" t="s">
        <v>22</v>
      </c>
      <c r="G264">
        <v>0</v>
      </c>
      <c r="H264" s="1">
        <v>0</v>
      </c>
      <c r="I264" s="21">
        <v>45258</v>
      </c>
      <c r="J264" s="21">
        <v>45261</v>
      </c>
      <c r="K264" s="21">
        <v>45261</v>
      </c>
      <c r="L264" t="s">
        <v>39</v>
      </c>
      <c r="M264" t="s">
        <v>67</v>
      </c>
      <c r="N264" t="s">
        <v>68</v>
      </c>
      <c r="O264">
        <v>1</v>
      </c>
      <c r="P264" t="s">
        <v>1056</v>
      </c>
      <c r="Q264" t="s">
        <v>4519</v>
      </c>
      <c r="R264" t="s">
        <v>4726</v>
      </c>
      <c r="S264" t="s">
        <v>4717</v>
      </c>
      <c r="T264">
        <f t="shared" si="8"/>
        <v>3</v>
      </c>
      <c r="U264" s="21">
        <f t="shared" si="9"/>
        <v>45261</v>
      </c>
    </row>
    <row r="265" spans="1:21" x14ac:dyDescent="0.35">
      <c r="A265" t="s">
        <v>3401</v>
      </c>
      <c r="B265" t="s">
        <v>3402</v>
      </c>
      <c r="C265" t="s">
        <v>30</v>
      </c>
      <c r="D265" t="s">
        <v>1006</v>
      </c>
      <c r="E265" s="1">
        <v>15.552</v>
      </c>
      <c r="F265" t="s">
        <v>995</v>
      </c>
      <c r="G265">
        <v>0</v>
      </c>
      <c r="H265" s="1">
        <v>0</v>
      </c>
      <c r="I265" s="21">
        <v>45258</v>
      </c>
      <c r="J265" s="21">
        <v>45263</v>
      </c>
      <c r="K265" s="21"/>
      <c r="L265" t="s">
        <v>4774</v>
      </c>
      <c r="M265" t="s">
        <v>46</v>
      </c>
      <c r="N265" t="s">
        <v>47</v>
      </c>
      <c r="O265">
        <v>1</v>
      </c>
      <c r="P265" t="s">
        <v>3403</v>
      </c>
      <c r="Q265" t="s">
        <v>4519</v>
      </c>
      <c r="R265" t="s">
        <v>4726</v>
      </c>
      <c r="S265" t="s">
        <v>4717</v>
      </c>
      <c r="T265">
        <f t="shared" si="8"/>
        <v>5</v>
      </c>
      <c r="U265" s="21">
        <f t="shared" si="9"/>
        <v>45263</v>
      </c>
    </row>
    <row r="266" spans="1:21" x14ac:dyDescent="0.35">
      <c r="A266" t="s">
        <v>2230</v>
      </c>
      <c r="B266" t="s">
        <v>2231</v>
      </c>
      <c r="C266" t="s">
        <v>30</v>
      </c>
      <c r="D266" t="s">
        <v>1002</v>
      </c>
      <c r="E266" s="1">
        <v>55.98</v>
      </c>
      <c r="F266" t="s">
        <v>995</v>
      </c>
      <c r="G266">
        <v>40</v>
      </c>
      <c r="H266" s="1">
        <v>22.391999999999999</v>
      </c>
      <c r="I266" s="21">
        <v>45257</v>
      </c>
      <c r="J266" s="21">
        <v>45263</v>
      </c>
      <c r="K266" s="21"/>
      <c r="L266" t="s">
        <v>4774</v>
      </c>
      <c r="M266" t="s">
        <v>25</v>
      </c>
      <c r="N266" t="s">
        <v>26</v>
      </c>
      <c r="O266">
        <v>1</v>
      </c>
      <c r="P266" t="s">
        <v>2232</v>
      </c>
      <c r="Q266" t="s">
        <v>4652</v>
      </c>
      <c r="R266" t="s">
        <v>4711</v>
      </c>
      <c r="S266" t="s">
        <v>4719</v>
      </c>
      <c r="T266">
        <f t="shared" si="8"/>
        <v>6</v>
      </c>
      <c r="U266" s="21">
        <f t="shared" si="9"/>
        <v>45263</v>
      </c>
    </row>
    <row r="267" spans="1:21" x14ac:dyDescent="0.35">
      <c r="A267" t="s">
        <v>2233</v>
      </c>
      <c r="B267" t="s">
        <v>2234</v>
      </c>
      <c r="C267" t="s">
        <v>30</v>
      </c>
      <c r="D267" t="s">
        <v>21</v>
      </c>
      <c r="E267" s="1">
        <v>3236.41</v>
      </c>
      <c r="F267" t="s">
        <v>22</v>
      </c>
      <c r="G267">
        <v>0</v>
      </c>
      <c r="H267" s="1">
        <v>0</v>
      </c>
      <c r="I267" s="21">
        <v>45257</v>
      </c>
      <c r="J267" s="21">
        <v>45260</v>
      </c>
      <c r="K267" s="21">
        <v>45260</v>
      </c>
      <c r="L267" t="s">
        <v>24</v>
      </c>
      <c r="M267" t="s">
        <v>46</v>
      </c>
      <c r="N267" t="s">
        <v>47</v>
      </c>
      <c r="O267">
        <v>1</v>
      </c>
      <c r="P267" t="s">
        <v>1202</v>
      </c>
      <c r="Q267" t="s">
        <v>4729</v>
      </c>
      <c r="R267" t="s">
        <v>4726</v>
      </c>
      <c r="S267" t="s">
        <v>4717</v>
      </c>
      <c r="T267">
        <f t="shared" si="8"/>
        <v>3</v>
      </c>
      <c r="U267" s="21">
        <f t="shared" si="9"/>
        <v>45260</v>
      </c>
    </row>
    <row r="268" spans="1:21" x14ac:dyDescent="0.35">
      <c r="A268" t="s">
        <v>2235</v>
      </c>
      <c r="B268" t="s">
        <v>2236</v>
      </c>
      <c r="C268" t="s">
        <v>30</v>
      </c>
      <c r="D268" t="s">
        <v>1002</v>
      </c>
      <c r="E268" s="1">
        <v>125.13</v>
      </c>
      <c r="F268" t="s">
        <v>995</v>
      </c>
      <c r="G268">
        <v>40</v>
      </c>
      <c r="H268" s="1">
        <v>50.052</v>
      </c>
      <c r="I268" s="21">
        <v>45257</v>
      </c>
      <c r="J268" s="21">
        <v>45260</v>
      </c>
      <c r="K268" s="21"/>
      <c r="L268" t="s">
        <v>4774</v>
      </c>
      <c r="M268" t="s">
        <v>25</v>
      </c>
      <c r="N268" t="s">
        <v>26</v>
      </c>
      <c r="O268">
        <v>1</v>
      </c>
      <c r="P268" t="s">
        <v>2237</v>
      </c>
      <c r="Q268" t="s">
        <v>4560</v>
      </c>
      <c r="R268" t="s">
        <v>4710</v>
      </c>
      <c r="S268" t="s">
        <v>4717</v>
      </c>
      <c r="T268">
        <f t="shared" si="8"/>
        <v>3</v>
      </c>
      <c r="U268" s="21">
        <f t="shared" si="9"/>
        <v>45260</v>
      </c>
    </row>
    <row r="269" spans="1:21" x14ac:dyDescent="0.35">
      <c r="A269" t="s">
        <v>1048</v>
      </c>
      <c r="B269" t="s">
        <v>1049</v>
      </c>
      <c r="C269" t="s">
        <v>19</v>
      </c>
      <c r="D269" t="s">
        <v>1006</v>
      </c>
      <c r="E269" s="1">
        <v>299.52</v>
      </c>
      <c r="F269" t="s">
        <v>995</v>
      </c>
      <c r="G269">
        <v>0</v>
      </c>
      <c r="H269" s="1">
        <v>0</v>
      </c>
      <c r="I269" s="21">
        <v>45257</v>
      </c>
      <c r="J269" s="21">
        <v>45263</v>
      </c>
      <c r="K269" s="21"/>
      <c r="L269" t="s">
        <v>4774</v>
      </c>
      <c r="M269" t="s">
        <v>82</v>
      </c>
      <c r="N269" t="s">
        <v>47</v>
      </c>
      <c r="O269">
        <v>1</v>
      </c>
      <c r="P269" t="s">
        <v>1050</v>
      </c>
      <c r="Q269" t="s">
        <v>4528</v>
      </c>
      <c r="R269" t="s">
        <v>4726</v>
      </c>
      <c r="S269" t="s">
        <v>4717</v>
      </c>
      <c r="T269">
        <f t="shared" si="8"/>
        <v>6</v>
      </c>
      <c r="U269" s="21">
        <f t="shared" si="9"/>
        <v>45263</v>
      </c>
    </row>
    <row r="270" spans="1:21" x14ac:dyDescent="0.35">
      <c r="A270" t="s">
        <v>3397</v>
      </c>
      <c r="B270" t="s">
        <v>3398</v>
      </c>
      <c r="C270" t="s">
        <v>19</v>
      </c>
      <c r="D270" t="s">
        <v>1006</v>
      </c>
      <c r="E270" s="1">
        <v>133.12</v>
      </c>
      <c r="F270" t="s">
        <v>995</v>
      </c>
      <c r="G270">
        <v>0</v>
      </c>
      <c r="H270" s="1">
        <v>0</v>
      </c>
      <c r="I270" s="21">
        <v>45257</v>
      </c>
      <c r="J270" s="21">
        <v>45259</v>
      </c>
      <c r="K270" s="21"/>
      <c r="L270" t="s">
        <v>4774</v>
      </c>
      <c r="M270" t="s">
        <v>46</v>
      </c>
      <c r="N270" t="s">
        <v>47</v>
      </c>
      <c r="O270">
        <v>1</v>
      </c>
      <c r="P270" t="s">
        <v>1050</v>
      </c>
      <c r="Q270" t="s">
        <v>4528</v>
      </c>
      <c r="R270" t="s">
        <v>4726</v>
      </c>
      <c r="S270" t="s">
        <v>4717</v>
      </c>
      <c r="T270">
        <f t="shared" si="8"/>
        <v>2</v>
      </c>
      <c r="U270" s="21">
        <f t="shared" si="9"/>
        <v>45259</v>
      </c>
    </row>
    <row r="271" spans="1:21" x14ac:dyDescent="0.35">
      <c r="A271" t="s">
        <v>2228</v>
      </c>
      <c r="B271" t="s">
        <v>2229</v>
      </c>
      <c r="C271" t="s">
        <v>30</v>
      </c>
      <c r="D271" t="s">
        <v>1006</v>
      </c>
      <c r="E271" s="1">
        <v>14.56</v>
      </c>
      <c r="F271" t="s">
        <v>995</v>
      </c>
      <c r="G271">
        <v>0</v>
      </c>
      <c r="H271" s="1">
        <v>0</v>
      </c>
      <c r="I271" s="21">
        <v>45257</v>
      </c>
      <c r="J271" s="21">
        <v>45261</v>
      </c>
      <c r="K271" s="21"/>
      <c r="L271" t="s">
        <v>4774</v>
      </c>
      <c r="M271" t="s">
        <v>54</v>
      </c>
      <c r="N271" t="s">
        <v>26</v>
      </c>
      <c r="O271">
        <v>1</v>
      </c>
      <c r="P271" t="s">
        <v>1798</v>
      </c>
      <c r="Q271" t="s">
        <v>4729</v>
      </c>
      <c r="R271" t="s">
        <v>4721</v>
      </c>
      <c r="S271" t="s">
        <v>4718</v>
      </c>
      <c r="T271">
        <f t="shared" si="8"/>
        <v>4</v>
      </c>
      <c r="U271" s="21">
        <f t="shared" si="9"/>
        <v>45261</v>
      </c>
    </row>
    <row r="272" spans="1:21" x14ac:dyDescent="0.35">
      <c r="A272" t="s">
        <v>3399</v>
      </c>
      <c r="B272" t="s">
        <v>3400</v>
      </c>
      <c r="C272" t="s">
        <v>19</v>
      </c>
      <c r="D272" t="s">
        <v>21</v>
      </c>
      <c r="E272" s="1">
        <v>73.33</v>
      </c>
      <c r="F272" t="s">
        <v>22</v>
      </c>
      <c r="G272">
        <v>0</v>
      </c>
      <c r="H272" s="1">
        <v>0</v>
      </c>
      <c r="I272" s="21">
        <v>45257</v>
      </c>
      <c r="J272" s="21">
        <v>45259</v>
      </c>
      <c r="K272" s="21">
        <v>45259</v>
      </c>
      <c r="L272" t="s">
        <v>24</v>
      </c>
      <c r="M272" t="s">
        <v>97</v>
      </c>
      <c r="N272" t="s">
        <v>68</v>
      </c>
      <c r="O272">
        <v>1</v>
      </c>
      <c r="P272" t="s">
        <v>3217</v>
      </c>
      <c r="Q272" t="s">
        <v>4729</v>
      </c>
      <c r="R272" t="s">
        <v>4713</v>
      </c>
      <c r="S272" t="s">
        <v>4719</v>
      </c>
      <c r="T272">
        <f t="shared" si="8"/>
        <v>2</v>
      </c>
      <c r="U272" s="21">
        <f t="shared" si="9"/>
        <v>45259</v>
      </c>
    </row>
    <row r="273" spans="1:21" x14ac:dyDescent="0.35">
      <c r="A273" t="s">
        <v>1051</v>
      </c>
      <c r="B273" t="s">
        <v>1052</v>
      </c>
      <c r="C273" t="s">
        <v>30</v>
      </c>
      <c r="D273" t="s">
        <v>1002</v>
      </c>
      <c r="E273" s="1">
        <v>38.015999999999998</v>
      </c>
      <c r="F273" t="s">
        <v>995</v>
      </c>
      <c r="G273">
        <v>40</v>
      </c>
      <c r="H273" s="1">
        <v>15.2064</v>
      </c>
      <c r="I273" s="21">
        <v>45257</v>
      </c>
      <c r="J273" s="21">
        <v>45262</v>
      </c>
      <c r="K273" s="21"/>
      <c r="L273" t="s">
        <v>4774</v>
      </c>
      <c r="M273" t="s">
        <v>40</v>
      </c>
      <c r="N273" t="s">
        <v>34</v>
      </c>
      <c r="O273">
        <v>1</v>
      </c>
      <c r="P273" t="s">
        <v>1053</v>
      </c>
      <c r="Q273" t="s">
        <v>4729</v>
      </c>
      <c r="R273" t="s">
        <v>4721</v>
      </c>
      <c r="S273" t="s">
        <v>4717</v>
      </c>
      <c r="T273">
        <f t="shared" si="8"/>
        <v>5</v>
      </c>
      <c r="U273" s="21">
        <f t="shared" si="9"/>
        <v>45262</v>
      </c>
    </row>
    <row r="274" spans="1:21" x14ac:dyDescent="0.35">
      <c r="A274" t="s">
        <v>3394</v>
      </c>
      <c r="B274" t="s">
        <v>3395</v>
      </c>
      <c r="C274" t="s">
        <v>30</v>
      </c>
      <c r="D274" t="s">
        <v>1002</v>
      </c>
      <c r="E274" s="1">
        <v>5.9039999999999999</v>
      </c>
      <c r="F274" t="s">
        <v>995</v>
      </c>
      <c r="G274">
        <v>40</v>
      </c>
      <c r="H274" s="1">
        <v>2.3616000000000001</v>
      </c>
      <c r="I274" s="21">
        <v>45256</v>
      </c>
      <c r="J274" s="21">
        <v>45259</v>
      </c>
      <c r="K274" s="21"/>
      <c r="L274" t="s">
        <v>4774</v>
      </c>
      <c r="M274" t="s">
        <v>54</v>
      </c>
      <c r="N274" t="s">
        <v>26</v>
      </c>
      <c r="O274">
        <v>1</v>
      </c>
      <c r="P274" t="s">
        <v>3396</v>
      </c>
      <c r="Q274" t="s">
        <v>4517</v>
      </c>
      <c r="R274" t="s">
        <v>4726</v>
      </c>
      <c r="S274" t="s">
        <v>4717</v>
      </c>
      <c r="T274">
        <f t="shared" si="8"/>
        <v>3</v>
      </c>
      <c r="U274" s="21">
        <f t="shared" si="9"/>
        <v>45259</v>
      </c>
    </row>
    <row r="275" spans="1:21" x14ac:dyDescent="0.35">
      <c r="A275" t="s">
        <v>1045</v>
      </c>
      <c r="B275" t="s">
        <v>1046</v>
      </c>
      <c r="C275" t="s">
        <v>19</v>
      </c>
      <c r="D275" t="s">
        <v>1006</v>
      </c>
      <c r="E275" s="1">
        <v>209.97900000000001</v>
      </c>
      <c r="F275" t="s">
        <v>995</v>
      </c>
      <c r="G275">
        <v>0</v>
      </c>
      <c r="H275" s="1">
        <v>0</v>
      </c>
      <c r="I275" s="21">
        <v>45256</v>
      </c>
      <c r="J275" s="21">
        <v>45261</v>
      </c>
      <c r="K275" s="21"/>
      <c r="L275" t="s">
        <v>4774</v>
      </c>
      <c r="M275" t="s">
        <v>25</v>
      </c>
      <c r="N275" t="s">
        <v>26</v>
      </c>
      <c r="O275">
        <v>1</v>
      </c>
      <c r="P275" t="s">
        <v>1047</v>
      </c>
      <c r="Q275" t="s">
        <v>4610</v>
      </c>
      <c r="R275" t="s">
        <v>4723</v>
      </c>
      <c r="S275" t="s">
        <v>4718</v>
      </c>
      <c r="T275">
        <f t="shared" si="8"/>
        <v>5</v>
      </c>
      <c r="U275" s="21">
        <f t="shared" si="9"/>
        <v>45261</v>
      </c>
    </row>
    <row r="276" spans="1:21" x14ac:dyDescent="0.35">
      <c r="A276" t="s">
        <v>4358</v>
      </c>
      <c r="B276" t="s">
        <v>4359</v>
      </c>
      <c r="C276" t="s">
        <v>30</v>
      </c>
      <c r="D276" t="s">
        <v>1002</v>
      </c>
      <c r="E276" s="1">
        <v>147.91999999999999</v>
      </c>
      <c r="F276" t="s">
        <v>995</v>
      </c>
      <c r="G276">
        <v>40</v>
      </c>
      <c r="H276" s="1">
        <v>59.167999999999999</v>
      </c>
      <c r="I276" s="21">
        <v>45256</v>
      </c>
      <c r="J276" s="21">
        <v>45261</v>
      </c>
      <c r="K276" s="21"/>
      <c r="L276" t="s">
        <v>4774</v>
      </c>
      <c r="M276" t="s">
        <v>97</v>
      </c>
      <c r="N276" t="s">
        <v>68</v>
      </c>
      <c r="O276">
        <v>1</v>
      </c>
      <c r="P276" t="s">
        <v>1539</v>
      </c>
      <c r="Q276" t="s">
        <v>4528</v>
      </c>
      <c r="R276" t="s">
        <v>4726</v>
      </c>
      <c r="S276" t="s">
        <v>4717</v>
      </c>
      <c r="T276">
        <f t="shared" si="8"/>
        <v>5</v>
      </c>
      <c r="U276" s="21">
        <f t="shared" si="9"/>
        <v>45261</v>
      </c>
    </row>
    <row r="277" spans="1:21" x14ac:dyDescent="0.35">
      <c r="A277" t="s">
        <v>2225</v>
      </c>
      <c r="B277" t="s">
        <v>2226</v>
      </c>
      <c r="C277" t="s">
        <v>19</v>
      </c>
      <c r="D277" t="s">
        <v>994</v>
      </c>
      <c r="E277" s="1">
        <v>332.83199999999999</v>
      </c>
      <c r="F277" t="s">
        <v>995</v>
      </c>
      <c r="G277">
        <v>40</v>
      </c>
      <c r="H277" s="1">
        <v>133.1328</v>
      </c>
      <c r="I277" s="21">
        <v>45256</v>
      </c>
      <c r="J277" s="21">
        <v>45260</v>
      </c>
      <c r="K277" s="21"/>
      <c r="L277" t="s">
        <v>4774</v>
      </c>
      <c r="M277" t="s">
        <v>33</v>
      </c>
      <c r="N277" t="s">
        <v>34</v>
      </c>
      <c r="O277">
        <v>1</v>
      </c>
      <c r="P277" t="s">
        <v>2227</v>
      </c>
      <c r="Q277" t="s">
        <v>4651</v>
      </c>
      <c r="R277" t="s">
        <v>4725</v>
      </c>
      <c r="S277" t="s">
        <v>4718</v>
      </c>
      <c r="T277">
        <f t="shared" si="8"/>
        <v>4</v>
      </c>
      <c r="U277" s="21">
        <f t="shared" si="9"/>
        <v>45260</v>
      </c>
    </row>
    <row r="278" spans="1:21" x14ac:dyDescent="0.35">
      <c r="A278" t="s">
        <v>1042</v>
      </c>
      <c r="B278" t="s">
        <v>1043</v>
      </c>
      <c r="C278" t="s">
        <v>30</v>
      </c>
      <c r="D278" t="s">
        <v>21</v>
      </c>
      <c r="E278" s="1">
        <v>123.65600000000002</v>
      </c>
      <c r="F278" t="s">
        <v>22</v>
      </c>
      <c r="G278">
        <v>0</v>
      </c>
      <c r="H278" s="1">
        <v>0</v>
      </c>
      <c r="I278" s="21">
        <v>45255</v>
      </c>
      <c r="J278" s="21">
        <v>45257</v>
      </c>
      <c r="K278" s="21">
        <v>45257</v>
      </c>
      <c r="L278" t="s">
        <v>53</v>
      </c>
      <c r="M278" t="s">
        <v>54</v>
      </c>
      <c r="N278" t="s">
        <v>26</v>
      </c>
      <c r="O278">
        <v>1</v>
      </c>
      <c r="P278" t="s">
        <v>1044</v>
      </c>
      <c r="Q278" t="s">
        <v>4526</v>
      </c>
      <c r="R278" t="s">
        <v>4726</v>
      </c>
      <c r="S278" t="s">
        <v>4717</v>
      </c>
      <c r="T278">
        <f t="shared" si="8"/>
        <v>2</v>
      </c>
      <c r="U278" s="21">
        <f t="shared" si="9"/>
        <v>45257</v>
      </c>
    </row>
    <row r="279" spans="1:21" x14ac:dyDescent="0.35">
      <c r="A279" t="s">
        <v>2223</v>
      </c>
      <c r="B279" t="s">
        <v>2224</v>
      </c>
      <c r="C279" t="s">
        <v>19</v>
      </c>
      <c r="D279" t="s">
        <v>21</v>
      </c>
      <c r="E279" s="1">
        <v>180.71200000000002</v>
      </c>
      <c r="F279" t="s">
        <v>22</v>
      </c>
      <c r="G279">
        <v>0</v>
      </c>
      <c r="H279" s="1">
        <v>0</v>
      </c>
      <c r="I279" s="21">
        <v>45255</v>
      </c>
      <c r="J279" s="21">
        <v>45257</v>
      </c>
      <c r="K279" s="21">
        <v>45257</v>
      </c>
      <c r="L279" t="s">
        <v>39</v>
      </c>
      <c r="M279" t="s">
        <v>82</v>
      </c>
      <c r="N279" t="s">
        <v>47</v>
      </c>
      <c r="O279">
        <v>1</v>
      </c>
      <c r="P279" t="s">
        <v>187</v>
      </c>
      <c r="Q279" t="s">
        <v>4536</v>
      </c>
      <c r="R279" t="s">
        <v>4512</v>
      </c>
      <c r="S279" t="s">
        <v>4717</v>
      </c>
      <c r="T279">
        <f t="shared" si="8"/>
        <v>2</v>
      </c>
      <c r="U279" s="21">
        <f t="shared" si="9"/>
        <v>45257</v>
      </c>
    </row>
    <row r="280" spans="1:21" x14ac:dyDescent="0.35">
      <c r="A280" t="s">
        <v>4356</v>
      </c>
      <c r="B280" t="s">
        <v>4357</v>
      </c>
      <c r="C280" t="s">
        <v>30</v>
      </c>
      <c r="D280" t="s">
        <v>1006</v>
      </c>
      <c r="E280" s="1">
        <v>131.88</v>
      </c>
      <c r="F280" t="s">
        <v>995</v>
      </c>
      <c r="G280">
        <v>0</v>
      </c>
      <c r="H280" s="1">
        <v>0</v>
      </c>
      <c r="I280" s="21">
        <v>45255</v>
      </c>
      <c r="J280" s="21">
        <v>45262</v>
      </c>
      <c r="K280" s="21"/>
      <c r="L280" t="s">
        <v>4774</v>
      </c>
      <c r="M280" t="s">
        <v>33</v>
      </c>
      <c r="N280" t="s">
        <v>34</v>
      </c>
      <c r="O280">
        <v>1</v>
      </c>
      <c r="P280" t="s">
        <v>3618</v>
      </c>
      <c r="Q280" t="s">
        <v>4551</v>
      </c>
      <c r="R280" t="s">
        <v>4711</v>
      </c>
      <c r="S280" t="s">
        <v>4719</v>
      </c>
      <c r="T280">
        <f t="shared" si="8"/>
        <v>7</v>
      </c>
      <c r="U280" s="21">
        <f t="shared" si="9"/>
        <v>45262</v>
      </c>
    </row>
    <row r="281" spans="1:21" x14ac:dyDescent="0.35">
      <c r="A281" t="s">
        <v>4352</v>
      </c>
      <c r="B281" t="s">
        <v>4353</v>
      </c>
      <c r="C281" t="s">
        <v>30</v>
      </c>
      <c r="D281" t="s">
        <v>1002</v>
      </c>
      <c r="E281" s="1">
        <v>332.70400000000001</v>
      </c>
      <c r="F281" t="s">
        <v>995</v>
      </c>
      <c r="G281">
        <v>40</v>
      </c>
      <c r="H281" s="1">
        <v>133.08160000000001</v>
      </c>
      <c r="I281" s="21">
        <v>45255</v>
      </c>
      <c r="J281" s="21">
        <v>45262</v>
      </c>
      <c r="K281" s="21"/>
      <c r="L281" t="s">
        <v>4774</v>
      </c>
      <c r="M281" t="s">
        <v>82</v>
      </c>
      <c r="N281" t="s">
        <v>47</v>
      </c>
      <c r="O281">
        <v>1</v>
      </c>
      <c r="P281" t="s">
        <v>2535</v>
      </c>
      <c r="Q281" t="s">
        <v>4729</v>
      </c>
      <c r="R281" t="s">
        <v>4777</v>
      </c>
      <c r="S281" t="s">
        <v>4718</v>
      </c>
      <c r="T281">
        <f t="shared" si="8"/>
        <v>7</v>
      </c>
      <c r="U281" s="21">
        <f t="shared" si="9"/>
        <v>45262</v>
      </c>
    </row>
    <row r="282" spans="1:21" x14ac:dyDescent="0.35">
      <c r="A282" t="s">
        <v>2220</v>
      </c>
      <c r="B282" t="s">
        <v>2221</v>
      </c>
      <c r="C282" t="s">
        <v>30</v>
      </c>
      <c r="D282" t="s">
        <v>1006</v>
      </c>
      <c r="E282" s="1">
        <v>316</v>
      </c>
      <c r="F282" t="s">
        <v>995</v>
      </c>
      <c r="G282">
        <v>0</v>
      </c>
      <c r="H282" s="1">
        <v>0</v>
      </c>
      <c r="I282" s="21">
        <v>45255</v>
      </c>
      <c r="J282" s="21">
        <v>45260</v>
      </c>
      <c r="K282" s="21"/>
      <c r="L282" t="s">
        <v>4774</v>
      </c>
      <c r="M282" t="s">
        <v>146</v>
      </c>
      <c r="N282" t="s">
        <v>73</v>
      </c>
      <c r="O282">
        <v>1</v>
      </c>
      <c r="P282" t="s">
        <v>2222</v>
      </c>
      <c r="Q282" t="s">
        <v>4729</v>
      </c>
      <c r="R282" t="s">
        <v>4713</v>
      </c>
      <c r="S282" t="s">
        <v>4719</v>
      </c>
      <c r="T282">
        <f t="shared" si="8"/>
        <v>5</v>
      </c>
      <c r="U282" s="21">
        <f t="shared" si="9"/>
        <v>45260</v>
      </c>
    </row>
    <row r="283" spans="1:21" x14ac:dyDescent="0.35">
      <c r="A283" t="s">
        <v>3390</v>
      </c>
      <c r="B283" t="s">
        <v>3391</v>
      </c>
      <c r="C283" t="s">
        <v>19</v>
      </c>
      <c r="D283" t="s">
        <v>994</v>
      </c>
      <c r="E283" s="1">
        <v>72.959999999999994</v>
      </c>
      <c r="F283" t="s">
        <v>995</v>
      </c>
      <c r="G283">
        <v>15</v>
      </c>
      <c r="H283" s="1">
        <v>10.943999999999999</v>
      </c>
      <c r="I283" s="21">
        <v>45255</v>
      </c>
      <c r="J283" s="21">
        <v>45258</v>
      </c>
      <c r="K283" s="21"/>
      <c r="L283" t="s">
        <v>4774</v>
      </c>
      <c r="M283" t="s">
        <v>97</v>
      </c>
      <c r="N283" t="s">
        <v>68</v>
      </c>
      <c r="O283">
        <v>1</v>
      </c>
      <c r="P283" t="s">
        <v>2864</v>
      </c>
      <c r="Q283" t="s">
        <v>4729</v>
      </c>
      <c r="R283" t="s">
        <v>4726</v>
      </c>
      <c r="S283" t="s">
        <v>4717</v>
      </c>
      <c r="T283">
        <f t="shared" si="8"/>
        <v>3</v>
      </c>
      <c r="U283" s="21">
        <f t="shared" si="9"/>
        <v>45258</v>
      </c>
    </row>
    <row r="284" spans="1:21" x14ac:dyDescent="0.35">
      <c r="A284" t="s">
        <v>4354</v>
      </c>
      <c r="B284" t="s">
        <v>4355</v>
      </c>
      <c r="C284" t="s">
        <v>19</v>
      </c>
      <c r="D284" t="s">
        <v>1002</v>
      </c>
      <c r="E284" s="1">
        <v>139.58000000000001</v>
      </c>
      <c r="F284" t="s">
        <v>995</v>
      </c>
      <c r="G284">
        <v>40</v>
      </c>
      <c r="H284" s="1">
        <v>55.832000000000008</v>
      </c>
      <c r="I284" s="21">
        <v>45255</v>
      </c>
      <c r="J284" s="21">
        <v>45259</v>
      </c>
      <c r="K284" s="21"/>
      <c r="L284" t="s">
        <v>4774</v>
      </c>
      <c r="M284" t="s">
        <v>146</v>
      </c>
      <c r="N284" t="s">
        <v>73</v>
      </c>
      <c r="O284">
        <v>1</v>
      </c>
      <c r="P284" t="s">
        <v>2661</v>
      </c>
      <c r="Q284" t="s">
        <v>4651</v>
      </c>
      <c r="R284" t="s">
        <v>4725</v>
      </c>
      <c r="S284" t="s">
        <v>4718</v>
      </c>
      <c r="T284">
        <f t="shared" si="8"/>
        <v>4</v>
      </c>
      <c r="U284" s="21">
        <f t="shared" si="9"/>
        <v>45259</v>
      </c>
    </row>
    <row r="285" spans="1:21" x14ac:dyDescent="0.35">
      <c r="A285" t="s">
        <v>3392</v>
      </c>
      <c r="B285" t="s">
        <v>3393</v>
      </c>
      <c r="C285" t="s">
        <v>30</v>
      </c>
      <c r="D285" t="s">
        <v>1002</v>
      </c>
      <c r="E285" s="1">
        <v>59.52</v>
      </c>
      <c r="F285" t="s">
        <v>995</v>
      </c>
      <c r="G285">
        <v>40</v>
      </c>
      <c r="H285" s="1">
        <v>23.808000000000003</v>
      </c>
      <c r="I285" s="21">
        <v>45255</v>
      </c>
      <c r="J285" s="21">
        <v>45259</v>
      </c>
      <c r="K285" s="21"/>
      <c r="L285" t="s">
        <v>4774</v>
      </c>
      <c r="M285" t="s">
        <v>67</v>
      </c>
      <c r="N285" t="s">
        <v>68</v>
      </c>
      <c r="O285">
        <v>1</v>
      </c>
      <c r="P285" t="s">
        <v>2097</v>
      </c>
      <c r="Q285" t="s">
        <v>4520</v>
      </c>
      <c r="R285" t="s">
        <v>4726</v>
      </c>
      <c r="S285" t="s">
        <v>4717</v>
      </c>
      <c r="T285">
        <f t="shared" si="8"/>
        <v>4</v>
      </c>
      <c r="U285" s="21">
        <f t="shared" si="9"/>
        <v>45259</v>
      </c>
    </row>
    <row r="286" spans="1:21" x14ac:dyDescent="0.35">
      <c r="A286" t="s">
        <v>1039</v>
      </c>
      <c r="B286" t="s">
        <v>1040</v>
      </c>
      <c r="C286" t="s">
        <v>30</v>
      </c>
      <c r="D286" t="s">
        <v>994</v>
      </c>
      <c r="E286" s="1">
        <v>119.04</v>
      </c>
      <c r="F286" t="s">
        <v>995</v>
      </c>
      <c r="G286">
        <v>40</v>
      </c>
      <c r="H286" s="1">
        <v>47.616000000000007</v>
      </c>
      <c r="I286" s="21">
        <v>45255</v>
      </c>
      <c r="J286" s="21">
        <v>45258</v>
      </c>
      <c r="K286" s="21"/>
      <c r="L286" t="s">
        <v>4774</v>
      </c>
      <c r="M286" t="s">
        <v>146</v>
      </c>
      <c r="N286" t="s">
        <v>73</v>
      </c>
      <c r="O286">
        <v>1</v>
      </c>
      <c r="P286" t="s">
        <v>1041</v>
      </c>
      <c r="Q286" t="s">
        <v>4609</v>
      </c>
      <c r="R286" t="s">
        <v>4726</v>
      </c>
      <c r="S286" t="s">
        <v>4717</v>
      </c>
      <c r="T286">
        <f t="shared" si="8"/>
        <v>3</v>
      </c>
      <c r="U286" s="21">
        <f t="shared" si="9"/>
        <v>45258</v>
      </c>
    </row>
    <row r="287" spans="1:21" x14ac:dyDescent="0.35">
      <c r="A287" t="s">
        <v>3388</v>
      </c>
      <c r="B287" t="s">
        <v>3389</v>
      </c>
      <c r="C287" t="s">
        <v>19</v>
      </c>
      <c r="D287" t="s">
        <v>994</v>
      </c>
      <c r="E287" s="1">
        <v>13.128</v>
      </c>
      <c r="F287" t="s">
        <v>995</v>
      </c>
      <c r="G287">
        <v>40</v>
      </c>
      <c r="H287" s="1">
        <v>5.2512000000000008</v>
      </c>
      <c r="I287" s="21">
        <v>45253</v>
      </c>
      <c r="J287" s="21">
        <v>45258</v>
      </c>
      <c r="K287" s="21"/>
      <c r="L287" t="s">
        <v>4774</v>
      </c>
      <c r="M287" t="s">
        <v>25</v>
      </c>
      <c r="N287" t="s">
        <v>26</v>
      </c>
      <c r="O287">
        <v>1</v>
      </c>
      <c r="P287" t="s">
        <v>1651</v>
      </c>
      <c r="Q287" t="s">
        <v>4600</v>
      </c>
      <c r="R287" t="s">
        <v>4726</v>
      </c>
      <c r="S287" t="s">
        <v>4717</v>
      </c>
      <c r="T287">
        <f t="shared" si="8"/>
        <v>5</v>
      </c>
      <c r="U287" s="21">
        <f t="shared" si="9"/>
        <v>45258</v>
      </c>
    </row>
    <row r="288" spans="1:21" x14ac:dyDescent="0.35">
      <c r="A288" t="s">
        <v>2218</v>
      </c>
      <c r="B288" t="s">
        <v>2219</v>
      </c>
      <c r="C288" t="s">
        <v>30</v>
      </c>
      <c r="D288" t="s">
        <v>994</v>
      </c>
      <c r="E288" s="1">
        <v>71.98</v>
      </c>
      <c r="F288" t="s">
        <v>995</v>
      </c>
      <c r="G288">
        <v>15</v>
      </c>
      <c r="H288" s="1">
        <v>10.797000000000001</v>
      </c>
      <c r="I288" s="21">
        <v>45253</v>
      </c>
      <c r="J288" s="21">
        <v>45257</v>
      </c>
      <c r="K288" s="21"/>
      <c r="L288" t="s">
        <v>4774</v>
      </c>
      <c r="M288" t="s">
        <v>46</v>
      </c>
      <c r="N288" t="s">
        <v>47</v>
      </c>
      <c r="O288">
        <v>1</v>
      </c>
      <c r="P288" t="s">
        <v>500</v>
      </c>
      <c r="Q288" t="s">
        <v>4571</v>
      </c>
      <c r="R288" t="s">
        <v>4713</v>
      </c>
      <c r="S288" t="s">
        <v>4719</v>
      </c>
      <c r="T288">
        <f t="shared" si="8"/>
        <v>4</v>
      </c>
      <c r="U288" s="21">
        <f t="shared" si="9"/>
        <v>45257</v>
      </c>
    </row>
    <row r="289" spans="1:21" x14ac:dyDescent="0.35">
      <c r="A289" t="s">
        <v>2213</v>
      </c>
      <c r="B289" t="s">
        <v>2214</v>
      </c>
      <c r="C289" t="s">
        <v>30</v>
      </c>
      <c r="D289" t="s">
        <v>1002</v>
      </c>
      <c r="E289" s="1">
        <v>11.952</v>
      </c>
      <c r="F289" t="s">
        <v>995</v>
      </c>
      <c r="G289">
        <v>40</v>
      </c>
      <c r="H289" s="1">
        <v>4.7808000000000002</v>
      </c>
      <c r="I289" s="21">
        <v>45252</v>
      </c>
      <c r="J289" s="21">
        <v>45252</v>
      </c>
      <c r="K289" s="21"/>
      <c r="L289" t="s">
        <v>4774</v>
      </c>
      <c r="M289" t="s">
        <v>40</v>
      </c>
      <c r="N289" t="s">
        <v>34</v>
      </c>
      <c r="O289">
        <v>1</v>
      </c>
      <c r="P289" t="s">
        <v>1704</v>
      </c>
      <c r="Q289" t="s">
        <v>4596</v>
      </c>
      <c r="R289" t="s">
        <v>4726</v>
      </c>
      <c r="S289" t="s">
        <v>4717</v>
      </c>
      <c r="T289">
        <f t="shared" si="8"/>
        <v>0</v>
      </c>
      <c r="U289" s="21">
        <f t="shared" si="9"/>
        <v>45252</v>
      </c>
    </row>
    <row r="290" spans="1:21" x14ac:dyDescent="0.35">
      <c r="A290" t="s">
        <v>4349</v>
      </c>
      <c r="B290" t="s">
        <v>4350</v>
      </c>
      <c r="C290" t="s">
        <v>19</v>
      </c>
      <c r="D290" t="s">
        <v>1002</v>
      </c>
      <c r="E290" s="1">
        <v>17.38</v>
      </c>
      <c r="F290" t="s">
        <v>995</v>
      </c>
      <c r="G290">
        <v>40</v>
      </c>
      <c r="H290" s="1">
        <v>6.952</v>
      </c>
      <c r="I290" s="21">
        <v>45252</v>
      </c>
      <c r="J290" s="21">
        <v>45257</v>
      </c>
      <c r="K290" s="21"/>
      <c r="L290" t="s">
        <v>4774</v>
      </c>
      <c r="M290" t="s">
        <v>97</v>
      </c>
      <c r="N290" t="s">
        <v>68</v>
      </c>
      <c r="O290">
        <v>1</v>
      </c>
      <c r="P290" t="s">
        <v>4351</v>
      </c>
      <c r="Q290" t="s">
        <v>4596</v>
      </c>
      <c r="R290" t="s">
        <v>4726</v>
      </c>
      <c r="S290" t="s">
        <v>4717</v>
      </c>
      <c r="T290">
        <f t="shared" si="8"/>
        <v>5</v>
      </c>
      <c r="U290" s="21">
        <f t="shared" si="9"/>
        <v>45257</v>
      </c>
    </row>
    <row r="291" spans="1:21" x14ac:dyDescent="0.35">
      <c r="A291" t="s">
        <v>2215</v>
      </c>
      <c r="B291" t="s">
        <v>2216</v>
      </c>
      <c r="C291" t="s">
        <v>19</v>
      </c>
      <c r="D291" t="s">
        <v>1002</v>
      </c>
      <c r="E291" s="1">
        <v>290.98</v>
      </c>
      <c r="F291" t="s">
        <v>995</v>
      </c>
      <c r="G291">
        <v>40</v>
      </c>
      <c r="H291" s="1">
        <v>116.39200000000001</v>
      </c>
      <c r="I291" s="21">
        <v>45252</v>
      </c>
      <c r="J291" s="21">
        <v>45257</v>
      </c>
      <c r="K291" s="21"/>
      <c r="L291" t="s">
        <v>4774</v>
      </c>
      <c r="M291" t="s">
        <v>46</v>
      </c>
      <c r="N291" t="s">
        <v>47</v>
      </c>
      <c r="O291">
        <v>1</v>
      </c>
      <c r="P291" t="s">
        <v>2217</v>
      </c>
      <c r="Q291" t="s">
        <v>4567</v>
      </c>
      <c r="R291" t="s">
        <v>4721</v>
      </c>
      <c r="S291" t="s">
        <v>4718</v>
      </c>
      <c r="T291">
        <f t="shared" si="8"/>
        <v>5</v>
      </c>
      <c r="U291" s="21">
        <f t="shared" si="9"/>
        <v>45257</v>
      </c>
    </row>
    <row r="292" spans="1:21" x14ac:dyDescent="0.35">
      <c r="A292" t="s">
        <v>4347</v>
      </c>
      <c r="B292" t="s">
        <v>4348</v>
      </c>
      <c r="C292" t="s">
        <v>19</v>
      </c>
      <c r="D292" t="s">
        <v>994</v>
      </c>
      <c r="E292" s="1">
        <v>81.438000000000002</v>
      </c>
      <c r="F292" t="s">
        <v>995</v>
      </c>
      <c r="G292">
        <v>40</v>
      </c>
      <c r="H292" s="1">
        <v>32.575200000000002</v>
      </c>
      <c r="I292" s="21">
        <v>45252</v>
      </c>
      <c r="J292" s="21">
        <v>45259</v>
      </c>
      <c r="K292" s="21"/>
      <c r="L292" t="s">
        <v>4774</v>
      </c>
      <c r="M292" t="s">
        <v>72</v>
      </c>
      <c r="N292" t="s">
        <v>73</v>
      </c>
      <c r="O292">
        <v>1</v>
      </c>
      <c r="P292" t="s">
        <v>2390</v>
      </c>
      <c r="Q292" t="s">
        <v>4729</v>
      </c>
      <c r="R292" t="s">
        <v>4726</v>
      </c>
      <c r="S292" t="s">
        <v>4717</v>
      </c>
      <c r="T292">
        <f t="shared" si="8"/>
        <v>7</v>
      </c>
      <c r="U292" s="21">
        <f t="shared" si="9"/>
        <v>45259</v>
      </c>
    </row>
    <row r="293" spans="1:21" x14ac:dyDescent="0.35">
      <c r="A293" t="s">
        <v>1036</v>
      </c>
      <c r="B293" t="s">
        <v>1037</v>
      </c>
      <c r="C293" t="s">
        <v>30</v>
      </c>
      <c r="D293" t="s">
        <v>994</v>
      </c>
      <c r="E293" s="1">
        <v>92.52</v>
      </c>
      <c r="F293" t="s">
        <v>995</v>
      </c>
      <c r="G293">
        <v>15</v>
      </c>
      <c r="H293" s="1">
        <v>13.877999999999998</v>
      </c>
      <c r="I293" s="21">
        <v>45251</v>
      </c>
      <c r="J293" s="21">
        <v>45255</v>
      </c>
      <c r="K293" s="21"/>
      <c r="L293" t="s">
        <v>4774</v>
      </c>
      <c r="M293" t="s">
        <v>97</v>
      </c>
      <c r="N293" t="s">
        <v>68</v>
      </c>
      <c r="O293">
        <v>1</v>
      </c>
      <c r="P293" t="s">
        <v>1038</v>
      </c>
      <c r="Q293" t="s">
        <v>4608</v>
      </c>
      <c r="R293" t="s">
        <v>4709</v>
      </c>
      <c r="S293" t="s">
        <v>4717</v>
      </c>
      <c r="T293">
        <f t="shared" si="8"/>
        <v>4</v>
      </c>
      <c r="U293" s="21">
        <f t="shared" si="9"/>
        <v>45255</v>
      </c>
    </row>
    <row r="294" spans="1:21" x14ac:dyDescent="0.35">
      <c r="A294" t="s">
        <v>3386</v>
      </c>
      <c r="B294" t="s">
        <v>3387</v>
      </c>
      <c r="C294" t="s">
        <v>30</v>
      </c>
      <c r="D294" t="s">
        <v>1002</v>
      </c>
      <c r="E294" s="1">
        <v>14.76</v>
      </c>
      <c r="F294" t="s">
        <v>995</v>
      </c>
      <c r="G294">
        <v>40</v>
      </c>
      <c r="H294" s="1">
        <v>5.9039999999999999</v>
      </c>
      <c r="I294" s="21">
        <v>45251</v>
      </c>
      <c r="J294" s="21">
        <v>45258</v>
      </c>
      <c r="K294" s="21"/>
      <c r="L294" t="s">
        <v>4774</v>
      </c>
      <c r="M294" t="s">
        <v>33</v>
      </c>
      <c r="N294" t="s">
        <v>34</v>
      </c>
      <c r="O294">
        <v>1</v>
      </c>
      <c r="P294" t="s">
        <v>991</v>
      </c>
      <c r="Q294" t="s">
        <v>4533</v>
      </c>
      <c r="R294" t="s">
        <v>4724</v>
      </c>
      <c r="S294" t="s">
        <v>4718</v>
      </c>
      <c r="T294">
        <f t="shared" si="8"/>
        <v>7</v>
      </c>
      <c r="U294" s="21">
        <f t="shared" si="9"/>
        <v>45258</v>
      </c>
    </row>
    <row r="295" spans="1:21" x14ac:dyDescent="0.35">
      <c r="A295" t="s">
        <v>2211</v>
      </c>
      <c r="B295" t="s">
        <v>2212</v>
      </c>
      <c r="C295" t="s">
        <v>30</v>
      </c>
      <c r="D295" t="s">
        <v>994</v>
      </c>
      <c r="E295" s="1">
        <v>390.36799999999999</v>
      </c>
      <c r="F295" t="s">
        <v>995</v>
      </c>
      <c r="G295">
        <v>40</v>
      </c>
      <c r="H295" s="1">
        <v>156.1472</v>
      </c>
      <c r="I295" s="21">
        <v>45251</v>
      </c>
      <c r="J295" s="21">
        <v>45255</v>
      </c>
      <c r="K295" s="21"/>
      <c r="L295" t="s">
        <v>4774</v>
      </c>
      <c r="M295" t="s">
        <v>97</v>
      </c>
      <c r="N295" t="s">
        <v>68</v>
      </c>
      <c r="O295">
        <v>1</v>
      </c>
      <c r="P295" t="s">
        <v>580</v>
      </c>
      <c r="Q295" t="s">
        <v>4729</v>
      </c>
      <c r="R295" t="s">
        <v>4714</v>
      </c>
      <c r="S295" t="s">
        <v>4718</v>
      </c>
      <c r="T295">
        <f t="shared" si="8"/>
        <v>4</v>
      </c>
      <c r="U295" s="21">
        <f t="shared" si="9"/>
        <v>45255</v>
      </c>
    </row>
    <row r="296" spans="1:21" x14ac:dyDescent="0.35">
      <c r="A296" t="s">
        <v>4345</v>
      </c>
      <c r="B296" t="s">
        <v>4346</v>
      </c>
      <c r="C296" t="s">
        <v>30</v>
      </c>
      <c r="D296" t="s">
        <v>994</v>
      </c>
      <c r="E296" s="1">
        <v>209.6</v>
      </c>
      <c r="F296" t="s">
        <v>995</v>
      </c>
      <c r="G296">
        <v>40</v>
      </c>
      <c r="H296" s="1">
        <v>83.84</v>
      </c>
      <c r="I296" s="21">
        <v>45251</v>
      </c>
      <c r="J296" s="21">
        <v>45255</v>
      </c>
      <c r="K296" s="21"/>
      <c r="L296" t="s">
        <v>4774</v>
      </c>
      <c r="M296" t="s">
        <v>97</v>
      </c>
      <c r="N296" t="s">
        <v>68</v>
      </c>
      <c r="O296">
        <v>1</v>
      </c>
      <c r="P296" t="s">
        <v>1654</v>
      </c>
      <c r="Q296" t="s">
        <v>4729</v>
      </c>
      <c r="R296" t="s">
        <v>4726</v>
      </c>
      <c r="S296" t="s">
        <v>4717</v>
      </c>
      <c r="T296">
        <f t="shared" si="8"/>
        <v>4</v>
      </c>
      <c r="U296" s="21">
        <f t="shared" si="9"/>
        <v>45255</v>
      </c>
    </row>
    <row r="297" spans="1:21" x14ac:dyDescent="0.35">
      <c r="A297" t="s">
        <v>3383</v>
      </c>
      <c r="B297" t="s">
        <v>3384</v>
      </c>
      <c r="C297" t="s">
        <v>19</v>
      </c>
      <c r="D297" t="s">
        <v>21</v>
      </c>
      <c r="E297" s="1">
        <v>32.750999999999998</v>
      </c>
      <c r="F297" t="s">
        <v>22</v>
      </c>
      <c r="G297">
        <v>0</v>
      </c>
      <c r="H297" s="1">
        <v>0</v>
      </c>
      <c r="I297" s="21">
        <v>45251</v>
      </c>
      <c r="J297" s="21">
        <v>45253</v>
      </c>
      <c r="K297" s="21">
        <v>45253</v>
      </c>
      <c r="L297" t="s">
        <v>45</v>
      </c>
      <c r="M297" t="s">
        <v>97</v>
      </c>
      <c r="N297" t="s">
        <v>68</v>
      </c>
      <c r="O297">
        <v>1</v>
      </c>
      <c r="P297" t="s">
        <v>3385</v>
      </c>
      <c r="Q297" t="s">
        <v>4541</v>
      </c>
      <c r="R297" t="s">
        <v>4726</v>
      </c>
      <c r="S297" t="s">
        <v>4717</v>
      </c>
      <c r="T297">
        <f t="shared" si="8"/>
        <v>2</v>
      </c>
      <c r="U297" s="21">
        <f t="shared" si="9"/>
        <v>45253</v>
      </c>
    </row>
    <row r="298" spans="1:21" x14ac:dyDescent="0.35">
      <c r="A298" t="s">
        <v>2208</v>
      </c>
      <c r="B298" t="s">
        <v>2209</v>
      </c>
      <c r="C298" t="s">
        <v>19</v>
      </c>
      <c r="D298" t="s">
        <v>1002</v>
      </c>
      <c r="E298" s="1">
        <v>27.86</v>
      </c>
      <c r="F298" t="s">
        <v>995</v>
      </c>
      <c r="G298">
        <v>40</v>
      </c>
      <c r="H298" s="1">
        <v>11.144</v>
      </c>
      <c r="I298" s="21">
        <v>45250</v>
      </c>
      <c r="J298" s="21">
        <v>45252</v>
      </c>
      <c r="K298" s="21"/>
      <c r="L298" t="s">
        <v>4774</v>
      </c>
      <c r="M298" t="s">
        <v>82</v>
      </c>
      <c r="N298" t="s">
        <v>47</v>
      </c>
      <c r="O298">
        <v>1</v>
      </c>
      <c r="P298" t="s">
        <v>2210</v>
      </c>
      <c r="Q298" t="s">
        <v>4626</v>
      </c>
      <c r="R298" t="s">
        <v>4726</v>
      </c>
      <c r="S298" t="s">
        <v>4717</v>
      </c>
      <c r="T298">
        <f t="shared" si="8"/>
        <v>2</v>
      </c>
      <c r="U298" s="21">
        <f t="shared" si="9"/>
        <v>45252</v>
      </c>
    </row>
    <row r="299" spans="1:21" x14ac:dyDescent="0.35">
      <c r="A299" t="s">
        <v>4342</v>
      </c>
      <c r="B299" t="s">
        <v>4343</v>
      </c>
      <c r="C299" t="s">
        <v>19</v>
      </c>
      <c r="D299" t="s">
        <v>1002</v>
      </c>
      <c r="E299" s="1">
        <v>154.9</v>
      </c>
      <c r="F299" t="s">
        <v>995</v>
      </c>
      <c r="G299">
        <v>40</v>
      </c>
      <c r="H299" s="1">
        <v>61.960000000000008</v>
      </c>
      <c r="I299" s="21">
        <v>45250</v>
      </c>
      <c r="J299" s="21">
        <v>45253</v>
      </c>
      <c r="K299" s="21"/>
      <c r="L299" t="s">
        <v>4774</v>
      </c>
      <c r="M299" t="s">
        <v>25</v>
      </c>
      <c r="N299" t="s">
        <v>26</v>
      </c>
      <c r="O299">
        <v>1</v>
      </c>
      <c r="P299" t="s">
        <v>4344</v>
      </c>
      <c r="Q299" t="s">
        <v>4706</v>
      </c>
      <c r="R299" t="s">
        <v>4710</v>
      </c>
      <c r="S299" t="s">
        <v>4717</v>
      </c>
      <c r="T299">
        <f t="shared" si="8"/>
        <v>3</v>
      </c>
      <c r="U299" s="21">
        <f t="shared" si="9"/>
        <v>45253</v>
      </c>
    </row>
    <row r="300" spans="1:21" x14ac:dyDescent="0.35">
      <c r="A300" t="s">
        <v>3380</v>
      </c>
      <c r="B300" t="s">
        <v>3381</v>
      </c>
      <c r="C300" t="s">
        <v>30</v>
      </c>
      <c r="D300" t="s">
        <v>1002</v>
      </c>
      <c r="E300" s="1">
        <v>1006.056</v>
      </c>
      <c r="F300" t="s">
        <v>995</v>
      </c>
      <c r="G300">
        <v>40</v>
      </c>
      <c r="H300" s="1">
        <v>402.42240000000004</v>
      </c>
      <c r="I300" s="21">
        <v>45250</v>
      </c>
      <c r="J300" s="21">
        <v>45254</v>
      </c>
      <c r="K300" s="21"/>
      <c r="L300" t="s">
        <v>4774</v>
      </c>
      <c r="M300" t="s">
        <v>72</v>
      </c>
      <c r="N300" t="s">
        <v>73</v>
      </c>
      <c r="O300">
        <v>1</v>
      </c>
      <c r="P300" t="s">
        <v>3382</v>
      </c>
      <c r="Q300" t="s">
        <v>4729</v>
      </c>
      <c r="R300" t="s">
        <v>4721</v>
      </c>
      <c r="S300" t="s">
        <v>4717</v>
      </c>
      <c r="T300">
        <f t="shared" si="8"/>
        <v>4</v>
      </c>
      <c r="U300" s="21">
        <f t="shared" si="9"/>
        <v>45254</v>
      </c>
    </row>
    <row r="301" spans="1:21" x14ac:dyDescent="0.35">
      <c r="A301" t="s">
        <v>3376</v>
      </c>
      <c r="B301" t="s">
        <v>3377</v>
      </c>
      <c r="C301" t="s">
        <v>19</v>
      </c>
      <c r="D301" t="s">
        <v>994</v>
      </c>
      <c r="E301" s="1">
        <v>2.2959999999999998</v>
      </c>
      <c r="F301" t="s">
        <v>995</v>
      </c>
      <c r="G301">
        <v>40</v>
      </c>
      <c r="H301" s="1">
        <v>0.91839999999999999</v>
      </c>
      <c r="I301" s="21">
        <v>45249</v>
      </c>
      <c r="J301" s="21">
        <v>45249</v>
      </c>
      <c r="K301" s="21"/>
      <c r="L301" t="s">
        <v>4774</v>
      </c>
      <c r="M301" t="s">
        <v>146</v>
      </c>
      <c r="N301" t="s">
        <v>73</v>
      </c>
      <c r="O301">
        <v>1</v>
      </c>
      <c r="P301" t="s">
        <v>1154</v>
      </c>
      <c r="Q301" t="s">
        <v>4729</v>
      </c>
      <c r="R301" t="s">
        <v>4726</v>
      </c>
      <c r="S301" t="s">
        <v>4717</v>
      </c>
      <c r="T301">
        <f t="shared" si="8"/>
        <v>0</v>
      </c>
      <c r="U301" s="21">
        <f t="shared" si="9"/>
        <v>45249</v>
      </c>
    </row>
    <row r="302" spans="1:21" x14ac:dyDescent="0.35">
      <c r="A302" t="s">
        <v>1028</v>
      </c>
      <c r="B302" t="s">
        <v>1029</v>
      </c>
      <c r="C302" t="s">
        <v>19</v>
      </c>
      <c r="D302" t="s">
        <v>1006</v>
      </c>
      <c r="E302" s="1">
        <v>26.064</v>
      </c>
      <c r="F302" t="s">
        <v>995</v>
      </c>
      <c r="G302">
        <v>0</v>
      </c>
      <c r="H302" s="1">
        <v>0</v>
      </c>
      <c r="I302" s="21">
        <v>45249</v>
      </c>
      <c r="J302" s="21">
        <v>45253</v>
      </c>
      <c r="K302" s="21"/>
      <c r="L302" t="s">
        <v>4774</v>
      </c>
      <c r="M302" t="s">
        <v>33</v>
      </c>
      <c r="N302" t="s">
        <v>34</v>
      </c>
      <c r="O302">
        <v>1</v>
      </c>
      <c r="P302" t="s">
        <v>840</v>
      </c>
      <c r="Q302" t="s">
        <v>4528</v>
      </c>
      <c r="R302" t="s">
        <v>4721</v>
      </c>
      <c r="S302" t="s">
        <v>4717</v>
      </c>
      <c r="T302">
        <f t="shared" si="8"/>
        <v>4</v>
      </c>
      <c r="U302" s="21">
        <f t="shared" si="9"/>
        <v>45253</v>
      </c>
    </row>
    <row r="303" spans="1:21" x14ac:dyDescent="0.35">
      <c r="A303" t="s">
        <v>1030</v>
      </c>
      <c r="B303" t="s">
        <v>1031</v>
      </c>
      <c r="C303" t="s">
        <v>19</v>
      </c>
      <c r="D303" t="s">
        <v>994</v>
      </c>
      <c r="E303" s="1">
        <v>39.979999999999997</v>
      </c>
      <c r="F303" t="s">
        <v>995</v>
      </c>
      <c r="G303">
        <v>40</v>
      </c>
      <c r="H303" s="1">
        <v>15.991999999999999</v>
      </c>
      <c r="I303" s="21">
        <v>45249</v>
      </c>
      <c r="J303" s="21">
        <v>45254</v>
      </c>
      <c r="K303" s="21"/>
      <c r="L303" t="s">
        <v>4774</v>
      </c>
      <c r="M303" t="s">
        <v>33</v>
      </c>
      <c r="N303" t="s">
        <v>34</v>
      </c>
      <c r="O303">
        <v>1</v>
      </c>
      <c r="P303" t="s">
        <v>1032</v>
      </c>
      <c r="Q303" t="s">
        <v>4513</v>
      </c>
      <c r="R303" t="s">
        <v>4713</v>
      </c>
      <c r="S303" t="s">
        <v>4719</v>
      </c>
      <c r="T303">
        <f t="shared" si="8"/>
        <v>5</v>
      </c>
      <c r="U303" s="21">
        <f t="shared" si="9"/>
        <v>45254</v>
      </c>
    </row>
    <row r="304" spans="1:21" x14ac:dyDescent="0.35">
      <c r="A304" t="s">
        <v>1033</v>
      </c>
      <c r="B304" t="s">
        <v>1034</v>
      </c>
      <c r="C304" t="s">
        <v>19</v>
      </c>
      <c r="D304" t="s">
        <v>994</v>
      </c>
      <c r="E304" s="1">
        <v>1159.056</v>
      </c>
      <c r="F304" t="s">
        <v>995</v>
      </c>
      <c r="G304">
        <v>15</v>
      </c>
      <c r="H304" s="1">
        <v>173.85839999999999</v>
      </c>
      <c r="I304" s="21">
        <v>45249</v>
      </c>
      <c r="J304" s="21">
        <v>45254</v>
      </c>
      <c r="K304" s="21"/>
      <c r="L304" t="s">
        <v>4774</v>
      </c>
      <c r="M304" t="s">
        <v>25</v>
      </c>
      <c r="N304" t="s">
        <v>26</v>
      </c>
      <c r="O304">
        <v>1</v>
      </c>
      <c r="P304" t="s">
        <v>1035</v>
      </c>
      <c r="Q304" t="s">
        <v>4729</v>
      </c>
      <c r="R304" t="s">
        <v>4714</v>
      </c>
      <c r="S304" t="s">
        <v>4718</v>
      </c>
      <c r="T304">
        <f t="shared" si="8"/>
        <v>5</v>
      </c>
      <c r="U304" s="21">
        <f t="shared" si="9"/>
        <v>45254</v>
      </c>
    </row>
    <row r="305" spans="1:21" x14ac:dyDescent="0.35">
      <c r="A305" t="s">
        <v>3373</v>
      </c>
      <c r="B305" t="s">
        <v>3374</v>
      </c>
      <c r="C305" t="s">
        <v>19</v>
      </c>
      <c r="D305" t="s">
        <v>994</v>
      </c>
      <c r="E305" s="1">
        <v>26.4</v>
      </c>
      <c r="F305" t="s">
        <v>995</v>
      </c>
      <c r="G305">
        <v>15</v>
      </c>
      <c r="H305" s="1">
        <v>3.9599999999999995</v>
      </c>
      <c r="I305" s="21">
        <v>45249</v>
      </c>
      <c r="J305" s="21">
        <v>45255</v>
      </c>
      <c r="K305" s="21"/>
      <c r="L305" t="s">
        <v>4774</v>
      </c>
      <c r="M305" t="s">
        <v>33</v>
      </c>
      <c r="N305" t="s">
        <v>34</v>
      </c>
      <c r="O305">
        <v>1</v>
      </c>
      <c r="P305" t="s">
        <v>3375</v>
      </c>
      <c r="Q305" t="s">
        <v>4519</v>
      </c>
      <c r="R305" t="s">
        <v>4726</v>
      </c>
      <c r="S305" t="s">
        <v>4717</v>
      </c>
      <c r="T305">
        <f t="shared" si="8"/>
        <v>6</v>
      </c>
      <c r="U305" s="21">
        <f t="shared" si="9"/>
        <v>45255</v>
      </c>
    </row>
    <row r="306" spans="1:21" x14ac:dyDescent="0.35">
      <c r="A306" t="s">
        <v>3378</v>
      </c>
      <c r="B306" t="s">
        <v>3379</v>
      </c>
      <c r="C306" t="s">
        <v>30</v>
      </c>
      <c r="D306" t="s">
        <v>1002</v>
      </c>
      <c r="E306" s="1">
        <v>31.36</v>
      </c>
      <c r="F306" t="s">
        <v>995</v>
      </c>
      <c r="G306">
        <v>40</v>
      </c>
      <c r="H306" s="1">
        <v>12.544</v>
      </c>
      <c r="I306" s="21">
        <v>45249</v>
      </c>
      <c r="J306" s="21">
        <v>45252</v>
      </c>
      <c r="K306" s="21"/>
      <c r="L306" t="s">
        <v>4774</v>
      </c>
      <c r="M306" t="s">
        <v>25</v>
      </c>
      <c r="N306" t="s">
        <v>26</v>
      </c>
      <c r="O306">
        <v>1</v>
      </c>
      <c r="P306" t="s">
        <v>1094</v>
      </c>
      <c r="Q306" t="s">
        <v>4729</v>
      </c>
      <c r="R306" t="s">
        <v>4726</v>
      </c>
      <c r="S306" t="s">
        <v>4717</v>
      </c>
      <c r="T306">
        <f t="shared" si="8"/>
        <v>3</v>
      </c>
      <c r="U306" s="21">
        <f t="shared" si="9"/>
        <v>45252</v>
      </c>
    </row>
    <row r="307" spans="1:21" x14ac:dyDescent="0.35">
      <c r="A307" t="s">
        <v>4340</v>
      </c>
      <c r="B307" t="s">
        <v>4341</v>
      </c>
      <c r="C307" t="s">
        <v>19</v>
      </c>
      <c r="D307" t="s">
        <v>21</v>
      </c>
      <c r="E307" s="1">
        <v>82.408000000000001</v>
      </c>
      <c r="F307" t="s">
        <v>22</v>
      </c>
      <c r="G307">
        <v>0</v>
      </c>
      <c r="H307" s="1">
        <v>0</v>
      </c>
      <c r="I307" s="21">
        <v>45248</v>
      </c>
      <c r="J307" s="21">
        <v>45249</v>
      </c>
      <c r="K307" s="21">
        <v>45249</v>
      </c>
      <c r="L307" t="s">
        <v>32</v>
      </c>
      <c r="M307" t="s">
        <v>54</v>
      </c>
      <c r="N307" t="s">
        <v>26</v>
      </c>
      <c r="O307">
        <v>1</v>
      </c>
      <c r="P307" t="s">
        <v>2232</v>
      </c>
      <c r="Q307" t="s">
        <v>4652</v>
      </c>
      <c r="R307" t="s">
        <v>4711</v>
      </c>
      <c r="S307" t="s">
        <v>4719</v>
      </c>
      <c r="T307">
        <f t="shared" si="8"/>
        <v>1</v>
      </c>
      <c r="U307" s="21">
        <f t="shared" si="9"/>
        <v>45249</v>
      </c>
    </row>
    <row r="308" spans="1:21" x14ac:dyDescent="0.35">
      <c r="A308" t="s">
        <v>2206</v>
      </c>
      <c r="B308" t="s">
        <v>2207</v>
      </c>
      <c r="C308" t="s">
        <v>19</v>
      </c>
      <c r="D308" t="s">
        <v>994</v>
      </c>
      <c r="E308" s="1">
        <v>8.9399999999999906</v>
      </c>
      <c r="F308" t="s">
        <v>995</v>
      </c>
      <c r="G308">
        <v>40</v>
      </c>
      <c r="H308" s="1">
        <v>3.5759999999999965</v>
      </c>
      <c r="I308" s="21">
        <v>45248</v>
      </c>
      <c r="J308" s="21">
        <v>45253</v>
      </c>
      <c r="K308" s="21"/>
      <c r="L308" t="s">
        <v>4774</v>
      </c>
      <c r="M308" t="s">
        <v>25</v>
      </c>
      <c r="N308" t="s">
        <v>26</v>
      </c>
      <c r="O308">
        <v>1</v>
      </c>
      <c r="P308" t="s">
        <v>196</v>
      </c>
      <c r="Q308" t="s">
        <v>4729</v>
      </c>
      <c r="R308" t="s">
        <v>4726</v>
      </c>
      <c r="S308" t="s">
        <v>4717</v>
      </c>
      <c r="T308">
        <f t="shared" si="8"/>
        <v>5</v>
      </c>
      <c r="U308" s="21">
        <f t="shared" si="9"/>
        <v>45253</v>
      </c>
    </row>
    <row r="309" spans="1:21" x14ac:dyDescent="0.35">
      <c r="A309" t="s">
        <v>3370</v>
      </c>
      <c r="B309" t="s">
        <v>3371</v>
      </c>
      <c r="C309" t="s">
        <v>19</v>
      </c>
      <c r="D309" t="s">
        <v>994</v>
      </c>
      <c r="E309" s="1">
        <v>268.24</v>
      </c>
      <c r="F309" t="s">
        <v>995</v>
      </c>
      <c r="G309">
        <v>40</v>
      </c>
      <c r="H309" s="1">
        <v>107.29600000000001</v>
      </c>
      <c r="I309" s="21">
        <v>45248</v>
      </c>
      <c r="J309" s="21">
        <v>45249</v>
      </c>
      <c r="K309" s="21"/>
      <c r="L309" t="s">
        <v>4774</v>
      </c>
      <c r="M309" t="s">
        <v>67</v>
      </c>
      <c r="N309" t="s">
        <v>68</v>
      </c>
      <c r="O309">
        <v>1</v>
      </c>
      <c r="P309" t="s">
        <v>3372</v>
      </c>
      <c r="Q309" t="s">
        <v>4519</v>
      </c>
      <c r="R309" t="s">
        <v>4726</v>
      </c>
      <c r="S309" t="s">
        <v>4717</v>
      </c>
      <c r="T309">
        <f t="shared" si="8"/>
        <v>1</v>
      </c>
      <c r="U309" s="21">
        <f t="shared" si="9"/>
        <v>45249</v>
      </c>
    </row>
    <row r="310" spans="1:21" x14ac:dyDescent="0.35">
      <c r="A310" t="s">
        <v>2203</v>
      </c>
      <c r="B310" t="s">
        <v>2204</v>
      </c>
      <c r="C310" t="s">
        <v>30</v>
      </c>
      <c r="D310" t="s">
        <v>1002</v>
      </c>
      <c r="E310" s="1">
        <v>83.9</v>
      </c>
      <c r="F310" t="s">
        <v>995</v>
      </c>
      <c r="G310">
        <v>40</v>
      </c>
      <c r="H310" s="1">
        <v>33.56</v>
      </c>
      <c r="I310" s="21">
        <v>45247</v>
      </c>
      <c r="J310" s="21">
        <v>45248</v>
      </c>
      <c r="K310" s="21"/>
      <c r="L310" t="s">
        <v>4774</v>
      </c>
      <c r="M310" t="s">
        <v>33</v>
      </c>
      <c r="N310" t="s">
        <v>34</v>
      </c>
      <c r="O310">
        <v>1</v>
      </c>
      <c r="P310" t="s">
        <v>2205</v>
      </c>
      <c r="Q310" t="s">
        <v>4729</v>
      </c>
      <c r="R310" t="s">
        <v>4720</v>
      </c>
      <c r="S310" t="s">
        <v>4719</v>
      </c>
      <c r="T310">
        <f t="shared" si="8"/>
        <v>1</v>
      </c>
      <c r="U310" s="21">
        <f t="shared" si="9"/>
        <v>45248</v>
      </c>
    </row>
    <row r="311" spans="1:21" x14ac:dyDescent="0.35">
      <c r="A311" t="s">
        <v>1025</v>
      </c>
      <c r="B311" t="s">
        <v>1026</v>
      </c>
      <c r="C311" t="s">
        <v>19</v>
      </c>
      <c r="D311" t="s">
        <v>1002</v>
      </c>
      <c r="E311" s="1">
        <v>16.559999999999999</v>
      </c>
      <c r="F311" t="s">
        <v>995</v>
      </c>
      <c r="G311">
        <v>40</v>
      </c>
      <c r="H311" s="1">
        <v>6.6239999999999997</v>
      </c>
      <c r="I311" s="21">
        <v>45247</v>
      </c>
      <c r="J311" s="21">
        <v>45251</v>
      </c>
      <c r="K311" s="21"/>
      <c r="L311" t="s">
        <v>4774</v>
      </c>
      <c r="M311" t="s">
        <v>82</v>
      </c>
      <c r="N311" t="s">
        <v>47</v>
      </c>
      <c r="O311">
        <v>1</v>
      </c>
      <c r="P311" t="s">
        <v>1027</v>
      </c>
      <c r="Q311" t="s">
        <v>4729</v>
      </c>
      <c r="R311" t="s">
        <v>4512</v>
      </c>
      <c r="S311" t="s">
        <v>4717</v>
      </c>
      <c r="T311">
        <f t="shared" si="8"/>
        <v>4</v>
      </c>
      <c r="U311" s="21">
        <f t="shared" si="9"/>
        <v>45251</v>
      </c>
    </row>
    <row r="312" spans="1:21" x14ac:dyDescent="0.35">
      <c r="A312" t="s">
        <v>4338</v>
      </c>
      <c r="B312" t="s">
        <v>4339</v>
      </c>
      <c r="C312" t="s">
        <v>30</v>
      </c>
      <c r="D312" t="s">
        <v>1002</v>
      </c>
      <c r="E312" s="1">
        <v>79.959999999999894</v>
      </c>
      <c r="F312" t="s">
        <v>995</v>
      </c>
      <c r="G312">
        <v>40</v>
      </c>
      <c r="H312" s="1">
        <v>31.983999999999959</v>
      </c>
      <c r="I312" s="21">
        <v>45246</v>
      </c>
      <c r="J312" s="21">
        <v>45253</v>
      </c>
      <c r="K312" s="21"/>
      <c r="L312" t="s">
        <v>4774</v>
      </c>
      <c r="M312" t="s">
        <v>54</v>
      </c>
      <c r="N312" t="s">
        <v>26</v>
      </c>
      <c r="O312">
        <v>1</v>
      </c>
      <c r="P312" t="s">
        <v>1970</v>
      </c>
      <c r="Q312" t="s">
        <v>4643</v>
      </c>
      <c r="R312" t="s">
        <v>4512</v>
      </c>
      <c r="S312" t="s">
        <v>4717</v>
      </c>
      <c r="T312">
        <f t="shared" si="8"/>
        <v>7</v>
      </c>
      <c r="U312" s="21">
        <f t="shared" si="9"/>
        <v>45253</v>
      </c>
    </row>
    <row r="313" spans="1:21" x14ac:dyDescent="0.35">
      <c r="A313" t="s">
        <v>4336</v>
      </c>
      <c r="B313" t="s">
        <v>4337</v>
      </c>
      <c r="C313" t="s">
        <v>30</v>
      </c>
      <c r="D313" t="s">
        <v>994</v>
      </c>
      <c r="E313" s="1">
        <v>3.4239999999999999</v>
      </c>
      <c r="F313" t="s">
        <v>995</v>
      </c>
      <c r="G313">
        <v>15</v>
      </c>
      <c r="H313" s="1">
        <v>0.51359999999999995</v>
      </c>
      <c r="I313" s="21">
        <v>45246</v>
      </c>
      <c r="J313" s="21">
        <v>45246</v>
      </c>
      <c r="K313" s="21"/>
      <c r="L313" t="s">
        <v>4774</v>
      </c>
      <c r="M313" t="s">
        <v>72</v>
      </c>
      <c r="N313" t="s">
        <v>73</v>
      </c>
      <c r="O313">
        <v>1</v>
      </c>
      <c r="P313" t="s">
        <v>1021</v>
      </c>
      <c r="Q313" t="s">
        <v>4520</v>
      </c>
      <c r="R313" t="s">
        <v>4726</v>
      </c>
      <c r="S313" t="s">
        <v>4717</v>
      </c>
      <c r="T313">
        <f t="shared" si="8"/>
        <v>0</v>
      </c>
      <c r="U313" s="21">
        <f t="shared" si="9"/>
        <v>45246</v>
      </c>
    </row>
    <row r="314" spans="1:21" x14ac:dyDescent="0.35">
      <c r="A314" t="s">
        <v>1022</v>
      </c>
      <c r="B314" t="s">
        <v>1023</v>
      </c>
      <c r="C314" t="s">
        <v>19</v>
      </c>
      <c r="D314" t="s">
        <v>994</v>
      </c>
      <c r="E314" s="1">
        <v>29.97</v>
      </c>
      <c r="F314" t="s">
        <v>995</v>
      </c>
      <c r="G314">
        <v>15</v>
      </c>
      <c r="H314" s="1">
        <v>4.4954999999999998</v>
      </c>
      <c r="I314" s="21">
        <v>45246</v>
      </c>
      <c r="J314" s="21">
        <v>45250</v>
      </c>
      <c r="K314" s="21"/>
      <c r="L314" t="s">
        <v>4774</v>
      </c>
      <c r="M314" t="s">
        <v>82</v>
      </c>
      <c r="N314" t="s">
        <v>47</v>
      </c>
      <c r="O314">
        <v>1</v>
      </c>
      <c r="P314" t="s">
        <v>1024</v>
      </c>
      <c r="Q314" t="s">
        <v>4519</v>
      </c>
      <c r="R314" t="s">
        <v>4726</v>
      </c>
      <c r="S314" t="s">
        <v>4717</v>
      </c>
      <c r="T314">
        <f t="shared" si="8"/>
        <v>4</v>
      </c>
      <c r="U314" s="21">
        <f t="shared" si="9"/>
        <v>45250</v>
      </c>
    </row>
    <row r="315" spans="1:21" x14ac:dyDescent="0.35">
      <c r="A315" t="s">
        <v>1014</v>
      </c>
      <c r="B315" t="s">
        <v>1015</v>
      </c>
      <c r="C315" t="s">
        <v>30</v>
      </c>
      <c r="D315" t="s">
        <v>994</v>
      </c>
      <c r="E315" s="1">
        <v>273.56799999999998</v>
      </c>
      <c r="F315" t="s">
        <v>995</v>
      </c>
      <c r="G315">
        <v>15</v>
      </c>
      <c r="H315" s="1">
        <v>41.035199999999996</v>
      </c>
      <c r="I315" s="21">
        <v>45245</v>
      </c>
      <c r="J315" s="21">
        <v>45249</v>
      </c>
      <c r="K315" s="21"/>
      <c r="L315" t="s">
        <v>4774</v>
      </c>
      <c r="M315" t="s">
        <v>82</v>
      </c>
      <c r="N315" t="s">
        <v>47</v>
      </c>
      <c r="O315">
        <v>1</v>
      </c>
      <c r="P315" t="s">
        <v>776</v>
      </c>
      <c r="Q315" t="s">
        <v>4566</v>
      </c>
      <c r="R315" t="s">
        <v>4712</v>
      </c>
      <c r="S315" t="s">
        <v>4718</v>
      </c>
      <c r="T315">
        <f t="shared" si="8"/>
        <v>4</v>
      </c>
      <c r="U315" s="21">
        <f t="shared" si="9"/>
        <v>45249</v>
      </c>
    </row>
    <row r="316" spans="1:21" x14ac:dyDescent="0.35">
      <c r="A316" t="s">
        <v>1016</v>
      </c>
      <c r="B316" t="s">
        <v>1017</v>
      </c>
      <c r="C316" t="s">
        <v>19</v>
      </c>
      <c r="D316" t="s">
        <v>994</v>
      </c>
      <c r="E316" s="1">
        <v>397.6</v>
      </c>
      <c r="F316" t="s">
        <v>995</v>
      </c>
      <c r="G316">
        <v>15</v>
      </c>
      <c r="H316" s="1">
        <v>59.64</v>
      </c>
      <c r="I316" s="21">
        <v>45245</v>
      </c>
      <c r="J316" s="21">
        <v>45249</v>
      </c>
      <c r="K316" s="21"/>
      <c r="L316" t="s">
        <v>4774</v>
      </c>
      <c r="M316" t="s">
        <v>40</v>
      </c>
      <c r="N316" t="s">
        <v>34</v>
      </c>
      <c r="O316">
        <v>1</v>
      </c>
      <c r="P316" t="s">
        <v>1018</v>
      </c>
      <c r="Q316" t="s">
        <v>4533</v>
      </c>
      <c r="R316" t="s">
        <v>4721</v>
      </c>
      <c r="S316" t="s">
        <v>4718</v>
      </c>
      <c r="T316">
        <f t="shared" si="8"/>
        <v>4</v>
      </c>
      <c r="U316" s="21">
        <f t="shared" si="9"/>
        <v>45249</v>
      </c>
    </row>
    <row r="317" spans="1:21" x14ac:dyDescent="0.35">
      <c r="A317" t="s">
        <v>3367</v>
      </c>
      <c r="B317" t="s">
        <v>3368</v>
      </c>
      <c r="C317" t="s">
        <v>30</v>
      </c>
      <c r="D317" t="s">
        <v>21</v>
      </c>
      <c r="E317" s="1">
        <v>448.44599999999997</v>
      </c>
      <c r="F317" t="s">
        <v>22</v>
      </c>
      <c r="G317">
        <v>0</v>
      </c>
      <c r="H317" s="1">
        <v>0</v>
      </c>
      <c r="I317" s="21">
        <v>45245</v>
      </c>
      <c r="J317" s="21">
        <v>45248</v>
      </c>
      <c r="K317" s="21">
        <v>45248</v>
      </c>
      <c r="L317" t="s">
        <v>63</v>
      </c>
      <c r="M317" t="s">
        <v>67</v>
      </c>
      <c r="N317" t="s">
        <v>68</v>
      </c>
      <c r="O317">
        <v>1</v>
      </c>
      <c r="P317" t="s">
        <v>3369</v>
      </c>
      <c r="Q317" t="s">
        <v>4729</v>
      </c>
      <c r="R317" t="s">
        <v>4714</v>
      </c>
      <c r="S317" t="s">
        <v>4718</v>
      </c>
      <c r="T317">
        <f t="shared" si="8"/>
        <v>3</v>
      </c>
      <c r="U317" s="21">
        <f t="shared" si="9"/>
        <v>45248</v>
      </c>
    </row>
    <row r="318" spans="1:21" x14ac:dyDescent="0.35">
      <c r="A318" t="s">
        <v>1019</v>
      </c>
      <c r="B318" t="s">
        <v>1020</v>
      </c>
      <c r="C318" t="s">
        <v>19</v>
      </c>
      <c r="D318" t="s">
        <v>1002</v>
      </c>
      <c r="E318" s="1">
        <v>6.8479999999999999</v>
      </c>
      <c r="F318" t="s">
        <v>995</v>
      </c>
      <c r="G318">
        <v>40</v>
      </c>
      <c r="H318" s="1">
        <v>2.7392000000000003</v>
      </c>
      <c r="I318" s="21">
        <v>45245</v>
      </c>
      <c r="J318" s="21">
        <v>45246</v>
      </c>
      <c r="K318" s="21"/>
      <c r="L318" t="s">
        <v>4774</v>
      </c>
      <c r="M318" t="s">
        <v>97</v>
      </c>
      <c r="N318" t="s">
        <v>68</v>
      </c>
      <c r="O318">
        <v>1</v>
      </c>
      <c r="P318" t="s">
        <v>1021</v>
      </c>
      <c r="Q318" t="s">
        <v>4520</v>
      </c>
      <c r="R318" t="s">
        <v>4726</v>
      </c>
      <c r="S318" t="s">
        <v>4717</v>
      </c>
      <c r="T318">
        <f t="shared" si="8"/>
        <v>1</v>
      </c>
      <c r="U318" s="21">
        <f t="shared" si="9"/>
        <v>45246</v>
      </c>
    </row>
    <row r="319" spans="1:21" x14ac:dyDescent="0.35">
      <c r="A319" t="s">
        <v>4334</v>
      </c>
      <c r="B319" t="s">
        <v>4335</v>
      </c>
      <c r="C319" t="s">
        <v>19</v>
      </c>
      <c r="D319" t="s">
        <v>1006</v>
      </c>
      <c r="E319" s="1">
        <v>32.4</v>
      </c>
      <c r="F319" t="s">
        <v>995</v>
      </c>
      <c r="G319">
        <v>0</v>
      </c>
      <c r="H319" s="1">
        <v>0</v>
      </c>
      <c r="I319" s="21">
        <v>45245</v>
      </c>
      <c r="J319" s="21">
        <v>45250</v>
      </c>
      <c r="K319" s="21"/>
      <c r="L319" t="s">
        <v>4774</v>
      </c>
      <c r="M319" t="s">
        <v>40</v>
      </c>
      <c r="N319" t="s">
        <v>34</v>
      </c>
      <c r="O319">
        <v>1</v>
      </c>
      <c r="P319" t="s">
        <v>1071</v>
      </c>
      <c r="Q319" t="s">
        <v>4519</v>
      </c>
      <c r="R319" t="s">
        <v>4726</v>
      </c>
      <c r="S319" t="s">
        <v>4717</v>
      </c>
      <c r="T319">
        <f t="shared" si="8"/>
        <v>5</v>
      </c>
      <c r="U319" s="21">
        <f t="shared" si="9"/>
        <v>45250</v>
      </c>
    </row>
    <row r="320" spans="1:21" x14ac:dyDescent="0.35">
      <c r="A320" t="s">
        <v>2200</v>
      </c>
      <c r="B320" t="s">
        <v>2201</v>
      </c>
      <c r="C320" t="s">
        <v>19</v>
      </c>
      <c r="D320" t="s">
        <v>1002</v>
      </c>
      <c r="E320" s="1">
        <v>639.96799999999996</v>
      </c>
      <c r="F320" t="s">
        <v>995</v>
      </c>
      <c r="G320">
        <v>40</v>
      </c>
      <c r="H320" s="1">
        <v>255.9872</v>
      </c>
      <c r="I320" s="21">
        <v>45244</v>
      </c>
      <c r="J320" s="21">
        <v>45248</v>
      </c>
      <c r="K320" s="21"/>
      <c r="L320" t="s">
        <v>4774</v>
      </c>
      <c r="M320" t="s">
        <v>25</v>
      </c>
      <c r="N320" t="s">
        <v>26</v>
      </c>
      <c r="O320">
        <v>1</v>
      </c>
      <c r="P320" t="s">
        <v>2202</v>
      </c>
      <c r="Q320" t="s">
        <v>4650</v>
      </c>
      <c r="R320" t="s">
        <v>4720</v>
      </c>
      <c r="S320" t="s">
        <v>4719</v>
      </c>
      <c r="T320">
        <f t="shared" si="8"/>
        <v>4</v>
      </c>
      <c r="U320" s="21">
        <f t="shared" si="9"/>
        <v>45248</v>
      </c>
    </row>
    <row r="321" spans="1:21" x14ac:dyDescent="0.35">
      <c r="A321" t="s">
        <v>1008</v>
      </c>
      <c r="B321" t="s">
        <v>1009</v>
      </c>
      <c r="C321" t="s">
        <v>19</v>
      </c>
      <c r="D321" t="s">
        <v>1002</v>
      </c>
      <c r="E321" s="1">
        <v>144.78399999999999</v>
      </c>
      <c r="F321" t="s">
        <v>995</v>
      </c>
      <c r="G321">
        <v>40</v>
      </c>
      <c r="H321" s="1">
        <v>57.913600000000002</v>
      </c>
      <c r="I321" s="21">
        <v>45244</v>
      </c>
      <c r="J321" s="21">
        <v>45248</v>
      </c>
      <c r="K321" s="21"/>
      <c r="L321" t="s">
        <v>4774</v>
      </c>
      <c r="M321" t="s">
        <v>72</v>
      </c>
      <c r="N321" t="s">
        <v>73</v>
      </c>
      <c r="O321">
        <v>1</v>
      </c>
      <c r="P321" t="s">
        <v>1010</v>
      </c>
      <c r="Q321" t="s">
        <v>4567</v>
      </c>
      <c r="R321" t="s">
        <v>4714</v>
      </c>
      <c r="S321" t="s">
        <v>4718</v>
      </c>
      <c r="T321">
        <f t="shared" si="8"/>
        <v>4</v>
      </c>
      <c r="U321" s="21">
        <f t="shared" si="9"/>
        <v>45248</v>
      </c>
    </row>
    <row r="322" spans="1:21" x14ac:dyDescent="0.35">
      <c r="A322" t="s">
        <v>4331</v>
      </c>
      <c r="B322" t="s">
        <v>4332</v>
      </c>
      <c r="C322" t="s">
        <v>30</v>
      </c>
      <c r="D322" t="s">
        <v>1002</v>
      </c>
      <c r="E322" s="1">
        <v>201.56800000000001</v>
      </c>
      <c r="F322" t="s">
        <v>995</v>
      </c>
      <c r="G322">
        <v>40</v>
      </c>
      <c r="H322" s="1">
        <v>80.627200000000016</v>
      </c>
      <c r="I322" s="21">
        <v>45244</v>
      </c>
      <c r="J322" s="21">
        <v>45250</v>
      </c>
      <c r="K322" s="21"/>
      <c r="L322" t="s">
        <v>4774</v>
      </c>
      <c r="M322" t="s">
        <v>67</v>
      </c>
      <c r="N322" t="s">
        <v>68</v>
      </c>
      <c r="O322">
        <v>1</v>
      </c>
      <c r="P322" t="s">
        <v>4333</v>
      </c>
      <c r="Q322" t="s">
        <v>4668</v>
      </c>
      <c r="R322" t="s">
        <v>4711</v>
      </c>
      <c r="S322" t="s">
        <v>4719</v>
      </c>
      <c r="T322">
        <f t="shared" ref="T322:T385" si="10">J322-I322</f>
        <v>6</v>
      </c>
      <c r="U322" s="21">
        <f t="shared" si="9"/>
        <v>45250</v>
      </c>
    </row>
    <row r="323" spans="1:21" x14ac:dyDescent="0.35">
      <c r="A323" t="s">
        <v>4329</v>
      </c>
      <c r="B323" t="s">
        <v>4330</v>
      </c>
      <c r="C323" t="s">
        <v>19</v>
      </c>
      <c r="D323" t="s">
        <v>994</v>
      </c>
      <c r="E323" s="1">
        <v>10.16</v>
      </c>
      <c r="F323" t="s">
        <v>995</v>
      </c>
      <c r="G323">
        <v>40</v>
      </c>
      <c r="H323" s="1">
        <v>4.0640000000000001</v>
      </c>
      <c r="I323" s="21">
        <v>45244</v>
      </c>
      <c r="J323" s="21">
        <v>45248</v>
      </c>
      <c r="K323" s="21"/>
      <c r="L323" t="s">
        <v>4774</v>
      </c>
      <c r="M323" t="s">
        <v>72</v>
      </c>
      <c r="N323" t="s">
        <v>73</v>
      </c>
      <c r="O323">
        <v>1</v>
      </c>
      <c r="P323" t="s">
        <v>764</v>
      </c>
      <c r="Q323" t="s">
        <v>4729</v>
      </c>
      <c r="R323" t="s">
        <v>4512</v>
      </c>
      <c r="S323" t="s">
        <v>4717</v>
      </c>
      <c r="T323">
        <f t="shared" si="10"/>
        <v>4</v>
      </c>
      <c r="U323" s="21">
        <f t="shared" ref="U323:U386" si="11">J323</f>
        <v>45248</v>
      </c>
    </row>
    <row r="324" spans="1:21" x14ac:dyDescent="0.35">
      <c r="A324" t="s">
        <v>2198</v>
      </c>
      <c r="B324" t="s">
        <v>2199</v>
      </c>
      <c r="C324" t="s">
        <v>19</v>
      </c>
      <c r="D324" t="s">
        <v>1002</v>
      </c>
      <c r="E324" s="1">
        <v>31.56</v>
      </c>
      <c r="F324" t="s">
        <v>995</v>
      </c>
      <c r="G324">
        <v>40</v>
      </c>
      <c r="H324" s="1">
        <v>12.624000000000001</v>
      </c>
      <c r="I324" s="21">
        <v>45244</v>
      </c>
      <c r="J324" s="21">
        <v>45248</v>
      </c>
      <c r="K324" s="21"/>
      <c r="L324" t="s">
        <v>4774</v>
      </c>
      <c r="M324" t="s">
        <v>82</v>
      </c>
      <c r="N324" t="s">
        <v>47</v>
      </c>
      <c r="O324">
        <v>1</v>
      </c>
      <c r="P324" t="s">
        <v>2060</v>
      </c>
      <c r="Q324" t="s">
        <v>4729</v>
      </c>
      <c r="R324" t="s">
        <v>4721</v>
      </c>
      <c r="S324" t="s">
        <v>4718</v>
      </c>
      <c r="T324">
        <f t="shared" si="10"/>
        <v>4</v>
      </c>
      <c r="U324" s="21">
        <f t="shared" si="11"/>
        <v>45248</v>
      </c>
    </row>
    <row r="325" spans="1:21" x14ac:dyDescent="0.35">
      <c r="A325" t="s">
        <v>2195</v>
      </c>
      <c r="B325" t="s">
        <v>2196</v>
      </c>
      <c r="C325" t="s">
        <v>30</v>
      </c>
      <c r="D325" t="s">
        <v>1002</v>
      </c>
      <c r="E325" s="1">
        <v>14.73</v>
      </c>
      <c r="F325" t="s">
        <v>995</v>
      </c>
      <c r="G325">
        <v>40</v>
      </c>
      <c r="H325" s="1">
        <v>5.8920000000000003</v>
      </c>
      <c r="I325" s="21">
        <v>45244</v>
      </c>
      <c r="J325" s="21">
        <v>45248</v>
      </c>
      <c r="K325" s="21"/>
      <c r="L325" t="s">
        <v>4774</v>
      </c>
      <c r="M325" t="s">
        <v>146</v>
      </c>
      <c r="N325" t="s">
        <v>73</v>
      </c>
      <c r="O325">
        <v>1</v>
      </c>
      <c r="P325" t="s">
        <v>2197</v>
      </c>
      <c r="Q325" t="s">
        <v>4729</v>
      </c>
      <c r="R325" t="s">
        <v>4721</v>
      </c>
      <c r="S325" t="s">
        <v>4718</v>
      </c>
      <c r="T325">
        <f t="shared" si="10"/>
        <v>4</v>
      </c>
      <c r="U325" s="21">
        <f t="shared" si="11"/>
        <v>45248</v>
      </c>
    </row>
    <row r="326" spans="1:21" x14ac:dyDescent="0.35">
      <c r="A326" t="s">
        <v>1011</v>
      </c>
      <c r="B326" t="s">
        <v>1012</v>
      </c>
      <c r="C326" t="s">
        <v>30</v>
      </c>
      <c r="D326" t="s">
        <v>994</v>
      </c>
      <c r="E326" s="1">
        <v>40.08</v>
      </c>
      <c r="F326" t="s">
        <v>995</v>
      </c>
      <c r="G326">
        <v>40</v>
      </c>
      <c r="H326" s="1">
        <v>16.032</v>
      </c>
      <c r="I326" s="21">
        <v>45244</v>
      </c>
      <c r="J326" s="21">
        <v>45248</v>
      </c>
      <c r="K326" s="21"/>
      <c r="L326" t="s">
        <v>4774</v>
      </c>
      <c r="M326" t="s">
        <v>82</v>
      </c>
      <c r="N326" t="s">
        <v>47</v>
      </c>
      <c r="O326">
        <v>1</v>
      </c>
      <c r="P326" t="s">
        <v>1013</v>
      </c>
      <c r="Q326" t="s">
        <v>4519</v>
      </c>
      <c r="R326" t="s">
        <v>4726</v>
      </c>
      <c r="S326" t="s">
        <v>4717</v>
      </c>
      <c r="T326">
        <f t="shared" si="10"/>
        <v>4</v>
      </c>
      <c r="U326" s="21">
        <f t="shared" si="11"/>
        <v>45248</v>
      </c>
    </row>
    <row r="327" spans="1:21" x14ac:dyDescent="0.35">
      <c r="A327" t="s">
        <v>3365</v>
      </c>
      <c r="B327" t="s">
        <v>3366</v>
      </c>
      <c r="C327" t="s">
        <v>30</v>
      </c>
      <c r="D327" t="s">
        <v>1002</v>
      </c>
      <c r="E327" s="1">
        <v>171.96</v>
      </c>
      <c r="F327" t="s">
        <v>995</v>
      </c>
      <c r="G327">
        <v>40</v>
      </c>
      <c r="H327" s="1">
        <v>68.784000000000006</v>
      </c>
      <c r="I327" s="21">
        <v>45243</v>
      </c>
      <c r="J327" s="21">
        <v>45244</v>
      </c>
      <c r="K327" s="21"/>
      <c r="L327" t="s">
        <v>4774</v>
      </c>
      <c r="M327" t="s">
        <v>25</v>
      </c>
      <c r="N327" t="s">
        <v>26</v>
      </c>
      <c r="O327">
        <v>1</v>
      </c>
      <c r="P327" t="s">
        <v>1855</v>
      </c>
      <c r="Q327" t="s">
        <v>4641</v>
      </c>
      <c r="R327" t="s">
        <v>4712</v>
      </c>
      <c r="S327" t="s">
        <v>4718</v>
      </c>
      <c r="T327">
        <f t="shared" si="10"/>
        <v>1</v>
      </c>
      <c r="U327" s="21">
        <f t="shared" si="11"/>
        <v>45244</v>
      </c>
    </row>
    <row r="328" spans="1:21" x14ac:dyDescent="0.35">
      <c r="A328" t="s">
        <v>4326</v>
      </c>
      <c r="B328" t="s">
        <v>4327</v>
      </c>
      <c r="C328" t="s">
        <v>19</v>
      </c>
      <c r="D328" t="s">
        <v>21</v>
      </c>
      <c r="E328" s="1">
        <v>878.32799999999997</v>
      </c>
      <c r="F328" t="s">
        <v>22</v>
      </c>
      <c r="G328">
        <v>0</v>
      </c>
      <c r="H328" s="1">
        <v>0</v>
      </c>
      <c r="I328" s="21">
        <v>45243</v>
      </c>
      <c r="J328" s="21">
        <v>45246</v>
      </c>
      <c r="K328" s="21">
        <v>45246</v>
      </c>
      <c r="L328" t="s">
        <v>53</v>
      </c>
      <c r="M328" t="s">
        <v>40</v>
      </c>
      <c r="N328" t="s">
        <v>34</v>
      </c>
      <c r="O328">
        <v>1</v>
      </c>
      <c r="P328" t="s">
        <v>4328</v>
      </c>
      <c r="Q328" t="s">
        <v>4530</v>
      </c>
      <c r="R328" t="s">
        <v>4711</v>
      </c>
      <c r="S328" t="s">
        <v>4719</v>
      </c>
      <c r="T328">
        <f t="shared" si="10"/>
        <v>3</v>
      </c>
      <c r="U328" s="21">
        <f t="shared" si="11"/>
        <v>45246</v>
      </c>
    </row>
    <row r="329" spans="1:21" x14ac:dyDescent="0.35">
      <c r="A329" t="s">
        <v>4316</v>
      </c>
      <c r="B329" t="s">
        <v>4317</v>
      </c>
      <c r="C329" t="s">
        <v>19</v>
      </c>
      <c r="D329" t="s">
        <v>1006</v>
      </c>
      <c r="E329" s="1">
        <v>328.77600000000001</v>
      </c>
      <c r="F329" t="s">
        <v>995</v>
      </c>
      <c r="G329">
        <v>0</v>
      </c>
      <c r="H329" s="1">
        <v>0</v>
      </c>
      <c r="I329" s="21">
        <v>45242</v>
      </c>
      <c r="J329" s="21">
        <v>45247</v>
      </c>
      <c r="K329" s="21"/>
      <c r="L329" t="s">
        <v>4774</v>
      </c>
      <c r="M329" t="s">
        <v>97</v>
      </c>
      <c r="N329" t="s">
        <v>68</v>
      </c>
      <c r="O329">
        <v>1</v>
      </c>
      <c r="P329" t="s">
        <v>4318</v>
      </c>
      <c r="Q329" t="s">
        <v>4561</v>
      </c>
      <c r="R329" t="s">
        <v>4711</v>
      </c>
      <c r="S329" t="s">
        <v>4719</v>
      </c>
      <c r="T329">
        <f t="shared" si="10"/>
        <v>5</v>
      </c>
      <c r="U329" s="21">
        <f t="shared" si="11"/>
        <v>45247</v>
      </c>
    </row>
    <row r="330" spans="1:21" x14ac:dyDescent="0.35">
      <c r="A330" t="s">
        <v>4322</v>
      </c>
      <c r="B330" t="s">
        <v>4323</v>
      </c>
      <c r="C330" t="s">
        <v>19</v>
      </c>
      <c r="D330" t="s">
        <v>1006</v>
      </c>
      <c r="E330" s="1">
        <v>1352.39759999999</v>
      </c>
      <c r="F330" t="s">
        <v>995</v>
      </c>
      <c r="G330">
        <v>0</v>
      </c>
      <c r="H330" s="1">
        <v>0</v>
      </c>
      <c r="I330" s="21">
        <v>45242</v>
      </c>
      <c r="J330" s="21">
        <v>45247</v>
      </c>
      <c r="K330" s="21"/>
      <c r="L330" t="s">
        <v>4774</v>
      </c>
      <c r="M330" t="s">
        <v>46</v>
      </c>
      <c r="N330" t="s">
        <v>47</v>
      </c>
      <c r="O330">
        <v>1</v>
      </c>
      <c r="P330" t="s">
        <v>1417</v>
      </c>
      <c r="Q330" t="s">
        <v>4606</v>
      </c>
      <c r="R330" t="s">
        <v>4723</v>
      </c>
      <c r="S330" t="s">
        <v>4718</v>
      </c>
      <c r="T330">
        <f t="shared" si="10"/>
        <v>5</v>
      </c>
      <c r="U330" s="21">
        <f t="shared" si="11"/>
        <v>45247</v>
      </c>
    </row>
    <row r="331" spans="1:21" x14ac:dyDescent="0.35">
      <c r="A331" t="s">
        <v>4319</v>
      </c>
      <c r="B331" t="s">
        <v>4320</v>
      </c>
      <c r="C331" t="s">
        <v>19</v>
      </c>
      <c r="D331" t="s">
        <v>994</v>
      </c>
      <c r="E331" s="1">
        <v>7.04</v>
      </c>
      <c r="F331" t="s">
        <v>995</v>
      </c>
      <c r="G331">
        <v>40</v>
      </c>
      <c r="H331" s="1">
        <v>2.8160000000000003</v>
      </c>
      <c r="I331" s="21">
        <v>45242</v>
      </c>
      <c r="J331" s="21">
        <v>45246</v>
      </c>
      <c r="K331" s="21"/>
      <c r="L331" t="s">
        <v>4774</v>
      </c>
      <c r="M331" t="s">
        <v>72</v>
      </c>
      <c r="N331" t="s">
        <v>73</v>
      </c>
      <c r="O331">
        <v>1</v>
      </c>
      <c r="P331" t="s">
        <v>4321</v>
      </c>
      <c r="Q331" t="s">
        <v>4729</v>
      </c>
      <c r="R331" t="s">
        <v>4726</v>
      </c>
      <c r="S331" t="s">
        <v>4717</v>
      </c>
      <c r="T331">
        <f t="shared" si="10"/>
        <v>4</v>
      </c>
      <c r="U331" s="21">
        <f t="shared" si="11"/>
        <v>45246</v>
      </c>
    </row>
    <row r="332" spans="1:21" x14ac:dyDescent="0.35">
      <c r="A332" t="s">
        <v>4324</v>
      </c>
      <c r="B332" t="s">
        <v>4325</v>
      </c>
      <c r="C332" t="s">
        <v>30</v>
      </c>
      <c r="D332" t="s">
        <v>1002</v>
      </c>
      <c r="E332" s="1">
        <v>99.372</v>
      </c>
      <c r="F332" t="s">
        <v>995</v>
      </c>
      <c r="G332">
        <v>40</v>
      </c>
      <c r="H332" s="1">
        <v>39.748800000000003</v>
      </c>
      <c r="I332" s="21">
        <v>45242</v>
      </c>
      <c r="J332" s="21">
        <v>45248</v>
      </c>
      <c r="K332" s="21"/>
      <c r="L332" t="s">
        <v>4774</v>
      </c>
      <c r="M332" t="s">
        <v>54</v>
      </c>
      <c r="N332" t="s">
        <v>26</v>
      </c>
      <c r="O332">
        <v>1</v>
      </c>
      <c r="P332" t="s">
        <v>3615</v>
      </c>
      <c r="Q332" t="s">
        <v>4729</v>
      </c>
      <c r="R332" t="s">
        <v>4714</v>
      </c>
      <c r="S332" t="s">
        <v>4718</v>
      </c>
      <c r="T332">
        <f t="shared" si="10"/>
        <v>6</v>
      </c>
      <c r="U332" s="21">
        <f t="shared" si="11"/>
        <v>45248</v>
      </c>
    </row>
    <row r="333" spans="1:21" x14ac:dyDescent="0.35">
      <c r="A333" t="s">
        <v>4310</v>
      </c>
      <c r="B333" t="s">
        <v>4311</v>
      </c>
      <c r="C333" t="s">
        <v>30</v>
      </c>
      <c r="D333" t="s">
        <v>1002</v>
      </c>
      <c r="E333" s="1">
        <v>2.5019999999999998</v>
      </c>
      <c r="F333" t="s">
        <v>995</v>
      </c>
      <c r="G333">
        <v>40</v>
      </c>
      <c r="H333" s="1">
        <v>1.0007999999999999</v>
      </c>
      <c r="I333" s="21">
        <v>45241</v>
      </c>
      <c r="J333" s="21">
        <v>45246</v>
      </c>
      <c r="K333" s="21"/>
      <c r="L333" t="s">
        <v>4774</v>
      </c>
      <c r="M333" t="s">
        <v>146</v>
      </c>
      <c r="N333" t="s">
        <v>73</v>
      </c>
      <c r="O333">
        <v>1</v>
      </c>
      <c r="P333" t="s">
        <v>4312</v>
      </c>
      <c r="Q333" t="s">
        <v>4526</v>
      </c>
      <c r="R333" t="s">
        <v>4726</v>
      </c>
      <c r="S333" t="s">
        <v>4717</v>
      </c>
      <c r="T333">
        <f t="shared" si="10"/>
        <v>5</v>
      </c>
      <c r="U333" s="21">
        <f t="shared" si="11"/>
        <v>45246</v>
      </c>
    </row>
    <row r="334" spans="1:21" x14ac:dyDescent="0.35">
      <c r="A334" t="s">
        <v>2190</v>
      </c>
      <c r="B334" t="s">
        <v>2191</v>
      </c>
      <c r="C334" t="s">
        <v>19</v>
      </c>
      <c r="D334" t="s">
        <v>21</v>
      </c>
      <c r="E334" s="1">
        <v>45.616</v>
      </c>
      <c r="F334" t="s">
        <v>22</v>
      </c>
      <c r="G334">
        <v>0</v>
      </c>
      <c r="H334" s="1">
        <v>0</v>
      </c>
      <c r="I334" s="21">
        <v>45241</v>
      </c>
      <c r="J334" s="21">
        <v>45243</v>
      </c>
      <c r="K334" s="21">
        <v>45243</v>
      </c>
      <c r="L334" t="s">
        <v>24</v>
      </c>
      <c r="M334" t="s">
        <v>97</v>
      </c>
      <c r="N334" t="s">
        <v>68</v>
      </c>
      <c r="O334">
        <v>1</v>
      </c>
      <c r="P334" t="s">
        <v>2192</v>
      </c>
      <c r="Q334" t="s">
        <v>4649</v>
      </c>
      <c r="R334" t="s">
        <v>4726</v>
      </c>
      <c r="S334" t="s">
        <v>4717</v>
      </c>
      <c r="T334">
        <f t="shared" si="10"/>
        <v>2</v>
      </c>
      <c r="U334" s="21">
        <f t="shared" si="11"/>
        <v>45243</v>
      </c>
    </row>
    <row r="335" spans="1:21" x14ac:dyDescent="0.35">
      <c r="A335" t="s">
        <v>1004</v>
      </c>
      <c r="B335" t="s">
        <v>1005</v>
      </c>
      <c r="C335" t="s">
        <v>19</v>
      </c>
      <c r="D335" t="s">
        <v>1006</v>
      </c>
      <c r="E335" s="1">
        <v>9.1839999999999993</v>
      </c>
      <c r="F335" t="s">
        <v>995</v>
      </c>
      <c r="G335">
        <v>0</v>
      </c>
      <c r="H335" s="1">
        <v>0</v>
      </c>
      <c r="I335" s="21">
        <v>45241</v>
      </c>
      <c r="J335" s="21">
        <v>45246</v>
      </c>
      <c r="K335" s="21"/>
      <c r="L335" t="s">
        <v>4774</v>
      </c>
      <c r="M335" t="s">
        <v>72</v>
      </c>
      <c r="N335" t="s">
        <v>73</v>
      </c>
      <c r="O335">
        <v>1</v>
      </c>
      <c r="P335" t="s">
        <v>1007</v>
      </c>
      <c r="Q335" t="s">
        <v>4546</v>
      </c>
      <c r="R335" t="s">
        <v>4726</v>
      </c>
      <c r="S335" t="s">
        <v>4717</v>
      </c>
      <c r="T335">
        <f t="shared" si="10"/>
        <v>5</v>
      </c>
      <c r="U335" s="21">
        <f t="shared" si="11"/>
        <v>45246</v>
      </c>
    </row>
    <row r="336" spans="1:21" x14ac:dyDescent="0.35">
      <c r="A336" t="s">
        <v>3361</v>
      </c>
      <c r="B336" t="s">
        <v>3362</v>
      </c>
      <c r="C336" t="s">
        <v>30</v>
      </c>
      <c r="D336" t="s">
        <v>1006</v>
      </c>
      <c r="E336" s="1">
        <v>2348.8200000000002</v>
      </c>
      <c r="F336" t="s">
        <v>995</v>
      </c>
      <c r="G336">
        <v>0</v>
      </c>
      <c r="H336" s="1">
        <v>0</v>
      </c>
      <c r="I336" s="21">
        <v>45241</v>
      </c>
      <c r="J336" s="21">
        <v>45243</v>
      </c>
      <c r="K336" s="21"/>
      <c r="L336" t="s">
        <v>4774</v>
      </c>
      <c r="M336" t="s">
        <v>46</v>
      </c>
      <c r="N336" t="s">
        <v>47</v>
      </c>
      <c r="O336">
        <v>1</v>
      </c>
      <c r="P336" t="s">
        <v>3287</v>
      </c>
      <c r="Q336" t="s">
        <v>4620</v>
      </c>
      <c r="R336" t="s">
        <v>4712</v>
      </c>
      <c r="S336" t="s">
        <v>4718</v>
      </c>
      <c r="T336">
        <f t="shared" si="10"/>
        <v>2</v>
      </c>
      <c r="U336" s="21">
        <f t="shared" si="11"/>
        <v>45243</v>
      </c>
    </row>
    <row r="337" spans="1:21" x14ac:dyDescent="0.35">
      <c r="A337" t="s">
        <v>4313</v>
      </c>
      <c r="B337" t="s">
        <v>4314</v>
      </c>
      <c r="C337" t="s">
        <v>19</v>
      </c>
      <c r="D337" t="s">
        <v>21</v>
      </c>
      <c r="E337" s="1">
        <v>225.82799999999997</v>
      </c>
      <c r="F337" t="s">
        <v>22</v>
      </c>
      <c r="G337">
        <v>0</v>
      </c>
      <c r="H337" s="1">
        <v>0</v>
      </c>
      <c r="I337" s="21">
        <v>45241</v>
      </c>
      <c r="J337" s="21">
        <v>45243</v>
      </c>
      <c r="K337" s="21">
        <v>45243</v>
      </c>
      <c r="L337" t="s">
        <v>53</v>
      </c>
      <c r="M337" t="s">
        <v>46</v>
      </c>
      <c r="N337" t="s">
        <v>47</v>
      </c>
      <c r="O337">
        <v>1</v>
      </c>
      <c r="P337" t="s">
        <v>4315</v>
      </c>
      <c r="Q337" t="s">
        <v>4729</v>
      </c>
      <c r="R337" t="s">
        <v>4709</v>
      </c>
      <c r="S337" t="s">
        <v>4717</v>
      </c>
      <c r="T337">
        <f t="shared" si="10"/>
        <v>2</v>
      </c>
      <c r="U337" s="21">
        <f t="shared" si="11"/>
        <v>45243</v>
      </c>
    </row>
    <row r="338" spans="1:21" x14ac:dyDescent="0.35">
      <c r="A338" t="s">
        <v>3363</v>
      </c>
      <c r="B338" t="s">
        <v>3364</v>
      </c>
      <c r="C338" t="s">
        <v>19</v>
      </c>
      <c r="D338" t="s">
        <v>1002</v>
      </c>
      <c r="E338" s="1">
        <v>111.79</v>
      </c>
      <c r="F338" t="s">
        <v>995</v>
      </c>
      <c r="G338">
        <v>40</v>
      </c>
      <c r="H338" s="1">
        <v>44.716000000000008</v>
      </c>
      <c r="I338" s="21">
        <v>45241</v>
      </c>
      <c r="J338" s="21">
        <v>45245</v>
      </c>
      <c r="K338" s="21"/>
      <c r="L338" t="s">
        <v>4774</v>
      </c>
      <c r="M338" t="s">
        <v>54</v>
      </c>
      <c r="N338" t="s">
        <v>26</v>
      </c>
      <c r="O338">
        <v>1</v>
      </c>
      <c r="P338" t="s">
        <v>2158</v>
      </c>
      <c r="Q338" t="s">
        <v>4540</v>
      </c>
      <c r="R338" t="s">
        <v>4713</v>
      </c>
      <c r="S338" t="s">
        <v>4719</v>
      </c>
      <c r="T338">
        <f t="shared" si="10"/>
        <v>4</v>
      </c>
      <c r="U338" s="21">
        <f t="shared" si="11"/>
        <v>45245</v>
      </c>
    </row>
    <row r="339" spans="1:21" x14ac:dyDescent="0.35">
      <c r="A339" t="s">
        <v>3358</v>
      </c>
      <c r="B339" t="s">
        <v>3359</v>
      </c>
      <c r="C339" t="s">
        <v>19</v>
      </c>
      <c r="D339" t="s">
        <v>21</v>
      </c>
      <c r="E339" s="1">
        <v>563.93999999999994</v>
      </c>
      <c r="F339" t="s">
        <v>22</v>
      </c>
      <c r="G339">
        <v>0</v>
      </c>
      <c r="H339" s="1">
        <v>0</v>
      </c>
      <c r="I339" s="21">
        <v>45241</v>
      </c>
      <c r="J339" s="21">
        <v>45243</v>
      </c>
      <c r="K339" s="21">
        <v>45243</v>
      </c>
      <c r="L339" t="s">
        <v>63</v>
      </c>
      <c r="M339" t="s">
        <v>40</v>
      </c>
      <c r="N339" t="s">
        <v>34</v>
      </c>
      <c r="O339">
        <v>1</v>
      </c>
      <c r="P339" t="s">
        <v>3360</v>
      </c>
      <c r="Q339" t="s">
        <v>4565</v>
      </c>
      <c r="R339" t="s">
        <v>4711</v>
      </c>
      <c r="S339" t="s">
        <v>4719</v>
      </c>
      <c r="T339">
        <f t="shared" si="10"/>
        <v>2</v>
      </c>
      <c r="U339" s="21">
        <f t="shared" si="11"/>
        <v>45243</v>
      </c>
    </row>
    <row r="340" spans="1:21" x14ac:dyDescent="0.35">
      <c r="A340" t="s">
        <v>2193</v>
      </c>
      <c r="B340" t="s">
        <v>2194</v>
      </c>
      <c r="C340" t="s">
        <v>19</v>
      </c>
      <c r="D340" t="s">
        <v>1006</v>
      </c>
      <c r="E340" s="1">
        <v>16.989999999999998</v>
      </c>
      <c r="F340" t="s">
        <v>995</v>
      </c>
      <c r="G340">
        <v>0</v>
      </c>
      <c r="H340" s="1">
        <v>0</v>
      </c>
      <c r="I340" s="21">
        <v>45241</v>
      </c>
      <c r="J340" s="21">
        <v>45244</v>
      </c>
      <c r="K340" s="21"/>
      <c r="L340" t="s">
        <v>4774</v>
      </c>
      <c r="M340" t="s">
        <v>146</v>
      </c>
      <c r="N340" t="s">
        <v>73</v>
      </c>
      <c r="O340">
        <v>1</v>
      </c>
      <c r="P340" t="s">
        <v>1726</v>
      </c>
      <c r="Q340" t="s">
        <v>4729</v>
      </c>
      <c r="R340" t="s">
        <v>4721</v>
      </c>
      <c r="S340" t="s">
        <v>4717</v>
      </c>
      <c r="T340">
        <f t="shared" si="10"/>
        <v>3</v>
      </c>
      <c r="U340" s="21">
        <f t="shared" si="11"/>
        <v>45244</v>
      </c>
    </row>
    <row r="341" spans="1:21" x14ac:dyDescent="0.35">
      <c r="A341" t="s">
        <v>2187</v>
      </c>
      <c r="B341" t="s">
        <v>2188</v>
      </c>
      <c r="C341" t="s">
        <v>19</v>
      </c>
      <c r="D341" t="s">
        <v>1006</v>
      </c>
      <c r="E341" s="1">
        <v>238</v>
      </c>
      <c r="F341" t="s">
        <v>995</v>
      </c>
      <c r="G341">
        <v>0</v>
      </c>
      <c r="H341" s="1">
        <v>0</v>
      </c>
      <c r="I341" s="21">
        <v>45240</v>
      </c>
      <c r="J341" s="21">
        <v>45245</v>
      </c>
      <c r="K341" s="21"/>
      <c r="L341" t="s">
        <v>4774</v>
      </c>
      <c r="M341" t="s">
        <v>67</v>
      </c>
      <c r="N341" t="s">
        <v>68</v>
      </c>
      <c r="O341">
        <v>1</v>
      </c>
      <c r="P341" t="s">
        <v>2189</v>
      </c>
      <c r="Q341" t="s">
        <v>4729</v>
      </c>
      <c r="R341" t="s">
        <v>4713</v>
      </c>
      <c r="S341" t="s">
        <v>4719</v>
      </c>
      <c r="T341">
        <f t="shared" si="10"/>
        <v>5</v>
      </c>
      <c r="U341" s="21">
        <f t="shared" si="11"/>
        <v>45245</v>
      </c>
    </row>
    <row r="342" spans="1:21" x14ac:dyDescent="0.35">
      <c r="A342" t="s">
        <v>3353</v>
      </c>
      <c r="B342" t="s">
        <v>3354</v>
      </c>
      <c r="C342" t="s">
        <v>19</v>
      </c>
      <c r="D342" t="s">
        <v>212</v>
      </c>
      <c r="E342" s="1">
        <v>64.384</v>
      </c>
      <c r="F342" t="s">
        <v>206</v>
      </c>
      <c r="G342">
        <v>100</v>
      </c>
      <c r="H342" s="1">
        <v>64.384</v>
      </c>
      <c r="I342" s="21">
        <v>45238</v>
      </c>
      <c r="J342" s="21">
        <v>45243</v>
      </c>
      <c r="K342" s="21">
        <v>45243</v>
      </c>
      <c r="L342" t="s">
        <v>213</v>
      </c>
      <c r="M342" t="s">
        <v>72</v>
      </c>
      <c r="N342" t="s">
        <v>73</v>
      </c>
      <c r="O342">
        <v>1</v>
      </c>
      <c r="P342" t="s">
        <v>3355</v>
      </c>
      <c r="Q342" t="s">
        <v>4690</v>
      </c>
      <c r="R342" t="s">
        <v>4710</v>
      </c>
      <c r="S342" t="s">
        <v>4717</v>
      </c>
      <c r="T342">
        <f t="shared" si="10"/>
        <v>5</v>
      </c>
      <c r="U342" s="21">
        <f t="shared" si="11"/>
        <v>45243</v>
      </c>
    </row>
    <row r="343" spans="1:21" x14ac:dyDescent="0.35">
      <c r="A343" t="s">
        <v>2181</v>
      </c>
      <c r="B343" t="s">
        <v>2182</v>
      </c>
      <c r="C343" t="s">
        <v>19</v>
      </c>
      <c r="D343" t="s">
        <v>21</v>
      </c>
      <c r="E343" s="1">
        <v>1030.4940000000001</v>
      </c>
      <c r="F343" t="s">
        <v>22</v>
      </c>
      <c r="G343">
        <v>0</v>
      </c>
      <c r="H343" s="1">
        <v>0</v>
      </c>
      <c r="I343" s="21">
        <v>45238</v>
      </c>
      <c r="J343" s="21">
        <v>45240</v>
      </c>
      <c r="K343" s="21">
        <v>45240</v>
      </c>
      <c r="L343" t="s">
        <v>45</v>
      </c>
      <c r="M343" t="s">
        <v>72</v>
      </c>
      <c r="N343" t="s">
        <v>73</v>
      </c>
      <c r="O343">
        <v>1</v>
      </c>
      <c r="P343" t="s">
        <v>2183</v>
      </c>
      <c r="Q343" t="s">
        <v>4561</v>
      </c>
      <c r="R343" t="s">
        <v>4711</v>
      </c>
      <c r="S343" t="s">
        <v>4719</v>
      </c>
      <c r="T343">
        <f t="shared" si="10"/>
        <v>2</v>
      </c>
      <c r="U343" s="21">
        <f t="shared" si="11"/>
        <v>45240</v>
      </c>
    </row>
    <row r="344" spans="1:21" x14ac:dyDescent="0.35">
      <c r="A344" t="s">
        <v>1000</v>
      </c>
      <c r="B344" t="s">
        <v>1001</v>
      </c>
      <c r="C344" t="s">
        <v>30</v>
      </c>
      <c r="D344" t="s">
        <v>1002</v>
      </c>
      <c r="E344" s="1">
        <v>13.272</v>
      </c>
      <c r="F344" t="s">
        <v>995</v>
      </c>
      <c r="G344">
        <v>40</v>
      </c>
      <c r="H344" s="1">
        <v>5.3088000000000006</v>
      </c>
      <c r="I344" s="21">
        <v>45238</v>
      </c>
      <c r="J344" s="21">
        <v>45243</v>
      </c>
      <c r="K344" s="21"/>
      <c r="L344" t="s">
        <v>4774</v>
      </c>
      <c r="M344" t="s">
        <v>33</v>
      </c>
      <c r="N344" t="s">
        <v>34</v>
      </c>
      <c r="O344">
        <v>1</v>
      </c>
      <c r="P344" t="s">
        <v>1003</v>
      </c>
      <c r="Q344" t="s">
        <v>4517</v>
      </c>
      <c r="R344" t="s">
        <v>4726</v>
      </c>
      <c r="S344" t="s">
        <v>4717</v>
      </c>
      <c r="T344">
        <f t="shared" si="10"/>
        <v>5</v>
      </c>
      <c r="U344" s="21">
        <f t="shared" si="11"/>
        <v>45243</v>
      </c>
    </row>
    <row r="345" spans="1:21" x14ac:dyDescent="0.35">
      <c r="A345" t="s">
        <v>4308</v>
      </c>
      <c r="B345" t="s">
        <v>4309</v>
      </c>
      <c r="C345" t="s">
        <v>19</v>
      </c>
      <c r="D345" t="s">
        <v>1006</v>
      </c>
      <c r="E345" s="1">
        <v>22.96</v>
      </c>
      <c r="F345" t="s">
        <v>995</v>
      </c>
      <c r="G345">
        <v>0</v>
      </c>
      <c r="H345" s="1">
        <v>0</v>
      </c>
      <c r="I345" s="21">
        <v>45238</v>
      </c>
      <c r="J345" s="21">
        <v>45243</v>
      </c>
      <c r="K345" s="21"/>
      <c r="L345" t="s">
        <v>4774</v>
      </c>
      <c r="M345" t="s">
        <v>46</v>
      </c>
      <c r="N345" t="s">
        <v>47</v>
      </c>
      <c r="O345">
        <v>1</v>
      </c>
      <c r="P345" t="s">
        <v>312</v>
      </c>
      <c r="Q345" t="s">
        <v>4550</v>
      </c>
      <c r="R345" t="s">
        <v>4726</v>
      </c>
      <c r="S345" t="s">
        <v>4717</v>
      </c>
      <c r="T345">
        <f t="shared" si="10"/>
        <v>5</v>
      </c>
      <c r="U345" s="21">
        <f t="shared" si="11"/>
        <v>45243</v>
      </c>
    </row>
    <row r="346" spans="1:21" x14ac:dyDescent="0.35">
      <c r="A346" t="s">
        <v>997</v>
      </c>
      <c r="B346" t="s">
        <v>998</v>
      </c>
      <c r="C346" t="s">
        <v>30</v>
      </c>
      <c r="D346" t="s">
        <v>212</v>
      </c>
      <c r="E346" s="1">
        <v>56.28</v>
      </c>
      <c r="F346" t="s">
        <v>206</v>
      </c>
      <c r="G346">
        <v>100</v>
      </c>
      <c r="H346" s="1">
        <v>56.28</v>
      </c>
      <c r="I346" s="21">
        <v>45238</v>
      </c>
      <c r="J346" s="21">
        <v>45243</v>
      </c>
      <c r="K346" s="21">
        <v>45243</v>
      </c>
      <c r="L346" t="s">
        <v>220</v>
      </c>
      <c r="M346" t="s">
        <v>72</v>
      </c>
      <c r="N346" t="s">
        <v>73</v>
      </c>
      <c r="O346">
        <v>1</v>
      </c>
      <c r="P346" t="s">
        <v>999</v>
      </c>
      <c r="Q346" t="s">
        <v>4533</v>
      </c>
      <c r="R346" t="s">
        <v>4724</v>
      </c>
      <c r="S346" t="s">
        <v>4718</v>
      </c>
      <c r="T346">
        <f t="shared" si="10"/>
        <v>5</v>
      </c>
      <c r="U346" s="21">
        <f t="shared" si="11"/>
        <v>45243</v>
      </c>
    </row>
    <row r="347" spans="1:21" x14ac:dyDescent="0.35">
      <c r="A347" t="s">
        <v>4305</v>
      </c>
      <c r="B347" t="s">
        <v>4306</v>
      </c>
      <c r="C347" t="s">
        <v>30</v>
      </c>
      <c r="D347" t="s">
        <v>21</v>
      </c>
      <c r="E347" s="1">
        <v>90.396000000000001</v>
      </c>
      <c r="F347" t="s">
        <v>22</v>
      </c>
      <c r="G347">
        <v>0</v>
      </c>
      <c r="H347" s="1">
        <v>0</v>
      </c>
      <c r="I347" s="21">
        <v>45238</v>
      </c>
      <c r="J347" s="21">
        <v>45240</v>
      </c>
      <c r="K347" s="21">
        <v>45240</v>
      </c>
      <c r="L347" t="s">
        <v>24</v>
      </c>
      <c r="M347" t="s">
        <v>54</v>
      </c>
      <c r="N347" t="s">
        <v>26</v>
      </c>
      <c r="O347">
        <v>1</v>
      </c>
      <c r="P347" t="s">
        <v>4307</v>
      </c>
      <c r="Q347" t="s">
        <v>4560</v>
      </c>
      <c r="R347" t="s">
        <v>4726</v>
      </c>
      <c r="S347" t="s">
        <v>4717</v>
      </c>
      <c r="T347">
        <f t="shared" si="10"/>
        <v>2</v>
      </c>
      <c r="U347" s="21">
        <f t="shared" si="11"/>
        <v>45240</v>
      </c>
    </row>
    <row r="348" spans="1:21" x14ac:dyDescent="0.35">
      <c r="A348" t="s">
        <v>2184</v>
      </c>
      <c r="B348" t="s">
        <v>2185</v>
      </c>
      <c r="C348" t="s">
        <v>19</v>
      </c>
      <c r="D348" t="s">
        <v>205</v>
      </c>
      <c r="E348" s="1">
        <v>359.32</v>
      </c>
      <c r="F348" t="s">
        <v>206</v>
      </c>
      <c r="G348">
        <v>80</v>
      </c>
      <c r="H348" s="1">
        <v>287.45600000000002</v>
      </c>
      <c r="I348" s="21">
        <v>45238</v>
      </c>
      <c r="J348" s="21">
        <v>45242</v>
      </c>
      <c r="K348" s="21">
        <v>45242</v>
      </c>
      <c r="L348" t="s">
        <v>220</v>
      </c>
      <c r="M348" t="s">
        <v>46</v>
      </c>
      <c r="N348" t="s">
        <v>47</v>
      </c>
      <c r="O348">
        <v>1</v>
      </c>
      <c r="P348" t="s">
        <v>2186</v>
      </c>
      <c r="Q348" t="s">
        <v>4560</v>
      </c>
      <c r="R348" t="s">
        <v>4709</v>
      </c>
      <c r="S348" t="s">
        <v>4717</v>
      </c>
      <c r="T348">
        <f t="shared" si="10"/>
        <v>4</v>
      </c>
      <c r="U348" s="21">
        <f t="shared" si="11"/>
        <v>45242</v>
      </c>
    </row>
    <row r="349" spans="1:21" x14ac:dyDescent="0.35">
      <c r="A349" t="s">
        <v>992</v>
      </c>
      <c r="B349" t="s">
        <v>993</v>
      </c>
      <c r="C349" t="s">
        <v>30</v>
      </c>
      <c r="D349" t="s">
        <v>994</v>
      </c>
      <c r="E349" s="1">
        <v>29.52</v>
      </c>
      <c r="F349" t="s">
        <v>995</v>
      </c>
      <c r="G349">
        <v>15</v>
      </c>
      <c r="H349" s="1">
        <v>4.4279999999999999</v>
      </c>
      <c r="I349" s="21">
        <v>45238</v>
      </c>
      <c r="J349" s="21">
        <v>45244</v>
      </c>
      <c r="K349" s="21"/>
      <c r="L349" t="s">
        <v>4774</v>
      </c>
      <c r="M349" t="s">
        <v>82</v>
      </c>
      <c r="N349" t="s">
        <v>47</v>
      </c>
      <c r="O349">
        <v>1</v>
      </c>
      <c r="P349" t="s">
        <v>996</v>
      </c>
      <c r="Q349" t="s">
        <v>4528</v>
      </c>
      <c r="R349" t="s">
        <v>4726</v>
      </c>
      <c r="S349" t="s">
        <v>4717</v>
      </c>
      <c r="T349">
        <f t="shared" si="10"/>
        <v>6</v>
      </c>
      <c r="U349" s="21">
        <f t="shared" si="11"/>
        <v>45244</v>
      </c>
    </row>
    <row r="350" spans="1:21" x14ac:dyDescent="0.35">
      <c r="A350" t="s">
        <v>3356</v>
      </c>
      <c r="B350" t="s">
        <v>3357</v>
      </c>
      <c r="C350" t="s">
        <v>19</v>
      </c>
      <c r="D350" t="s">
        <v>1002</v>
      </c>
      <c r="E350" s="1">
        <v>27.36</v>
      </c>
      <c r="F350" t="s">
        <v>995</v>
      </c>
      <c r="G350">
        <v>40</v>
      </c>
      <c r="H350" s="1">
        <v>10.944000000000001</v>
      </c>
      <c r="I350" s="21">
        <v>45238</v>
      </c>
      <c r="J350" s="21">
        <v>45240</v>
      </c>
      <c r="K350" s="21"/>
      <c r="L350" t="s">
        <v>4774</v>
      </c>
      <c r="M350" t="s">
        <v>33</v>
      </c>
      <c r="N350" t="s">
        <v>34</v>
      </c>
      <c r="O350">
        <v>1</v>
      </c>
      <c r="P350" t="s">
        <v>2864</v>
      </c>
      <c r="Q350" t="s">
        <v>4729</v>
      </c>
      <c r="R350" t="s">
        <v>4726</v>
      </c>
      <c r="S350" t="s">
        <v>4717</v>
      </c>
      <c r="T350">
        <f t="shared" si="10"/>
        <v>2</v>
      </c>
      <c r="U350" s="21">
        <f t="shared" si="11"/>
        <v>45240</v>
      </c>
    </row>
    <row r="351" spans="1:21" x14ac:dyDescent="0.35">
      <c r="A351" t="s">
        <v>4303</v>
      </c>
      <c r="B351" t="s">
        <v>4304</v>
      </c>
      <c r="C351" t="s">
        <v>19</v>
      </c>
      <c r="D351" t="s">
        <v>994</v>
      </c>
      <c r="E351" s="1">
        <v>842.35199999999998</v>
      </c>
      <c r="F351" t="s">
        <v>995</v>
      </c>
      <c r="G351">
        <v>15</v>
      </c>
      <c r="H351" s="1">
        <v>126.35279999999999</v>
      </c>
      <c r="I351" s="21">
        <v>45238</v>
      </c>
      <c r="J351" s="21">
        <v>45243</v>
      </c>
      <c r="K351" s="21"/>
      <c r="L351" t="s">
        <v>4774</v>
      </c>
      <c r="M351" t="s">
        <v>46</v>
      </c>
      <c r="N351" t="s">
        <v>47</v>
      </c>
      <c r="O351">
        <v>1</v>
      </c>
      <c r="P351" t="s">
        <v>2515</v>
      </c>
      <c r="Q351" t="s">
        <v>4729</v>
      </c>
      <c r="R351" t="s">
        <v>4714</v>
      </c>
      <c r="S351" t="s">
        <v>4718</v>
      </c>
      <c r="T351">
        <f t="shared" si="10"/>
        <v>5</v>
      </c>
      <c r="U351" s="21">
        <f t="shared" si="11"/>
        <v>45243</v>
      </c>
    </row>
    <row r="352" spans="1:21" x14ac:dyDescent="0.35">
      <c r="A352" t="s">
        <v>989</v>
      </c>
      <c r="B352" t="s">
        <v>990</v>
      </c>
      <c r="C352" t="s">
        <v>30</v>
      </c>
      <c r="D352" t="s">
        <v>205</v>
      </c>
      <c r="E352" s="1">
        <v>22.14</v>
      </c>
      <c r="F352" t="s">
        <v>206</v>
      </c>
      <c r="G352">
        <v>80</v>
      </c>
      <c r="H352" s="1">
        <v>17.712</v>
      </c>
      <c r="I352" s="21">
        <v>45237</v>
      </c>
      <c r="J352" s="21">
        <v>45241</v>
      </c>
      <c r="K352" s="21">
        <v>45241</v>
      </c>
      <c r="L352" t="s">
        <v>234</v>
      </c>
      <c r="M352" t="s">
        <v>146</v>
      </c>
      <c r="N352" t="s">
        <v>73</v>
      </c>
      <c r="O352">
        <v>1</v>
      </c>
      <c r="P352" t="s">
        <v>991</v>
      </c>
      <c r="Q352" t="s">
        <v>4533</v>
      </c>
      <c r="R352" t="s">
        <v>4724</v>
      </c>
      <c r="S352" t="s">
        <v>4718</v>
      </c>
      <c r="T352">
        <f t="shared" si="10"/>
        <v>4</v>
      </c>
      <c r="U352" s="21">
        <f t="shared" si="11"/>
        <v>45241</v>
      </c>
    </row>
    <row r="353" spans="1:21" x14ac:dyDescent="0.35">
      <c r="A353" t="s">
        <v>2179</v>
      </c>
      <c r="B353" t="s">
        <v>2180</v>
      </c>
      <c r="C353" t="s">
        <v>19</v>
      </c>
      <c r="D353" t="s">
        <v>21</v>
      </c>
      <c r="E353" s="1">
        <v>368.43200000000002</v>
      </c>
      <c r="F353" t="s">
        <v>22</v>
      </c>
      <c r="G353">
        <v>0</v>
      </c>
      <c r="H353" s="1">
        <v>0</v>
      </c>
      <c r="I353" s="21">
        <v>45237</v>
      </c>
      <c r="J353" s="21">
        <v>45240</v>
      </c>
      <c r="K353" s="21">
        <v>45240</v>
      </c>
      <c r="L353" t="s">
        <v>45</v>
      </c>
      <c r="M353" t="s">
        <v>146</v>
      </c>
      <c r="N353" t="s">
        <v>73</v>
      </c>
      <c r="O353">
        <v>1</v>
      </c>
      <c r="P353" t="s">
        <v>834</v>
      </c>
      <c r="Q353" t="s">
        <v>4601</v>
      </c>
      <c r="R353" t="s">
        <v>4714</v>
      </c>
      <c r="S353" t="s">
        <v>4718</v>
      </c>
      <c r="T353">
        <f t="shared" si="10"/>
        <v>3</v>
      </c>
      <c r="U353" s="21">
        <f t="shared" si="11"/>
        <v>45240</v>
      </c>
    </row>
    <row r="354" spans="1:21" x14ac:dyDescent="0.35">
      <c r="A354" t="s">
        <v>986</v>
      </c>
      <c r="B354" t="s">
        <v>987</v>
      </c>
      <c r="C354" t="s">
        <v>19</v>
      </c>
      <c r="D354" t="s">
        <v>21</v>
      </c>
      <c r="E354" s="1">
        <v>1120.73</v>
      </c>
      <c r="F354" t="s">
        <v>22</v>
      </c>
      <c r="G354">
        <v>0</v>
      </c>
      <c r="H354" s="1">
        <v>0</v>
      </c>
      <c r="I354" s="21">
        <v>45236</v>
      </c>
      <c r="J354" s="21">
        <v>45238</v>
      </c>
      <c r="K354" s="21">
        <v>45238</v>
      </c>
      <c r="L354" t="s">
        <v>53</v>
      </c>
      <c r="M354" t="s">
        <v>146</v>
      </c>
      <c r="N354" t="s">
        <v>73</v>
      </c>
      <c r="O354">
        <v>1</v>
      </c>
      <c r="P354" t="s">
        <v>988</v>
      </c>
      <c r="Q354" t="s">
        <v>4599</v>
      </c>
      <c r="R354" t="s">
        <v>4725</v>
      </c>
      <c r="S354" t="s">
        <v>4718</v>
      </c>
      <c r="T354">
        <f t="shared" si="10"/>
        <v>2</v>
      </c>
      <c r="U354" s="21">
        <f t="shared" si="11"/>
        <v>45238</v>
      </c>
    </row>
    <row r="355" spans="1:21" x14ac:dyDescent="0.35">
      <c r="A355" t="s">
        <v>3349</v>
      </c>
      <c r="B355" t="s">
        <v>3350</v>
      </c>
      <c r="C355" t="s">
        <v>30</v>
      </c>
      <c r="D355" t="s">
        <v>205</v>
      </c>
      <c r="E355" s="1">
        <v>2.91</v>
      </c>
      <c r="F355" t="s">
        <v>206</v>
      </c>
      <c r="G355">
        <v>80</v>
      </c>
      <c r="H355" s="1">
        <v>2.3280000000000003</v>
      </c>
      <c r="I355" s="21">
        <v>45236</v>
      </c>
      <c r="J355" s="21">
        <v>45239</v>
      </c>
      <c r="K355" s="21">
        <v>45239</v>
      </c>
      <c r="L355" t="s">
        <v>213</v>
      </c>
      <c r="M355" t="s">
        <v>54</v>
      </c>
      <c r="N355" t="s">
        <v>26</v>
      </c>
      <c r="O355">
        <v>1</v>
      </c>
      <c r="P355" t="s">
        <v>2035</v>
      </c>
      <c r="Q355" t="s">
        <v>4586</v>
      </c>
      <c r="R355" t="s">
        <v>4721</v>
      </c>
      <c r="S355" t="s">
        <v>4718</v>
      </c>
      <c r="T355">
        <f t="shared" si="10"/>
        <v>3</v>
      </c>
      <c r="U355" s="21">
        <f t="shared" si="11"/>
        <v>45239</v>
      </c>
    </row>
    <row r="356" spans="1:21" x14ac:dyDescent="0.35">
      <c r="A356" t="s">
        <v>983</v>
      </c>
      <c r="B356" t="s">
        <v>984</v>
      </c>
      <c r="C356" t="s">
        <v>19</v>
      </c>
      <c r="D356" t="s">
        <v>212</v>
      </c>
      <c r="E356" s="1">
        <v>82.524000000000001</v>
      </c>
      <c r="F356" t="s">
        <v>206</v>
      </c>
      <c r="G356">
        <v>100</v>
      </c>
      <c r="H356" s="1">
        <v>82.524000000000001</v>
      </c>
      <c r="I356" s="21">
        <v>45236</v>
      </c>
      <c r="J356" s="21">
        <v>45240</v>
      </c>
      <c r="K356" s="21">
        <v>45240</v>
      </c>
      <c r="L356" t="s">
        <v>213</v>
      </c>
      <c r="M356" t="s">
        <v>146</v>
      </c>
      <c r="N356" t="s">
        <v>73</v>
      </c>
      <c r="O356">
        <v>1</v>
      </c>
      <c r="P356" t="s">
        <v>985</v>
      </c>
      <c r="Q356" t="s">
        <v>4553</v>
      </c>
      <c r="R356" t="s">
        <v>4722</v>
      </c>
      <c r="S356" t="s">
        <v>4718</v>
      </c>
      <c r="T356">
        <f t="shared" si="10"/>
        <v>4</v>
      </c>
      <c r="U356" s="21">
        <f t="shared" si="11"/>
        <v>45240</v>
      </c>
    </row>
    <row r="357" spans="1:21" x14ac:dyDescent="0.35">
      <c r="A357" t="s">
        <v>2173</v>
      </c>
      <c r="B357" t="s">
        <v>2174</v>
      </c>
      <c r="C357" t="s">
        <v>19</v>
      </c>
      <c r="D357" t="s">
        <v>205</v>
      </c>
      <c r="E357" s="1">
        <v>182.994</v>
      </c>
      <c r="F357" t="s">
        <v>206</v>
      </c>
      <c r="G357">
        <v>80</v>
      </c>
      <c r="H357" s="1">
        <v>146.39520000000002</v>
      </c>
      <c r="I357" s="21">
        <v>45236</v>
      </c>
      <c r="J357" s="21">
        <v>45241</v>
      </c>
      <c r="K357" s="21">
        <v>45241</v>
      </c>
      <c r="L357" t="s">
        <v>248</v>
      </c>
      <c r="M357" t="s">
        <v>25</v>
      </c>
      <c r="N357" t="s">
        <v>26</v>
      </c>
      <c r="O357">
        <v>1</v>
      </c>
      <c r="P357" t="s">
        <v>2175</v>
      </c>
      <c r="Q357" t="s">
        <v>4729</v>
      </c>
      <c r="R357" t="s">
        <v>4726</v>
      </c>
      <c r="S357" t="s">
        <v>4717</v>
      </c>
      <c r="T357">
        <f t="shared" si="10"/>
        <v>5</v>
      </c>
      <c r="U357" s="21">
        <f t="shared" si="11"/>
        <v>45241</v>
      </c>
    </row>
    <row r="358" spans="1:21" x14ac:dyDescent="0.35">
      <c r="A358" t="s">
        <v>3351</v>
      </c>
      <c r="B358" t="s">
        <v>3352</v>
      </c>
      <c r="C358" t="s">
        <v>30</v>
      </c>
      <c r="D358" t="s">
        <v>205</v>
      </c>
      <c r="E358" s="1">
        <v>265.93</v>
      </c>
      <c r="F358" t="s">
        <v>206</v>
      </c>
      <c r="G358">
        <v>80</v>
      </c>
      <c r="H358" s="1">
        <v>212.74400000000003</v>
      </c>
      <c r="I358" s="21">
        <v>45236</v>
      </c>
      <c r="J358" s="21">
        <v>45236</v>
      </c>
      <c r="K358" s="21">
        <v>45236</v>
      </c>
      <c r="L358" t="s">
        <v>248</v>
      </c>
      <c r="M358" t="s">
        <v>82</v>
      </c>
      <c r="N358" t="s">
        <v>47</v>
      </c>
      <c r="O358">
        <v>1</v>
      </c>
      <c r="P358" t="s">
        <v>2764</v>
      </c>
      <c r="Q358" t="s">
        <v>4778</v>
      </c>
      <c r="R358" t="s">
        <v>4713</v>
      </c>
      <c r="S358" t="s">
        <v>4719</v>
      </c>
      <c r="T358">
        <f t="shared" si="10"/>
        <v>0</v>
      </c>
      <c r="U358" s="21">
        <f t="shared" si="11"/>
        <v>45236</v>
      </c>
    </row>
    <row r="359" spans="1:21" x14ac:dyDescent="0.35">
      <c r="A359" t="s">
        <v>2176</v>
      </c>
      <c r="B359" t="s">
        <v>2177</v>
      </c>
      <c r="C359" t="s">
        <v>30</v>
      </c>
      <c r="D359" t="s">
        <v>212</v>
      </c>
      <c r="E359" s="1">
        <v>347.58</v>
      </c>
      <c r="F359" t="s">
        <v>206</v>
      </c>
      <c r="G359">
        <v>100</v>
      </c>
      <c r="H359" s="1">
        <v>347.58</v>
      </c>
      <c r="I359" s="21">
        <v>45236</v>
      </c>
      <c r="J359" s="21">
        <v>45241</v>
      </c>
      <c r="K359" s="21">
        <v>45241</v>
      </c>
      <c r="L359" t="s">
        <v>248</v>
      </c>
      <c r="M359" t="s">
        <v>67</v>
      </c>
      <c r="N359" t="s">
        <v>68</v>
      </c>
      <c r="O359">
        <v>1</v>
      </c>
      <c r="P359" t="s">
        <v>2178</v>
      </c>
      <c r="Q359" t="s">
        <v>4648</v>
      </c>
      <c r="R359" t="s">
        <v>4726</v>
      </c>
      <c r="S359" t="s">
        <v>4717</v>
      </c>
      <c r="T359">
        <f t="shared" si="10"/>
        <v>5</v>
      </c>
      <c r="U359" s="21">
        <f t="shared" si="11"/>
        <v>45241</v>
      </c>
    </row>
    <row r="360" spans="1:21" x14ac:dyDescent="0.35">
      <c r="A360" t="s">
        <v>3346</v>
      </c>
      <c r="B360" t="s">
        <v>3347</v>
      </c>
      <c r="C360" t="s">
        <v>30</v>
      </c>
      <c r="D360" t="s">
        <v>205</v>
      </c>
      <c r="E360" s="1">
        <v>30.93</v>
      </c>
      <c r="F360" t="s">
        <v>206</v>
      </c>
      <c r="G360">
        <v>80</v>
      </c>
      <c r="H360" s="1">
        <v>24.744</v>
      </c>
      <c r="I360" s="21">
        <v>45235</v>
      </c>
      <c r="J360" s="21">
        <v>45239</v>
      </c>
      <c r="K360" s="21">
        <v>45239</v>
      </c>
      <c r="L360" t="s">
        <v>238</v>
      </c>
      <c r="M360" t="s">
        <v>97</v>
      </c>
      <c r="N360" t="s">
        <v>68</v>
      </c>
      <c r="O360">
        <v>1</v>
      </c>
      <c r="P360" t="s">
        <v>3348</v>
      </c>
      <c r="Q360" t="s">
        <v>4518</v>
      </c>
      <c r="R360" t="s">
        <v>4721</v>
      </c>
      <c r="S360" t="s">
        <v>4717</v>
      </c>
      <c r="T360">
        <f t="shared" si="10"/>
        <v>4</v>
      </c>
      <c r="U360" s="21">
        <f t="shared" si="11"/>
        <v>45239</v>
      </c>
    </row>
    <row r="361" spans="1:21" x14ac:dyDescent="0.35">
      <c r="A361" t="s">
        <v>4300</v>
      </c>
      <c r="B361" t="s">
        <v>4301</v>
      </c>
      <c r="C361" t="s">
        <v>19</v>
      </c>
      <c r="D361" t="s">
        <v>212</v>
      </c>
      <c r="E361" s="1">
        <v>140.66999999999999</v>
      </c>
      <c r="F361" t="s">
        <v>206</v>
      </c>
      <c r="G361">
        <v>100</v>
      </c>
      <c r="H361" s="1">
        <v>140.66999999999999</v>
      </c>
      <c r="I361" s="21">
        <v>45235</v>
      </c>
      <c r="J361" s="21">
        <v>45235</v>
      </c>
      <c r="K361" s="21">
        <v>45235</v>
      </c>
      <c r="L361" t="s">
        <v>248</v>
      </c>
      <c r="M361" t="s">
        <v>33</v>
      </c>
      <c r="N361" t="s">
        <v>34</v>
      </c>
      <c r="O361">
        <v>1</v>
      </c>
      <c r="P361" t="s">
        <v>4302</v>
      </c>
      <c r="Q361" t="s">
        <v>4543</v>
      </c>
      <c r="R361" t="s">
        <v>4710</v>
      </c>
      <c r="S361" t="s">
        <v>4717</v>
      </c>
      <c r="T361">
        <f t="shared" si="10"/>
        <v>0</v>
      </c>
      <c r="U361" s="21">
        <f t="shared" si="11"/>
        <v>45235</v>
      </c>
    </row>
    <row r="362" spans="1:21" x14ac:dyDescent="0.35">
      <c r="A362" t="s">
        <v>3340</v>
      </c>
      <c r="B362" t="s">
        <v>3341</v>
      </c>
      <c r="C362" t="s">
        <v>19</v>
      </c>
      <c r="D362" t="s">
        <v>212</v>
      </c>
      <c r="E362" s="1">
        <v>59.1</v>
      </c>
      <c r="F362" t="s">
        <v>206</v>
      </c>
      <c r="G362">
        <v>100</v>
      </c>
      <c r="H362" s="1">
        <v>59.1</v>
      </c>
      <c r="I362" s="21">
        <v>45235</v>
      </c>
      <c r="J362" s="21">
        <v>45235</v>
      </c>
      <c r="K362" s="21">
        <v>45235</v>
      </c>
      <c r="L362" t="s">
        <v>213</v>
      </c>
      <c r="M362" t="s">
        <v>40</v>
      </c>
      <c r="N362" t="s">
        <v>34</v>
      </c>
      <c r="O362">
        <v>1</v>
      </c>
      <c r="P362" t="s">
        <v>3342</v>
      </c>
      <c r="Q362" t="s">
        <v>4689</v>
      </c>
      <c r="R362" t="s">
        <v>4721</v>
      </c>
      <c r="S362" t="s">
        <v>4717</v>
      </c>
      <c r="T362">
        <f t="shared" si="10"/>
        <v>0</v>
      </c>
      <c r="U362" s="21">
        <f t="shared" si="11"/>
        <v>45235</v>
      </c>
    </row>
    <row r="363" spans="1:21" x14ac:dyDescent="0.35">
      <c r="A363" t="s">
        <v>2171</v>
      </c>
      <c r="B363" t="s">
        <v>2172</v>
      </c>
      <c r="C363" t="s">
        <v>19</v>
      </c>
      <c r="D363" t="s">
        <v>205</v>
      </c>
      <c r="E363" s="1">
        <v>19.399999999999999</v>
      </c>
      <c r="F363" t="s">
        <v>206</v>
      </c>
      <c r="G363">
        <v>80</v>
      </c>
      <c r="H363" s="1">
        <v>15.52</v>
      </c>
      <c r="I363" s="21">
        <v>45235</v>
      </c>
      <c r="J363" s="21">
        <v>45236</v>
      </c>
      <c r="K363" s="21">
        <v>45236</v>
      </c>
      <c r="L363" t="s">
        <v>248</v>
      </c>
      <c r="M363" t="s">
        <v>146</v>
      </c>
      <c r="N363" t="s">
        <v>73</v>
      </c>
      <c r="O363">
        <v>1</v>
      </c>
      <c r="P363" t="s">
        <v>1586</v>
      </c>
      <c r="Q363" t="s">
        <v>4729</v>
      </c>
      <c r="R363" t="s">
        <v>4512</v>
      </c>
      <c r="S363" t="s">
        <v>4717</v>
      </c>
      <c r="T363">
        <f t="shared" si="10"/>
        <v>1</v>
      </c>
      <c r="U363" s="21">
        <f t="shared" si="11"/>
        <v>45236</v>
      </c>
    </row>
    <row r="364" spans="1:21" x14ac:dyDescent="0.35">
      <c r="A364" t="s">
        <v>3343</v>
      </c>
      <c r="B364" t="s">
        <v>3344</v>
      </c>
      <c r="C364" t="s">
        <v>30</v>
      </c>
      <c r="D364" t="s">
        <v>212</v>
      </c>
      <c r="E364" s="1">
        <v>13.9</v>
      </c>
      <c r="F364" t="s">
        <v>206</v>
      </c>
      <c r="G364">
        <v>100</v>
      </c>
      <c r="H364" s="1">
        <v>13.9</v>
      </c>
      <c r="I364" s="21">
        <v>45235</v>
      </c>
      <c r="J364" s="21">
        <v>45240</v>
      </c>
      <c r="K364" s="21">
        <v>45240</v>
      </c>
      <c r="L364" t="s">
        <v>220</v>
      </c>
      <c r="M364" t="s">
        <v>40</v>
      </c>
      <c r="N364" t="s">
        <v>34</v>
      </c>
      <c r="O364">
        <v>1</v>
      </c>
      <c r="P364" t="s">
        <v>3345</v>
      </c>
      <c r="Q364" t="s">
        <v>4621</v>
      </c>
      <c r="R364" t="s">
        <v>4726</v>
      </c>
      <c r="S364" t="s">
        <v>4717</v>
      </c>
      <c r="T364">
        <f t="shared" si="10"/>
        <v>5</v>
      </c>
      <c r="U364" s="21">
        <f t="shared" si="11"/>
        <v>45240</v>
      </c>
    </row>
    <row r="365" spans="1:21" x14ac:dyDescent="0.35">
      <c r="A365" t="s">
        <v>3338</v>
      </c>
      <c r="B365" t="s">
        <v>3339</v>
      </c>
      <c r="C365" t="s">
        <v>30</v>
      </c>
      <c r="D365" t="s">
        <v>212</v>
      </c>
      <c r="E365" s="1">
        <v>27.495999999999999</v>
      </c>
      <c r="F365" t="s">
        <v>206</v>
      </c>
      <c r="G365">
        <v>100</v>
      </c>
      <c r="H365" s="1">
        <v>27.495999999999999</v>
      </c>
      <c r="I365" s="21">
        <v>45235</v>
      </c>
      <c r="J365" s="21">
        <v>45239</v>
      </c>
      <c r="K365" s="21">
        <v>45239</v>
      </c>
      <c r="L365" t="s">
        <v>234</v>
      </c>
      <c r="M365" t="s">
        <v>82</v>
      </c>
      <c r="N365" t="s">
        <v>47</v>
      </c>
      <c r="O365">
        <v>1</v>
      </c>
      <c r="P365" t="s">
        <v>143</v>
      </c>
      <c r="Q365" t="s">
        <v>4729</v>
      </c>
      <c r="R365" t="s">
        <v>4726</v>
      </c>
      <c r="S365" t="s">
        <v>4717</v>
      </c>
      <c r="T365">
        <f t="shared" si="10"/>
        <v>4</v>
      </c>
      <c r="U365" s="21">
        <f t="shared" si="11"/>
        <v>45239</v>
      </c>
    </row>
    <row r="366" spans="1:21" x14ac:dyDescent="0.35">
      <c r="A366" t="s">
        <v>2168</v>
      </c>
      <c r="B366" t="s">
        <v>2169</v>
      </c>
      <c r="C366" t="s">
        <v>30</v>
      </c>
      <c r="D366" t="s">
        <v>21</v>
      </c>
      <c r="E366" s="1">
        <v>184.149</v>
      </c>
      <c r="F366" t="s">
        <v>22</v>
      </c>
      <c r="G366">
        <v>0</v>
      </c>
      <c r="H366" s="1">
        <v>0</v>
      </c>
      <c r="I366" s="21">
        <v>45234</v>
      </c>
      <c r="J366" s="21">
        <v>45236</v>
      </c>
      <c r="K366" s="21">
        <v>45236</v>
      </c>
      <c r="L366" t="s">
        <v>63</v>
      </c>
      <c r="M366" t="s">
        <v>25</v>
      </c>
      <c r="N366" t="s">
        <v>26</v>
      </c>
      <c r="O366">
        <v>1</v>
      </c>
      <c r="P366" t="s">
        <v>2170</v>
      </c>
      <c r="Q366" t="s">
        <v>4517</v>
      </c>
      <c r="R366" t="s">
        <v>4726</v>
      </c>
      <c r="S366" t="s">
        <v>4717</v>
      </c>
      <c r="T366">
        <f t="shared" si="10"/>
        <v>2</v>
      </c>
      <c r="U366" s="21">
        <f t="shared" si="11"/>
        <v>45236</v>
      </c>
    </row>
    <row r="367" spans="1:21" x14ac:dyDescent="0.35">
      <c r="A367" t="s">
        <v>4295</v>
      </c>
      <c r="B367" t="s">
        <v>4296</v>
      </c>
      <c r="C367" t="s">
        <v>30</v>
      </c>
      <c r="D367" t="s">
        <v>21</v>
      </c>
      <c r="E367" s="1">
        <v>1489.7239999999999</v>
      </c>
      <c r="F367" t="s">
        <v>22</v>
      </c>
      <c r="G367">
        <v>0</v>
      </c>
      <c r="H367" s="1">
        <v>0</v>
      </c>
      <c r="I367" s="21">
        <v>45234</v>
      </c>
      <c r="J367" s="21">
        <v>45237</v>
      </c>
      <c r="K367" s="21">
        <v>45237</v>
      </c>
      <c r="L367" t="s">
        <v>32</v>
      </c>
      <c r="M367" t="s">
        <v>67</v>
      </c>
      <c r="N367" t="s">
        <v>68</v>
      </c>
      <c r="O367">
        <v>1</v>
      </c>
      <c r="P367" t="s">
        <v>4297</v>
      </c>
      <c r="Q367" t="s">
        <v>4567</v>
      </c>
      <c r="R367" t="s">
        <v>4714</v>
      </c>
      <c r="S367" t="s">
        <v>4718</v>
      </c>
      <c r="T367">
        <f t="shared" si="10"/>
        <v>3</v>
      </c>
      <c r="U367" s="21">
        <f t="shared" si="11"/>
        <v>45237</v>
      </c>
    </row>
    <row r="368" spans="1:21" x14ac:dyDescent="0.35">
      <c r="A368" t="s">
        <v>3335</v>
      </c>
      <c r="B368" t="s">
        <v>3336</v>
      </c>
      <c r="C368" t="s">
        <v>30</v>
      </c>
      <c r="D368" t="s">
        <v>205</v>
      </c>
      <c r="E368" s="1">
        <v>19.68</v>
      </c>
      <c r="F368" t="s">
        <v>206</v>
      </c>
      <c r="G368">
        <v>80</v>
      </c>
      <c r="H368" s="1">
        <v>15.744</v>
      </c>
      <c r="I368" s="21">
        <v>45234</v>
      </c>
      <c r="J368" s="21">
        <v>45240</v>
      </c>
      <c r="K368" s="21">
        <v>45240</v>
      </c>
      <c r="L368" t="s">
        <v>248</v>
      </c>
      <c r="M368" t="s">
        <v>33</v>
      </c>
      <c r="N368" t="s">
        <v>34</v>
      </c>
      <c r="O368">
        <v>1</v>
      </c>
      <c r="P368" t="s">
        <v>3337</v>
      </c>
      <c r="Q368" t="s">
        <v>4729</v>
      </c>
      <c r="R368" t="s">
        <v>4726</v>
      </c>
      <c r="S368" t="s">
        <v>4717</v>
      </c>
      <c r="T368">
        <f t="shared" si="10"/>
        <v>6</v>
      </c>
      <c r="U368" s="21">
        <f t="shared" si="11"/>
        <v>45240</v>
      </c>
    </row>
    <row r="369" spans="1:21" x14ac:dyDescent="0.35">
      <c r="A369" t="s">
        <v>4298</v>
      </c>
      <c r="B369" t="s">
        <v>4299</v>
      </c>
      <c r="C369" t="s">
        <v>30</v>
      </c>
      <c r="D369" t="s">
        <v>212</v>
      </c>
      <c r="E369" s="1">
        <v>10.272</v>
      </c>
      <c r="F369" t="s">
        <v>206</v>
      </c>
      <c r="G369">
        <v>100</v>
      </c>
      <c r="H369" s="1">
        <v>10.272</v>
      </c>
      <c r="I369" s="21">
        <v>45234</v>
      </c>
      <c r="J369" s="21">
        <v>45238</v>
      </c>
      <c r="K369" s="21">
        <v>45238</v>
      </c>
      <c r="L369" t="s">
        <v>234</v>
      </c>
      <c r="M369" t="s">
        <v>67</v>
      </c>
      <c r="N369" t="s">
        <v>68</v>
      </c>
      <c r="O369">
        <v>1</v>
      </c>
      <c r="P369" t="s">
        <v>1732</v>
      </c>
      <c r="Q369" t="s">
        <v>4519</v>
      </c>
      <c r="R369" t="s">
        <v>4726</v>
      </c>
      <c r="S369" t="s">
        <v>4717</v>
      </c>
      <c r="T369">
        <f t="shared" si="10"/>
        <v>4</v>
      </c>
      <c r="U369" s="21">
        <f t="shared" si="11"/>
        <v>45238</v>
      </c>
    </row>
    <row r="370" spans="1:21" x14ac:dyDescent="0.35">
      <c r="A370" t="s">
        <v>980</v>
      </c>
      <c r="B370" t="s">
        <v>981</v>
      </c>
      <c r="C370" t="s">
        <v>30</v>
      </c>
      <c r="D370" t="s">
        <v>205</v>
      </c>
      <c r="E370" s="1">
        <v>13.7759999999999</v>
      </c>
      <c r="F370" t="s">
        <v>206</v>
      </c>
      <c r="G370">
        <v>80</v>
      </c>
      <c r="H370" s="1">
        <v>11.020799999999921</v>
      </c>
      <c r="I370" s="21">
        <v>45232</v>
      </c>
      <c r="J370" s="21">
        <v>45238</v>
      </c>
      <c r="K370" s="21">
        <v>45238</v>
      </c>
      <c r="L370" t="s">
        <v>234</v>
      </c>
      <c r="M370" t="s">
        <v>33</v>
      </c>
      <c r="N370" t="s">
        <v>34</v>
      </c>
      <c r="O370">
        <v>1</v>
      </c>
      <c r="P370" t="s">
        <v>982</v>
      </c>
      <c r="Q370" t="s">
        <v>4528</v>
      </c>
      <c r="R370" t="s">
        <v>4721</v>
      </c>
      <c r="S370" t="s">
        <v>4717</v>
      </c>
      <c r="T370">
        <f t="shared" si="10"/>
        <v>6</v>
      </c>
      <c r="U370" s="21">
        <f t="shared" si="11"/>
        <v>45238</v>
      </c>
    </row>
    <row r="371" spans="1:21" x14ac:dyDescent="0.35">
      <c r="A371" t="s">
        <v>977</v>
      </c>
      <c r="B371" t="s">
        <v>978</v>
      </c>
      <c r="C371" t="s">
        <v>19</v>
      </c>
      <c r="D371" t="s">
        <v>205</v>
      </c>
      <c r="E371" s="1">
        <v>214.95</v>
      </c>
      <c r="F371" t="s">
        <v>206</v>
      </c>
      <c r="G371">
        <v>80</v>
      </c>
      <c r="H371" s="1">
        <v>171.96</v>
      </c>
      <c r="I371" s="21">
        <v>45232</v>
      </c>
      <c r="J371" s="21">
        <v>45235</v>
      </c>
      <c r="K371" s="21">
        <v>45235</v>
      </c>
      <c r="L371" t="s">
        <v>248</v>
      </c>
      <c r="M371" t="s">
        <v>97</v>
      </c>
      <c r="N371" t="s">
        <v>68</v>
      </c>
      <c r="O371">
        <v>1</v>
      </c>
      <c r="P371" t="s">
        <v>979</v>
      </c>
      <c r="Q371" t="s">
        <v>4513</v>
      </c>
      <c r="R371" t="s">
        <v>4713</v>
      </c>
      <c r="S371" t="s">
        <v>4719</v>
      </c>
      <c r="T371">
        <f t="shared" si="10"/>
        <v>3</v>
      </c>
      <c r="U371" s="21">
        <f t="shared" si="11"/>
        <v>45235</v>
      </c>
    </row>
    <row r="372" spans="1:21" x14ac:dyDescent="0.35">
      <c r="A372" t="s">
        <v>2162</v>
      </c>
      <c r="B372" t="s">
        <v>2163</v>
      </c>
      <c r="C372" t="s">
        <v>19</v>
      </c>
      <c r="D372" t="s">
        <v>212</v>
      </c>
      <c r="E372" s="1">
        <v>174.3</v>
      </c>
      <c r="F372" t="s">
        <v>206</v>
      </c>
      <c r="G372">
        <v>100</v>
      </c>
      <c r="H372" s="1">
        <v>174.3</v>
      </c>
      <c r="I372" s="21">
        <v>45231</v>
      </c>
      <c r="J372" s="21">
        <v>45237</v>
      </c>
      <c r="K372" s="21">
        <v>45237</v>
      </c>
      <c r="L372" t="s">
        <v>234</v>
      </c>
      <c r="M372" t="s">
        <v>54</v>
      </c>
      <c r="N372" t="s">
        <v>26</v>
      </c>
      <c r="O372">
        <v>1</v>
      </c>
      <c r="P372" t="s">
        <v>2164</v>
      </c>
      <c r="Q372" t="s">
        <v>4517</v>
      </c>
      <c r="R372" t="s">
        <v>4726</v>
      </c>
      <c r="S372" t="s">
        <v>4717</v>
      </c>
      <c r="T372">
        <f t="shared" si="10"/>
        <v>6</v>
      </c>
      <c r="U372" s="21">
        <f t="shared" si="11"/>
        <v>45237</v>
      </c>
    </row>
    <row r="373" spans="1:21" x14ac:dyDescent="0.35">
      <c r="A373" t="s">
        <v>2165</v>
      </c>
      <c r="B373" t="s">
        <v>2166</v>
      </c>
      <c r="C373" t="s">
        <v>19</v>
      </c>
      <c r="D373" t="s">
        <v>212</v>
      </c>
      <c r="E373" s="1">
        <v>140.73599999999999</v>
      </c>
      <c r="F373" t="s">
        <v>206</v>
      </c>
      <c r="G373">
        <v>100</v>
      </c>
      <c r="H373" s="1">
        <v>140.73599999999999</v>
      </c>
      <c r="I373" s="21">
        <v>45231</v>
      </c>
      <c r="J373" s="21">
        <v>45235</v>
      </c>
      <c r="K373" s="21">
        <v>45235</v>
      </c>
      <c r="L373" t="s">
        <v>238</v>
      </c>
      <c r="M373" t="s">
        <v>33</v>
      </c>
      <c r="N373" t="s">
        <v>34</v>
      </c>
      <c r="O373">
        <v>1</v>
      </c>
      <c r="P373" t="s">
        <v>2167</v>
      </c>
      <c r="Q373" t="s">
        <v>4647</v>
      </c>
      <c r="R373" t="s">
        <v>4713</v>
      </c>
      <c r="S373" t="s">
        <v>4719</v>
      </c>
      <c r="T373">
        <f t="shared" si="10"/>
        <v>4</v>
      </c>
      <c r="U373" s="21">
        <f t="shared" si="11"/>
        <v>45235</v>
      </c>
    </row>
    <row r="374" spans="1:21" x14ac:dyDescent="0.35">
      <c r="A374" t="s">
        <v>974</v>
      </c>
      <c r="B374" t="s">
        <v>975</v>
      </c>
      <c r="C374" t="s">
        <v>30</v>
      </c>
      <c r="D374" t="s">
        <v>205</v>
      </c>
      <c r="E374" s="1">
        <v>299.89999999999998</v>
      </c>
      <c r="F374" t="s">
        <v>206</v>
      </c>
      <c r="G374">
        <v>80</v>
      </c>
      <c r="H374" s="1">
        <v>239.92</v>
      </c>
      <c r="I374" s="21">
        <v>45231</v>
      </c>
      <c r="J374" s="21">
        <v>45235</v>
      </c>
      <c r="K374" s="21">
        <v>45235</v>
      </c>
      <c r="L374" t="s">
        <v>213</v>
      </c>
      <c r="M374" t="s">
        <v>146</v>
      </c>
      <c r="N374" t="s">
        <v>73</v>
      </c>
      <c r="O374">
        <v>1</v>
      </c>
      <c r="P374" t="s">
        <v>976</v>
      </c>
      <c r="Q374" t="s">
        <v>4530</v>
      </c>
      <c r="R374" t="s">
        <v>4711</v>
      </c>
      <c r="S374" t="s">
        <v>4719</v>
      </c>
      <c r="T374">
        <f t="shared" si="10"/>
        <v>4</v>
      </c>
      <c r="U374" s="21">
        <f t="shared" si="11"/>
        <v>45235</v>
      </c>
    </row>
    <row r="375" spans="1:21" x14ac:dyDescent="0.35">
      <c r="A375" t="s">
        <v>3332</v>
      </c>
      <c r="B375" t="s">
        <v>3333</v>
      </c>
      <c r="C375" t="s">
        <v>19</v>
      </c>
      <c r="D375" t="s">
        <v>205</v>
      </c>
      <c r="E375" s="1">
        <v>49.616</v>
      </c>
      <c r="F375" t="s">
        <v>206</v>
      </c>
      <c r="G375">
        <v>80</v>
      </c>
      <c r="H375" s="1">
        <v>39.692800000000005</v>
      </c>
      <c r="I375" s="21">
        <v>45231</v>
      </c>
      <c r="J375" s="21">
        <v>45236</v>
      </c>
      <c r="K375" s="21">
        <v>45236</v>
      </c>
      <c r="L375" t="s">
        <v>238</v>
      </c>
      <c r="M375" t="s">
        <v>82</v>
      </c>
      <c r="N375" t="s">
        <v>47</v>
      </c>
      <c r="O375">
        <v>1</v>
      </c>
      <c r="P375" t="s">
        <v>3334</v>
      </c>
      <c r="Q375" t="s">
        <v>4729</v>
      </c>
      <c r="R375" t="s">
        <v>4711</v>
      </c>
      <c r="S375" t="s">
        <v>4719</v>
      </c>
      <c r="T375">
        <f t="shared" si="10"/>
        <v>5</v>
      </c>
      <c r="U375" s="21">
        <f t="shared" si="11"/>
        <v>45236</v>
      </c>
    </row>
    <row r="376" spans="1:21" x14ac:dyDescent="0.35">
      <c r="A376" t="s">
        <v>2159</v>
      </c>
      <c r="B376" t="s">
        <v>2160</v>
      </c>
      <c r="C376" t="s">
        <v>19</v>
      </c>
      <c r="D376" t="s">
        <v>212</v>
      </c>
      <c r="E376" s="1">
        <v>12.294</v>
      </c>
      <c r="F376" t="s">
        <v>206</v>
      </c>
      <c r="G376">
        <v>100</v>
      </c>
      <c r="H376" s="1">
        <v>12.294</v>
      </c>
      <c r="I376" s="21">
        <v>45230</v>
      </c>
      <c r="J376" s="21">
        <v>45235</v>
      </c>
      <c r="K376" s="21">
        <v>45235</v>
      </c>
      <c r="L376" t="s">
        <v>238</v>
      </c>
      <c r="M376" t="s">
        <v>67</v>
      </c>
      <c r="N376" t="s">
        <v>68</v>
      </c>
      <c r="O376">
        <v>1</v>
      </c>
      <c r="P376" t="s">
        <v>2161</v>
      </c>
      <c r="Q376" t="s">
        <v>4517</v>
      </c>
      <c r="R376" t="s">
        <v>4726</v>
      </c>
      <c r="S376" t="s">
        <v>4717</v>
      </c>
      <c r="T376">
        <f t="shared" si="10"/>
        <v>5</v>
      </c>
      <c r="U376" s="21">
        <f t="shared" si="11"/>
        <v>45235</v>
      </c>
    </row>
    <row r="377" spans="1:21" x14ac:dyDescent="0.35">
      <c r="A377" t="s">
        <v>4292</v>
      </c>
      <c r="B377" t="s">
        <v>4293</v>
      </c>
      <c r="C377" t="s">
        <v>30</v>
      </c>
      <c r="D377" t="s">
        <v>205</v>
      </c>
      <c r="E377" s="1">
        <v>776.849999999999</v>
      </c>
      <c r="F377" t="s">
        <v>206</v>
      </c>
      <c r="G377">
        <v>80</v>
      </c>
      <c r="H377" s="1">
        <v>621.47999999999922</v>
      </c>
      <c r="I377" s="21">
        <v>45230</v>
      </c>
      <c r="J377" s="21">
        <v>45235</v>
      </c>
      <c r="K377" s="21">
        <v>45235</v>
      </c>
      <c r="L377" t="s">
        <v>220</v>
      </c>
      <c r="M377" t="s">
        <v>40</v>
      </c>
      <c r="N377" t="s">
        <v>34</v>
      </c>
      <c r="O377">
        <v>1</v>
      </c>
      <c r="P377" t="s">
        <v>4294</v>
      </c>
      <c r="Q377" t="s">
        <v>4585</v>
      </c>
      <c r="R377" t="s">
        <v>4711</v>
      </c>
      <c r="S377" t="s">
        <v>4719</v>
      </c>
      <c r="T377">
        <f t="shared" si="10"/>
        <v>5</v>
      </c>
      <c r="U377" s="21">
        <f t="shared" si="11"/>
        <v>45235</v>
      </c>
    </row>
    <row r="378" spans="1:21" x14ac:dyDescent="0.35">
      <c r="A378" t="s">
        <v>3329</v>
      </c>
      <c r="B378" t="s">
        <v>3330</v>
      </c>
      <c r="C378" t="s">
        <v>19</v>
      </c>
      <c r="D378" t="s">
        <v>212</v>
      </c>
      <c r="E378" s="1">
        <v>111.96</v>
      </c>
      <c r="F378" t="s">
        <v>206</v>
      </c>
      <c r="G378">
        <v>100</v>
      </c>
      <c r="H378" s="1">
        <v>111.96</v>
      </c>
      <c r="I378" s="21">
        <v>45229</v>
      </c>
      <c r="J378" s="21">
        <v>45231</v>
      </c>
      <c r="K378" s="21">
        <v>45231</v>
      </c>
      <c r="L378" t="s">
        <v>207</v>
      </c>
      <c r="M378" t="s">
        <v>67</v>
      </c>
      <c r="N378" t="s">
        <v>68</v>
      </c>
      <c r="O378">
        <v>1</v>
      </c>
      <c r="P378" t="s">
        <v>3331</v>
      </c>
      <c r="Q378" t="s">
        <v>4729</v>
      </c>
      <c r="R378" t="s">
        <v>4713</v>
      </c>
      <c r="S378" t="s">
        <v>4719</v>
      </c>
      <c r="T378">
        <f t="shared" si="10"/>
        <v>2</v>
      </c>
      <c r="U378" s="21">
        <f t="shared" si="11"/>
        <v>45231</v>
      </c>
    </row>
    <row r="379" spans="1:21" x14ac:dyDescent="0.35">
      <c r="A379" t="s">
        <v>2156</v>
      </c>
      <c r="B379" t="s">
        <v>2157</v>
      </c>
      <c r="C379" t="s">
        <v>19</v>
      </c>
      <c r="D379" t="s">
        <v>205</v>
      </c>
      <c r="E379" s="1">
        <v>63.88</v>
      </c>
      <c r="F379" t="s">
        <v>206</v>
      </c>
      <c r="G379">
        <v>80</v>
      </c>
      <c r="H379" s="1">
        <v>51.104000000000006</v>
      </c>
      <c r="I379" s="21">
        <v>45229</v>
      </c>
      <c r="J379" s="21">
        <v>45232</v>
      </c>
      <c r="K379" s="21">
        <v>45232</v>
      </c>
      <c r="L379" t="s">
        <v>213</v>
      </c>
      <c r="M379" t="s">
        <v>67</v>
      </c>
      <c r="N379" t="s">
        <v>68</v>
      </c>
      <c r="O379">
        <v>1</v>
      </c>
      <c r="P379" t="s">
        <v>2158</v>
      </c>
      <c r="Q379" t="s">
        <v>4540</v>
      </c>
      <c r="R379" t="s">
        <v>4713</v>
      </c>
      <c r="S379" t="s">
        <v>4719</v>
      </c>
      <c r="T379">
        <f t="shared" si="10"/>
        <v>3</v>
      </c>
      <c r="U379" s="21">
        <f t="shared" si="11"/>
        <v>45232</v>
      </c>
    </row>
    <row r="380" spans="1:21" x14ac:dyDescent="0.35">
      <c r="A380" t="s">
        <v>2152</v>
      </c>
      <c r="B380" t="s">
        <v>2153</v>
      </c>
      <c r="C380" t="s">
        <v>30</v>
      </c>
      <c r="D380" t="s">
        <v>212</v>
      </c>
      <c r="E380" s="1">
        <v>35.909999999999997</v>
      </c>
      <c r="F380" t="s">
        <v>206</v>
      </c>
      <c r="G380">
        <v>100</v>
      </c>
      <c r="H380" s="1">
        <v>35.909999999999997</v>
      </c>
      <c r="I380" s="21">
        <v>45228</v>
      </c>
      <c r="J380" s="21">
        <v>45228</v>
      </c>
      <c r="K380" s="21">
        <v>45228</v>
      </c>
      <c r="L380" t="s">
        <v>220</v>
      </c>
      <c r="M380" t="s">
        <v>54</v>
      </c>
      <c r="N380" t="s">
        <v>26</v>
      </c>
      <c r="O380">
        <v>1</v>
      </c>
      <c r="P380" t="s">
        <v>325</v>
      </c>
      <c r="Q380" t="s">
        <v>4551</v>
      </c>
      <c r="R380" t="s">
        <v>4711</v>
      </c>
      <c r="S380" t="s">
        <v>4719</v>
      </c>
      <c r="T380">
        <f t="shared" si="10"/>
        <v>0</v>
      </c>
      <c r="U380" s="21">
        <f t="shared" si="11"/>
        <v>45228</v>
      </c>
    </row>
    <row r="381" spans="1:21" x14ac:dyDescent="0.35">
      <c r="A381" t="s">
        <v>971</v>
      </c>
      <c r="B381" t="s">
        <v>972</v>
      </c>
      <c r="C381" t="s">
        <v>30</v>
      </c>
      <c r="D381" t="s">
        <v>205</v>
      </c>
      <c r="E381" s="1">
        <v>171.2</v>
      </c>
      <c r="F381" t="s">
        <v>206</v>
      </c>
      <c r="G381">
        <v>80</v>
      </c>
      <c r="H381" s="1">
        <v>136.96</v>
      </c>
      <c r="I381" s="21">
        <v>45228</v>
      </c>
      <c r="J381" s="21">
        <v>45233</v>
      </c>
      <c r="K381" s="21">
        <v>45233</v>
      </c>
      <c r="L381" t="s">
        <v>220</v>
      </c>
      <c r="M381" t="s">
        <v>33</v>
      </c>
      <c r="N381" t="s">
        <v>34</v>
      </c>
      <c r="O381">
        <v>1</v>
      </c>
      <c r="P381" t="s">
        <v>973</v>
      </c>
      <c r="Q381" t="s">
        <v>4607</v>
      </c>
      <c r="R381" t="s">
        <v>4726</v>
      </c>
      <c r="S381" t="s">
        <v>4717</v>
      </c>
      <c r="T381">
        <f t="shared" si="10"/>
        <v>5</v>
      </c>
      <c r="U381" s="21">
        <f t="shared" si="11"/>
        <v>45233</v>
      </c>
    </row>
    <row r="382" spans="1:21" x14ac:dyDescent="0.35">
      <c r="A382" t="s">
        <v>2154</v>
      </c>
      <c r="B382" t="s">
        <v>2155</v>
      </c>
      <c r="C382" t="s">
        <v>19</v>
      </c>
      <c r="D382" t="s">
        <v>205</v>
      </c>
      <c r="E382" s="1">
        <v>13.092000000000001</v>
      </c>
      <c r="F382" t="s">
        <v>206</v>
      </c>
      <c r="G382">
        <v>80</v>
      </c>
      <c r="H382" s="1">
        <v>10.473600000000001</v>
      </c>
      <c r="I382" s="21">
        <v>45228</v>
      </c>
      <c r="J382" s="21">
        <v>45235</v>
      </c>
      <c r="K382" s="21">
        <v>45235</v>
      </c>
      <c r="L382" t="s">
        <v>220</v>
      </c>
      <c r="M382" t="s">
        <v>82</v>
      </c>
      <c r="N382" t="s">
        <v>47</v>
      </c>
      <c r="O382">
        <v>1</v>
      </c>
      <c r="P382" t="s">
        <v>612</v>
      </c>
      <c r="Q382" t="s">
        <v>4729</v>
      </c>
      <c r="R382" t="s">
        <v>4726</v>
      </c>
      <c r="S382" t="s">
        <v>4717</v>
      </c>
      <c r="T382">
        <f t="shared" si="10"/>
        <v>7</v>
      </c>
      <c r="U382" s="21">
        <f t="shared" si="11"/>
        <v>45235</v>
      </c>
    </row>
    <row r="383" spans="1:21" x14ac:dyDescent="0.35">
      <c r="A383" t="s">
        <v>4289</v>
      </c>
      <c r="B383" t="s">
        <v>4290</v>
      </c>
      <c r="C383" t="s">
        <v>19</v>
      </c>
      <c r="D383" t="s">
        <v>21</v>
      </c>
      <c r="E383" s="1">
        <v>100.49600000000001</v>
      </c>
      <c r="F383" t="s">
        <v>22</v>
      </c>
      <c r="G383">
        <v>0</v>
      </c>
      <c r="H383" s="1">
        <v>0</v>
      </c>
      <c r="I383" s="21">
        <v>45228</v>
      </c>
      <c r="J383" s="21">
        <v>45229</v>
      </c>
      <c r="K383" s="21">
        <v>45229</v>
      </c>
      <c r="L383" t="s">
        <v>39</v>
      </c>
      <c r="M383" t="s">
        <v>67</v>
      </c>
      <c r="N383" t="s">
        <v>68</v>
      </c>
      <c r="O383">
        <v>1</v>
      </c>
      <c r="P383" t="s">
        <v>4291</v>
      </c>
      <c r="Q383" t="s">
        <v>4541</v>
      </c>
      <c r="R383" t="s">
        <v>4726</v>
      </c>
      <c r="S383" t="s">
        <v>4717</v>
      </c>
      <c r="T383">
        <f t="shared" si="10"/>
        <v>1</v>
      </c>
      <c r="U383" s="21">
        <f t="shared" si="11"/>
        <v>45229</v>
      </c>
    </row>
    <row r="384" spans="1:21" x14ac:dyDescent="0.35">
      <c r="A384" t="s">
        <v>968</v>
      </c>
      <c r="B384" t="s">
        <v>969</v>
      </c>
      <c r="C384" t="s">
        <v>30</v>
      </c>
      <c r="D384" t="s">
        <v>205</v>
      </c>
      <c r="E384" s="1">
        <v>6.6959999999999997</v>
      </c>
      <c r="F384" t="s">
        <v>206</v>
      </c>
      <c r="G384">
        <v>80</v>
      </c>
      <c r="H384" s="1">
        <v>5.3567999999999998</v>
      </c>
      <c r="I384" s="21">
        <v>45228</v>
      </c>
      <c r="J384" s="21">
        <v>45232</v>
      </c>
      <c r="K384" s="21">
        <v>45232</v>
      </c>
      <c r="L384" t="s">
        <v>238</v>
      </c>
      <c r="M384" t="s">
        <v>82</v>
      </c>
      <c r="N384" t="s">
        <v>47</v>
      </c>
      <c r="O384">
        <v>1</v>
      </c>
      <c r="P384" t="s">
        <v>970</v>
      </c>
      <c r="Q384" t="s">
        <v>4729</v>
      </c>
      <c r="R384" t="s">
        <v>4725</v>
      </c>
      <c r="S384" t="s">
        <v>4718</v>
      </c>
      <c r="T384">
        <f t="shared" si="10"/>
        <v>4</v>
      </c>
      <c r="U384" s="21">
        <f t="shared" si="11"/>
        <v>45232</v>
      </c>
    </row>
    <row r="385" spans="1:21" x14ac:dyDescent="0.35">
      <c r="A385" t="s">
        <v>2149</v>
      </c>
      <c r="B385" t="s">
        <v>2150</v>
      </c>
      <c r="C385" t="s">
        <v>30</v>
      </c>
      <c r="D385" t="s">
        <v>212</v>
      </c>
      <c r="E385" s="1">
        <v>14.976000000000001</v>
      </c>
      <c r="F385" t="s">
        <v>206</v>
      </c>
      <c r="G385">
        <v>100</v>
      </c>
      <c r="H385" s="1">
        <v>14.976000000000001</v>
      </c>
      <c r="I385" s="21">
        <v>45227</v>
      </c>
      <c r="J385" s="21">
        <v>45232</v>
      </c>
      <c r="K385" s="21">
        <v>45232</v>
      </c>
      <c r="L385" t="s">
        <v>238</v>
      </c>
      <c r="M385" t="s">
        <v>46</v>
      </c>
      <c r="N385" t="s">
        <v>47</v>
      </c>
      <c r="O385">
        <v>1</v>
      </c>
      <c r="P385" t="s">
        <v>2151</v>
      </c>
      <c r="Q385" t="s">
        <v>4729</v>
      </c>
      <c r="R385" t="s">
        <v>4726</v>
      </c>
      <c r="S385" t="s">
        <v>4717</v>
      </c>
      <c r="T385">
        <f t="shared" si="10"/>
        <v>5</v>
      </c>
      <c r="U385" s="21">
        <f t="shared" si="11"/>
        <v>45232</v>
      </c>
    </row>
    <row r="386" spans="1:21" x14ac:dyDescent="0.35">
      <c r="A386" t="s">
        <v>2147</v>
      </c>
      <c r="B386" t="s">
        <v>2148</v>
      </c>
      <c r="C386" t="s">
        <v>19</v>
      </c>
      <c r="D386" t="s">
        <v>205</v>
      </c>
      <c r="E386" s="1">
        <v>67.78</v>
      </c>
      <c r="F386" t="s">
        <v>206</v>
      </c>
      <c r="G386">
        <v>80</v>
      </c>
      <c r="H386" s="1">
        <v>54.224000000000004</v>
      </c>
      <c r="I386" s="21">
        <v>45227</v>
      </c>
      <c r="J386" s="21">
        <v>45233</v>
      </c>
      <c r="K386" s="21">
        <v>45233</v>
      </c>
      <c r="L386" t="s">
        <v>207</v>
      </c>
      <c r="M386" t="s">
        <v>46</v>
      </c>
      <c r="N386" t="s">
        <v>47</v>
      </c>
      <c r="O386">
        <v>1</v>
      </c>
      <c r="P386" t="s">
        <v>264</v>
      </c>
      <c r="Q386" t="s">
        <v>4729</v>
      </c>
      <c r="R386" t="s">
        <v>4709</v>
      </c>
      <c r="S386" t="s">
        <v>4717</v>
      </c>
      <c r="T386">
        <f t="shared" ref="T386:T449" si="12">J386-I386</f>
        <v>6</v>
      </c>
      <c r="U386" s="21">
        <f t="shared" si="11"/>
        <v>45233</v>
      </c>
    </row>
    <row r="387" spans="1:21" x14ac:dyDescent="0.35">
      <c r="A387" t="s">
        <v>4287</v>
      </c>
      <c r="B387" t="s">
        <v>4288</v>
      </c>
      <c r="C387" t="s">
        <v>30</v>
      </c>
      <c r="D387" t="s">
        <v>212</v>
      </c>
      <c r="E387" s="1">
        <v>23.88</v>
      </c>
      <c r="F387" t="s">
        <v>206</v>
      </c>
      <c r="G387">
        <v>100</v>
      </c>
      <c r="H387" s="1">
        <v>23.88</v>
      </c>
      <c r="I387" s="21">
        <v>45227</v>
      </c>
      <c r="J387" s="21">
        <v>45231</v>
      </c>
      <c r="K387" s="21">
        <v>45231</v>
      </c>
      <c r="L387" t="s">
        <v>234</v>
      </c>
      <c r="M387" t="s">
        <v>146</v>
      </c>
      <c r="N387" t="s">
        <v>73</v>
      </c>
      <c r="O387">
        <v>1</v>
      </c>
      <c r="P387" t="s">
        <v>904</v>
      </c>
      <c r="Q387" t="s">
        <v>4729</v>
      </c>
      <c r="R387" t="s">
        <v>4726</v>
      </c>
      <c r="S387" t="s">
        <v>4717</v>
      </c>
      <c r="T387">
        <f t="shared" si="12"/>
        <v>4</v>
      </c>
      <c r="U387" s="21">
        <f t="shared" ref="U387:U450" si="13">J387</f>
        <v>45231</v>
      </c>
    </row>
    <row r="388" spans="1:21" x14ac:dyDescent="0.35">
      <c r="A388" t="s">
        <v>965</v>
      </c>
      <c r="B388" t="s">
        <v>966</v>
      </c>
      <c r="C388" t="s">
        <v>19</v>
      </c>
      <c r="D388" t="s">
        <v>212</v>
      </c>
      <c r="E388" s="1">
        <v>99.98</v>
      </c>
      <c r="F388" t="s">
        <v>206</v>
      </c>
      <c r="G388">
        <v>100</v>
      </c>
      <c r="H388" s="1">
        <v>99.98</v>
      </c>
      <c r="I388" s="21">
        <v>45225</v>
      </c>
      <c r="J388" s="21">
        <v>45228</v>
      </c>
      <c r="K388" s="21">
        <v>45228</v>
      </c>
      <c r="L388" t="s">
        <v>220</v>
      </c>
      <c r="M388" t="s">
        <v>97</v>
      </c>
      <c r="N388" t="s">
        <v>68</v>
      </c>
      <c r="O388">
        <v>1</v>
      </c>
      <c r="P388" t="s">
        <v>967</v>
      </c>
      <c r="Q388" t="s">
        <v>4513</v>
      </c>
      <c r="R388" t="s">
        <v>4713</v>
      </c>
      <c r="S388" t="s">
        <v>4719</v>
      </c>
      <c r="T388">
        <f t="shared" si="12"/>
        <v>3</v>
      </c>
      <c r="U388" s="21">
        <f t="shared" si="13"/>
        <v>45228</v>
      </c>
    </row>
    <row r="389" spans="1:21" x14ac:dyDescent="0.35">
      <c r="A389" t="s">
        <v>4282</v>
      </c>
      <c r="B389" t="s">
        <v>4283</v>
      </c>
      <c r="C389" t="s">
        <v>30</v>
      </c>
      <c r="D389" t="s">
        <v>212</v>
      </c>
      <c r="E389" s="1">
        <v>2.464</v>
      </c>
      <c r="F389" t="s">
        <v>206</v>
      </c>
      <c r="G389">
        <v>100</v>
      </c>
      <c r="H389" s="1">
        <v>2.464</v>
      </c>
      <c r="I389" s="21">
        <v>45224</v>
      </c>
      <c r="J389" s="21">
        <v>45228</v>
      </c>
      <c r="K389" s="21">
        <v>45228</v>
      </c>
      <c r="L389" t="s">
        <v>234</v>
      </c>
      <c r="M389" t="s">
        <v>46</v>
      </c>
      <c r="N389" t="s">
        <v>47</v>
      </c>
      <c r="O389">
        <v>1</v>
      </c>
      <c r="P389" t="s">
        <v>4284</v>
      </c>
      <c r="Q389" t="s">
        <v>4517</v>
      </c>
      <c r="R389" t="s">
        <v>4726</v>
      </c>
      <c r="S389" t="s">
        <v>4717</v>
      </c>
      <c r="T389">
        <f t="shared" si="12"/>
        <v>4</v>
      </c>
      <c r="U389" s="21">
        <f t="shared" si="13"/>
        <v>45228</v>
      </c>
    </row>
    <row r="390" spans="1:21" x14ac:dyDescent="0.35">
      <c r="A390" t="s">
        <v>959</v>
      </c>
      <c r="B390" t="s">
        <v>960</v>
      </c>
      <c r="C390" t="s">
        <v>30</v>
      </c>
      <c r="D390" t="s">
        <v>212</v>
      </c>
      <c r="E390" s="1">
        <v>103.5</v>
      </c>
      <c r="F390" t="s">
        <v>206</v>
      </c>
      <c r="G390">
        <v>100</v>
      </c>
      <c r="H390" s="1">
        <v>103.5</v>
      </c>
      <c r="I390" s="21">
        <v>45224</v>
      </c>
      <c r="J390" s="21">
        <v>45231</v>
      </c>
      <c r="K390" s="21">
        <v>45231</v>
      </c>
      <c r="L390" t="s">
        <v>207</v>
      </c>
      <c r="M390" t="s">
        <v>72</v>
      </c>
      <c r="N390" t="s">
        <v>73</v>
      </c>
      <c r="O390">
        <v>1</v>
      </c>
      <c r="P390" t="s">
        <v>961</v>
      </c>
      <c r="Q390" t="s">
        <v>4553</v>
      </c>
      <c r="R390" t="s">
        <v>4722</v>
      </c>
      <c r="S390" t="s">
        <v>4718</v>
      </c>
      <c r="T390">
        <f t="shared" si="12"/>
        <v>7</v>
      </c>
      <c r="U390" s="21">
        <f t="shared" si="13"/>
        <v>45231</v>
      </c>
    </row>
    <row r="391" spans="1:21" x14ac:dyDescent="0.35">
      <c r="A391" t="s">
        <v>962</v>
      </c>
      <c r="B391" t="s">
        <v>963</v>
      </c>
      <c r="C391" t="s">
        <v>19</v>
      </c>
      <c r="D391" t="s">
        <v>205</v>
      </c>
      <c r="E391" s="1">
        <v>29.6</v>
      </c>
      <c r="F391" t="s">
        <v>206</v>
      </c>
      <c r="G391">
        <v>80</v>
      </c>
      <c r="H391" s="1">
        <v>23.680000000000003</v>
      </c>
      <c r="I391" s="21">
        <v>45224</v>
      </c>
      <c r="J391" s="21">
        <v>45228</v>
      </c>
      <c r="K391" s="21">
        <v>45228</v>
      </c>
      <c r="L391" t="s">
        <v>248</v>
      </c>
      <c r="M391" t="s">
        <v>33</v>
      </c>
      <c r="N391" t="s">
        <v>34</v>
      </c>
      <c r="O391">
        <v>1</v>
      </c>
      <c r="P391" t="s">
        <v>964</v>
      </c>
      <c r="Q391" t="s">
        <v>4729</v>
      </c>
      <c r="R391" t="s">
        <v>4726</v>
      </c>
      <c r="S391" t="s">
        <v>4717</v>
      </c>
      <c r="T391">
        <f t="shared" si="12"/>
        <v>4</v>
      </c>
      <c r="U391" s="21">
        <f t="shared" si="13"/>
        <v>45228</v>
      </c>
    </row>
    <row r="392" spans="1:21" x14ac:dyDescent="0.35">
      <c r="A392" t="s">
        <v>4285</v>
      </c>
      <c r="B392" t="s">
        <v>4286</v>
      </c>
      <c r="C392" t="s">
        <v>30</v>
      </c>
      <c r="D392" t="s">
        <v>205</v>
      </c>
      <c r="E392" s="1">
        <v>15.25</v>
      </c>
      <c r="F392" t="s">
        <v>206</v>
      </c>
      <c r="G392">
        <v>80</v>
      </c>
      <c r="H392" s="1">
        <v>12.200000000000001</v>
      </c>
      <c r="I392" s="21">
        <v>45224</v>
      </c>
      <c r="J392" s="21">
        <v>45224</v>
      </c>
      <c r="K392" s="21">
        <v>45224</v>
      </c>
      <c r="L392" t="s">
        <v>234</v>
      </c>
      <c r="M392" t="s">
        <v>46</v>
      </c>
      <c r="N392" t="s">
        <v>47</v>
      </c>
      <c r="O392">
        <v>1</v>
      </c>
      <c r="P392" t="s">
        <v>394</v>
      </c>
      <c r="Q392" t="s">
        <v>4729</v>
      </c>
      <c r="R392" t="s">
        <v>4512</v>
      </c>
      <c r="S392" t="s">
        <v>4717</v>
      </c>
      <c r="T392">
        <f t="shared" si="12"/>
        <v>0</v>
      </c>
      <c r="U392" s="21">
        <f t="shared" si="13"/>
        <v>45224</v>
      </c>
    </row>
    <row r="393" spans="1:21" x14ac:dyDescent="0.35">
      <c r="A393" t="s">
        <v>3327</v>
      </c>
      <c r="B393" t="s">
        <v>3328</v>
      </c>
      <c r="C393" t="s">
        <v>30</v>
      </c>
      <c r="D393" t="s">
        <v>205</v>
      </c>
      <c r="E393" s="1">
        <v>258.57600000000002</v>
      </c>
      <c r="F393" t="s">
        <v>206</v>
      </c>
      <c r="G393">
        <v>80</v>
      </c>
      <c r="H393" s="1">
        <v>206.86080000000004</v>
      </c>
      <c r="I393" s="21">
        <v>45223</v>
      </c>
      <c r="J393" s="21">
        <v>45228</v>
      </c>
      <c r="K393" s="21">
        <v>45228</v>
      </c>
      <c r="L393" t="s">
        <v>213</v>
      </c>
      <c r="M393" t="s">
        <v>72</v>
      </c>
      <c r="N393" t="s">
        <v>73</v>
      </c>
      <c r="O393">
        <v>1</v>
      </c>
      <c r="P393" t="s">
        <v>3248</v>
      </c>
      <c r="Q393" t="s">
        <v>4685</v>
      </c>
      <c r="R393" t="s">
        <v>4711</v>
      </c>
      <c r="S393" t="s">
        <v>4719</v>
      </c>
      <c r="T393">
        <f t="shared" si="12"/>
        <v>5</v>
      </c>
      <c r="U393" s="21">
        <f t="shared" si="13"/>
        <v>45228</v>
      </c>
    </row>
    <row r="394" spans="1:21" x14ac:dyDescent="0.35">
      <c r="A394" t="s">
        <v>4280</v>
      </c>
      <c r="B394" t="s">
        <v>4281</v>
      </c>
      <c r="C394" t="s">
        <v>30</v>
      </c>
      <c r="D394" t="s">
        <v>212</v>
      </c>
      <c r="E394" s="1">
        <v>91.96</v>
      </c>
      <c r="F394" t="s">
        <v>206</v>
      </c>
      <c r="G394">
        <v>100</v>
      </c>
      <c r="H394" s="1">
        <v>91.96</v>
      </c>
      <c r="I394" s="21">
        <v>45223</v>
      </c>
      <c r="J394" s="21">
        <v>45229</v>
      </c>
      <c r="K394" s="21">
        <v>45229</v>
      </c>
      <c r="L394" t="s">
        <v>248</v>
      </c>
      <c r="M394" t="s">
        <v>46</v>
      </c>
      <c r="N394" t="s">
        <v>47</v>
      </c>
      <c r="O394">
        <v>1</v>
      </c>
      <c r="P394" t="s">
        <v>2726</v>
      </c>
      <c r="Q394" t="s">
        <v>4729</v>
      </c>
      <c r="R394" t="s">
        <v>4721</v>
      </c>
      <c r="S394" t="s">
        <v>4718</v>
      </c>
      <c r="T394">
        <f t="shared" si="12"/>
        <v>6</v>
      </c>
      <c r="U394" s="21">
        <f t="shared" si="13"/>
        <v>45229</v>
      </c>
    </row>
    <row r="395" spans="1:21" x14ac:dyDescent="0.35">
      <c r="A395" t="s">
        <v>2144</v>
      </c>
      <c r="B395" t="s">
        <v>2145</v>
      </c>
      <c r="C395" t="s">
        <v>30</v>
      </c>
      <c r="D395" t="s">
        <v>205</v>
      </c>
      <c r="E395" s="1">
        <v>37.44</v>
      </c>
      <c r="F395" t="s">
        <v>206</v>
      </c>
      <c r="G395">
        <v>80</v>
      </c>
      <c r="H395" s="1">
        <v>29.951999999999998</v>
      </c>
      <c r="I395" s="21">
        <v>45222</v>
      </c>
      <c r="J395" s="21">
        <v>45224</v>
      </c>
      <c r="K395" s="21">
        <v>45224</v>
      </c>
      <c r="L395" t="s">
        <v>213</v>
      </c>
      <c r="M395" t="s">
        <v>146</v>
      </c>
      <c r="N395" t="s">
        <v>73</v>
      </c>
      <c r="O395">
        <v>1</v>
      </c>
      <c r="P395" t="s">
        <v>2146</v>
      </c>
      <c r="Q395" t="s">
        <v>4646</v>
      </c>
      <c r="R395" t="s">
        <v>4726</v>
      </c>
      <c r="S395" t="s">
        <v>4717</v>
      </c>
      <c r="T395">
        <f t="shared" si="12"/>
        <v>2</v>
      </c>
      <c r="U395" s="21">
        <f t="shared" si="13"/>
        <v>45224</v>
      </c>
    </row>
    <row r="396" spans="1:21" x14ac:dyDescent="0.35">
      <c r="A396" t="s">
        <v>956</v>
      </c>
      <c r="B396" t="s">
        <v>957</v>
      </c>
      <c r="C396" t="s">
        <v>30</v>
      </c>
      <c r="D396" t="s">
        <v>212</v>
      </c>
      <c r="E396" s="1">
        <v>356.79</v>
      </c>
      <c r="F396" t="s">
        <v>206</v>
      </c>
      <c r="G396">
        <v>100</v>
      </c>
      <c r="H396" s="1">
        <v>356.79</v>
      </c>
      <c r="I396" s="21">
        <v>45222</v>
      </c>
      <c r="J396" s="21">
        <v>45224</v>
      </c>
      <c r="K396" s="21">
        <v>45224</v>
      </c>
      <c r="L396" t="s">
        <v>248</v>
      </c>
      <c r="M396" t="s">
        <v>146</v>
      </c>
      <c r="N396" t="s">
        <v>73</v>
      </c>
      <c r="O396">
        <v>1</v>
      </c>
      <c r="P396" t="s">
        <v>958</v>
      </c>
      <c r="Q396" t="s">
        <v>4729</v>
      </c>
      <c r="R396" t="s">
        <v>4710</v>
      </c>
      <c r="S396" t="s">
        <v>4717</v>
      </c>
      <c r="T396">
        <f t="shared" si="12"/>
        <v>2</v>
      </c>
      <c r="U396" s="21">
        <f t="shared" si="13"/>
        <v>45224</v>
      </c>
    </row>
    <row r="397" spans="1:21" x14ac:dyDescent="0.35">
      <c r="A397" t="s">
        <v>3322</v>
      </c>
      <c r="B397" t="s">
        <v>3323</v>
      </c>
      <c r="C397" t="s">
        <v>19</v>
      </c>
      <c r="D397" t="s">
        <v>205</v>
      </c>
      <c r="E397" s="1">
        <v>13.11</v>
      </c>
      <c r="F397" t="s">
        <v>206</v>
      </c>
      <c r="G397">
        <v>80</v>
      </c>
      <c r="H397" s="1">
        <v>10.488</v>
      </c>
      <c r="I397" s="21">
        <v>45221</v>
      </c>
      <c r="J397" s="21">
        <v>45226</v>
      </c>
      <c r="K397" s="21">
        <v>45226</v>
      </c>
      <c r="L397" t="s">
        <v>238</v>
      </c>
      <c r="M397" t="s">
        <v>54</v>
      </c>
      <c r="N397" t="s">
        <v>26</v>
      </c>
      <c r="O397">
        <v>1</v>
      </c>
      <c r="P397" t="s">
        <v>3324</v>
      </c>
      <c r="Q397" t="s">
        <v>4688</v>
      </c>
      <c r="R397" t="s">
        <v>4721</v>
      </c>
      <c r="S397" t="s">
        <v>4717</v>
      </c>
      <c r="T397">
        <f t="shared" si="12"/>
        <v>5</v>
      </c>
      <c r="U397" s="21">
        <f t="shared" si="13"/>
        <v>45226</v>
      </c>
    </row>
    <row r="398" spans="1:21" x14ac:dyDescent="0.35">
      <c r="A398" t="s">
        <v>2136</v>
      </c>
      <c r="B398" t="s">
        <v>2137</v>
      </c>
      <c r="C398" t="s">
        <v>30</v>
      </c>
      <c r="D398" t="s">
        <v>205</v>
      </c>
      <c r="E398" s="1">
        <v>51.167999999999999</v>
      </c>
      <c r="F398" t="s">
        <v>206</v>
      </c>
      <c r="G398">
        <v>80</v>
      </c>
      <c r="H398" s="1">
        <v>40.934400000000004</v>
      </c>
      <c r="I398" s="21">
        <v>45221</v>
      </c>
      <c r="J398" s="21">
        <v>45227</v>
      </c>
      <c r="K398" s="21">
        <v>45227</v>
      </c>
      <c r="L398" t="s">
        <v>234</v>
      </c>
      <c r="M398" t="s">
        <v>33</v>
      </c>
      <c r="N398" t="s">
        <v>34</v>
      </c>
      <c r="O398">
        <v>1</v>
      </c>
      <c r="P398" t="s">
        <v>2138</v>
      </c>
      <c r="Q398" t="s">
        <v>4560</v>
      </c>
      <c r="R398" t="s">
        <v>4721</v>
      </c>
      <c r="S398" t="s">
        <v>4718</v>
      </c>
      <c r="T398">
        <f t="shared" si="12"/>
        <v>6</v>
      </c>
      <c r="U398" s="21">
        <f t="shared" si="13"/>
        <v>45227</v>
      </c>
    </row>
    <row r="399" spans="1:21" x14ac:dyDescent="0.35">
      <c r="A399" t="s">
        <v>4276</v>
      </c>
      <c r="B399" t="s">
        <v>4277</v>
      </c>
      <c r="C399" t="s">
        <v>30</v>
      </c>
      <c r="D399" t="s">
        <v>212</v>
      </c>
      <c r="E399" s="1">
        <v>166.45</v>
      </c>
      <c r="F399" t="s">
        <v>206</v>
      </c>
      <c r="G399">
        <v>100</v>
      </c>
      <c r="H399" s="1">
        <v>166.45</v>
      </c>
      <c r="I399" s="21">
        <v>45221</v>
      </c>
      <c r="J399" s="21">
        <v>45222</v>
      </c>
      <c r="K399" s="21">
        <v>45222</v>
      </c>
      <c r="L399" t="s">
        <v>248</v>
      </c>
      <c r="M399" t="s">
        <v>46</v>
      </c>
      <c r="N399" t="s">
        <v>47</v>
      </c>
      <c r="O399">
        <v>1</v>
      </c>
      <c r="P399" t="s">
        <v>3896</v>
      </c>
      <c r="Q399" t="s">
        <v>4560</v>
      </c>
      <c r="R399" t="s">
        <v>4709</v>
      </c>
      <c r="S399" t="s">
        <v>4717</v>
      </c>
      <c r="T399">
        <f t="shared" si="12"/>
        <v>1</v>
      </c>
      <c r="U399" s="21">
        <f t="shared" si="13"/>
        <v>45222</v>
      </c>
    </row>
    <row r="400" spans="1:21" x14ac:dyDescent="0.35">
      <c r="A400" t="s">
        <v>2139</v>
      </c>
      <c r="B400" t="s">
        <v>2140</v>
      </c>
      <c r="C400" t="s">
        <v>19</v>
      </c>
      <c r="D400" t="s">
        <v>212</v>
      </c>
      <c r="E400" s="1">
        <v>81.92</v>
      </c>
      <c r="F400" t="s">
        <v>206</v>
      </c>
      <c r="G400">
        <v>100</v>
      </c>
      <c r="H400" s="1">
        <v>81.92</v>
      </c>
      <c r="I400" s="21">
        <v>45221</v>
      </c>
      <c r="J400" s="21">
        <v>45226</v>
      </c>
      <c r="K400" s="21">
        <v>45226</v>
      </c>
      <c r="L400" t="s">
        <v>220</v>
      </c>
      <c r="M400" t="s">
        <v>25</v>
      </c>
      <c r="N400" t="s">
        <v>26</v>
      </c>
      <c r="O400">
        <v>1</v>
      </c>
      <c r="P400" t="s">
        <v>2141</v>
      </c>
      <c r="Q400" t="s">
        <v>4587</v>
      </c>
      <c r="R400" t="s">
        <v>4710</v>
      </c>
      <c r="S400" t="s">
        <v>4717</v>
      </c>
      <c r="T400">
        <f t="shared" si="12"/>
        <v>5</v>
      </c>
      <c r="U400" s="21">
        <f t="shared" si="13"/>
        <v>45226</v>
      </c>
    </row>
    <row r="401" spans="1:21" x14ac:dyDescent="0.35">
      <c r="A401" t="s">
        <v>2134</v>
      </c>
      <c r="B401" t="s">
        <v>2135</v>
      </c>
      <c r="C401" t="s">
        <v>30</v>
      </c>
      <c r="D401" t="s">
        <v>212</v>
      </c>
      <c r="E401" s="1">
        <v>386.91</v>
      </c>
      <c r="F401" t="s">
        <v>206</v>
      </c>
      <c r="G401">
        <v>100</v>
      </c>
      <c r="H401" s="1">
        <v>386.91</v>
      </c>
      <c r="I401" s="21">
        <v>45221</v>
      </c>
      <c r="J401" s="21">
        <v>45225</v>
      </c>
      <c r="K401" s="21">
        <v>45225</v>
      </c>
      <c r="L401" t="s">
        <v>238</v>
      </c>
      <c r="M401" t="s">
        <v>67</v>
      </c>
      <c r="N401" t="s">
        <v>68</v>
      </c>
      <c r="O401">
        <v>1</v>
      </c>
      <c r="P401" t="s">
        <v>1855</v>
      </c>
      <c r="Q401" t="s">
        <v>4641</v>
      </c>
      <c r="R401" t="s">
        <v>4712</v>
      </c>
      <c r="S401" t="s">
        <v>4718</v>
      </c>
      <c r="T401">
        <f t="shared" si="12"/>
        <v>4</v>
      </c>
      <c r="U401" s="21">
        <f t="shared" si="13"/>
        <v>45225</v>
      </c>
    </row>
    <row r="402" spans="1:21" x14ac:dyDescent="0.35">
      <c r="A402" t="s">
        <v>2142</v>
      </c>
      <c r="B402" t="s">
        <v>2143</v>
      </c>
      <c r="C402" t="s">
        <v>30</v>
      </c>
      <c r="D402" t="s">
        <v>212</v>
      </c>
      <c r="E402" s="1">
        <v>6.56</v>
      </c>
      <c r="F402" t="s">
        <v>206</v>
      </c>
      <c r="G402">
        <v>100</v>
      </c>
      <c r="H402" s="1">
        <v>6.56</v>
      </c>
      <c r="I402" s="21">
        <v>45221</v>
      </c>
      <c r="J402" s="21">
        <v>45227</v>
      </c>
      <c r="K402" s="21">
        <v>45227</v>
      </c>
      <c r="L402" t="s">
        <v>234</v>
      </c>
      <c r="M402" t="s">
        <v>46</v>
      </c>
      <c r="N402" t="s">
        <v>47</v>
      </c>
      <c r="O402">
        <v>1</v>
      </c>
      <c r="P402" t="s">
        <v>98</v>
      </c>
      <c r="Q402" t="s">
        <v>4520</v>
      </c>
      <c r="R402" t="s">
        <v>4726</v>
      </c>
      <c r="S402" t="s">
        <v>4717</v>
      </c>
      <c r="T402">
        <f t="shared" si="12"/>
        <v>6</v>
      </c>
      <c r="U402" s="21">
        <f t="shared" si="13"/>
        <v>45227</v>
      </c>
    </row>
    <row r="403" spans="1:21" x14ac:dyDescent="0.35">
      <c r="A403" t="s">
        <v>4278</v>
      </c>
      <c r="B403" t="s">
        <v>4279</v>
      </c>
      <c r="C403" t="s">
        <v>30</v>
      </c>
      <c r="D403" t="s">
        <v>212</v>
      </c>
      <c r="E403" s="1">
        <v>1319.8</v>
      </c>
      <c r="F403" t="s">
        <v>206</v>
      </c>
      <c r="G403">
        <v>100</v>
      </c>
      <c r="H403" s="1">
        <v>1319.8</v>
      </c>
      <c r="I403" s="21">
        <v>45221</v>
      </c>
      <c r="J403" s="21">
        <v>45224</v>
      </c>
      <c r="K403" s="21">
        <v>45224</v>
      </c>
      <c r="L403" t="s">
        <v>207</v>
      </c>
      <c r="M403" t="s">
        <v>97</v>
      </c>
      <c r="N403" t="s">
        <v>68</v>
      </c>
      <c r="O403">
        <v>1</v>
      </c>
      <c r="P403" t="s">
        <v>646</v>
      </c>
      <c r="Q403" t="s">
        <v>4552</v>
      </c>
      <c r="R403" t="s">
        <v>4713</v>
      </c>
      <c r="S403" t="s">
        <v>4719</v>
      </c>
      <c r="T403">
        <f t="shared" si="12"/>
        <v>3</v>
      </c>
      <c r="U403" s="21">
        <f t="shared" si="13"/>
        <v>45224</v>
      </c>
    </row>
    <row r="404" spans="1:21" x14ac:dyDescent="0.35">
      <c r="A404" t="s">
        <v>3325</v>
      </c>
      <c r="B404" t="s">
        <v>3326</v>
      </c>
      <c r="C404" t="s">
        <v>30</v>
      </c>
      <c r="D404" t="s">
        <v>212</v>
      </c>
      <c r="E404" s="1">
        <v>123.92</v>
      </c>
      <c r="F404" t="s">
        <v>206</v>
      </c>
      <c r="G404">
        <v>100</v>
      </c>
      <c r="H404" s="1">
        <v>123.92</v>
      </c>
      <c r="I404" s="21">
        <v>45221</v>
      </c>
      <c r="J404" s="21">
        <v>45225</v>
      </c>
      <c r="K404" s="21">
        <v>45225</v>
      </c>
      <c r="L404" t="s">
        <v>248</v>
      </c>
      <c r="M404" t="s">
        <v>97</v>
      </c>
      <c r="N404" t="s">
        <v>68</v>
      </c>
      <c r="O404">
        <v>1</v>
      </c>
      <c r="P404" t="s">
        <v>452</v>
      </c>
      <c r="Q404" t="s">
        <v>4519</v>
      </c>
      <c r="R404" t="s">
        <v>4726</v>
      </c>
      <c r="S404" t="s">
        <v>4717</v>
      </c>
      <c r="T404">
        <f t="shared" si="12"/>
        <v>4</v>
      </c>
      <c r="U404" s="21">
        <f t="shared" si="13"/>
        <v>45225</v>
      </c>
    </row>
    <row r="405" spans="1:21" x14ac:dyDescent="0.35">
      <c r="A405" t="s">
        <v>4274</v>
      </c>
      <c r="B405" t="s">
        <v>4275</v>
      </c>
      <c r="C405" t="s">
        <v>19</v>
      </c>
      <c r="D405" t="s">
        <v>212</v>
      </c>
      <c r="E405" s="1">
        <v>11.76</v>
      </c>
      <c r="F405" t="s">
        <v>206</v>
      </c>
      <c r="G405">
        <v>100</v>
      </c>
      <c r="H405" s="1">
        <v>11.76</v>
      </c>
      <c r="I405" s="21">
        <v>45220</v>
      </c>
      <c r="J405" s="21">
        <v>45222</v>
      </c>
      <c r="K405" s="21">
        <v>45222</v>
      </c>
      <c r="L405" t="s">
        <v>213</v>
      </c>
      <c r="M405" t="s">
        <v>146</v>
      </c>
      <c r="N405" t="s">
        <v>73</v>
      </c>
      <c r="O405">
        <v>1</v>
      </c>
      <c r="P405" t="s">
        <v>1159</v>
      </c>
      <c r="Q405" t="s">
        <v>4615</v>
      </c>
      <c r="R405" t="s">
        <v>4726</v>
      </c>
      <c r="S405" t="s">
        <v>4717</v>
      </c>
      <c r="T405">
        <f t="shared" si="12"/>
        <v>2</v>
      </c>
      <c r="U405" s="21">
        <f t="shared" si="13"/>
        <v>45222</v>
      </c>
    </row>
    <row r="406" spans="1:21" x14ac:dyDescent="0.35">
      <c r="A406" t="s">
        <v>950</v>
      </c>
      <c r="B406" t="s">
        <v>951</v>
      </c>
      <c r="C406" t="s">
        <v>30</v>
      </c>
      <c r="D406" t="s">
        <v>212</v>
      </c>
      <c r="E406" s="1">
        <v>9.82</v>
      </c>
      <c r="F406" t="s">
        <v>206</v>
      </c>
      <c r="G406">
        <v>100</v>
      </c>
      <c r="H406" s="1">
        <v>9.82</v>
      </c>
      <c r="I406" s="21">
        <v>45220</v>
      </c>
      <c r="J406" s="21">
        <v>45223</v>
      </c>
      <c r="K406" s="21">
        <v>45223</v>
      </c>
      <c r="L406" t="s">
        <v>248</v>
      </c>
      <c r="M406" t="s">
        <v>46</v>
      </c>
      <c r="N406" t="s">
        <v>47</v>
      </c>
      <c r="O406">
        <v>1</v>
      </c>
      <c r="P406" t="s">
        <v>952</v>
      </c>
      <c r="Q406" t="s">
        <v>4517</v>
      </c>
      <c r="R406" t="s">
        <v>4726</v>
      </c>
      <c r="S406" t="s">
        <v>4717</v>
      </c>
      <c r="T406">
        <f t="shared" si="12"/>
        <v>3</v>
      </c>
      <c r="U406" s="21">
        <f t="shared" si="13"/>
        <v>45223</v>
      </c>
    </row>
    <row r="407" spans="1:21" x14ac:dyDescent="0.35">
      <c r="A407" t="s">
        <v>4272</v>
      </c>
      <c r="B407" t="s">
        <v>4273</v>
      </c>
      <c r="C407" t="s">
        <v>19</v>
      </c>
      <c r="D407" t="s">
        <v>205</v>
      </c>
      <c r="E407" s="1">
        <v>109.53</v>
      </c>
      <c r="F407" t="s">
        <v>206</v>
      </c>
      <c r="G407">
        <v>80</v>
      </c>
      <c r="H407" s="1">
        <v>87.624000000000009</v>
      </c>
      <c r="I407" s="21">
        <v>45220</v>
      </c>
      <c r="J407" s="21">
        <v>45226</v>
      </c>
      <c r="K407" s="21">
        <v>45226</v>
      </c>
      <c r="L407" t="s">
        <v>248</v>
      </c>
      <c r="M407" t="s">
        <v>33</v>
      </c>
      <c r="N407" t="s">
        <v>34</v>
      </c>
      <c r="O407">
        <v>1</v>
      </c>
      <c r="P407" t="s">
        <v>255</v>
      </c>
      <c r="Q407" t="s">
        <v>4540</v>
      </c>
      <c r="R407" t="s">
        <v>4713</v>
      </c>
      <c r="S407" t="s">
        <v>4719</v>
      </c>
      <c r="T407">
        <f t="shared" si="12"/>
        <v>6</v>
      </c>
      <c r="U407" s="21">
        <f t="shared" si="13"/>
        <v>45226</v>
      </c>
    </row>
    <row r="408" spans="1:21" x14ac:dyDescent="0.35">
      <c r="A408" t="s">
        <v>953</v>
      </c>
      <c r="B408" t="s">
        <v>954</v>
      </c>
      <c r="C408" t="s">
        <v>19</v>
      </c>
      <c r="D408" t="s">
        <v>205</v>
      </c>
      <c r="E408" s="1">
        <v>11.22</v>
      </c>
      <c r="F408" t="s">
        <v>206</v>
      </c>
      <c r="G408">
        <v>80</v>
      </c>
      <c r="H408" s="1">
        <v>8.9760000000000009</v>
      </c>
      <c r="I408" s="21">
        <v>45220</v>
      </c>
      <c r="J408" s="21">
        <v>45225</v>
      </c>
      <c r="K408" s="21">
        <v>45225</v>
      </c>
      <c r="L408" t="s">
        <v>234</v>
      </c>
      <c r="M408" t="s">
        <v>82</v>
      </c>
      <c r="N408" t="s">
        <v>47</v>
      </c>
      <c r="O408">
        <v>1</v>
      </c>
      <c r="P408" t="s">
        <v>955</v>
      </c>
      <c r="Q408" t="s">
        <v>4729</v>
      </c>
      <c r="R408" t="s">
        <v>4721</v>
      </c>
      <c r="S408" t="s">
        <v>4717</v>
      </c>
      <c r="T408">
        <f t="shared" si="12"/>
        <v>5</v>
      </c>
      <c r="U408" s="21">
        <f t="shared" si="13"/>
        <v>45225</v>
      </c>
    </row>
    <row r="409" spans="1:21" x14ac:dyDescent="0.35">
      <c r="A409" t="s">
        <v>947</v>
      </c>
      <c r="B409" t="s">
        <v>948</v>
      </c>
      <c r="C409" t="s">
        <v>19</v>
      </c>
      <c r="D409" t="s">
        <v>205</v>
      </c>
      <c r="E409" s="1">
        <v>10.71</v>
      </c>
      <c r="F409" t="s">
        <v>206</v>
      </c>
      <c r="G409">
        <v>80</v>
      </c>
      <c r="H409" s="1">
        <v>8.5680000000000014</v>
      </c>
      <c r="I409" s="21">
        <v>45218</v>
      </c>
      <c r="J409" s="21">
        <v>45222</v>
      </c>
      <c r="K409" s="21">
        <v>45222</v>
      </c>
      <c r="L409" t="s">
        <v>234</v>
      </c>
      <c r="M409" t="s">
        <v>25</v>
      </c>
      <c r="N409" t="s">
        <v>26</v>
      </c>
      <c r="O409">
        <v>1</v>
      </c>
      <c r="P409" t="s">
        <v>949</v>
      </c>
      <c r="Q409" t="s">
        <v>4729</v>
      </c>
      <c r="R409" t="s">
        <v>4726</v>
      </c>
      <c r="S409" t="s">
        <v>4717</v>
      </c>
      <c r="T409">
        <f t="shared" si="12"/>
        <v>4</v>
      </c>
      <c r="U409" s="21">
        <f t="shared" si="13"/>
        <v>45222</v>
      </c>
    </row>
    <row r="410" spans="1:21" x14ac:dyDescent="0.35">
      <c r="A410" t="s">
        <v>2131</v>
      </c>
      <c r="B410" t="s">
        <v>2132</v>
      </c>
      <c r="C410" t="s">
        <v>30</v>
      </c>
      <c r="D410" t="s">
        <v>212</v>
      </c>
      <c r="E410" s="1">
        <v>252.78399999999999</v>
      </c>
      <c r="F410" t="s">
        <v>206</v>
      </c>
      <c r="G410">
        <v>100</v>
      </c>
      <c r="H410" s="1">
        <v>252.78399999999999</v>
      </c>
      <c r="I410" s="21">
        <v>45217</v>
      </c>
      <c r="J410" s="21">
        <v>45220</v>
      </c>
      <c r="K410" s="21">
        <v>45220</v>
      </c>
      <c r="L410" t="s">
        <v>207</v>
      </c>
      <c r="M410" t="s">
        <v>72</v>
      </c>
      <c r="N410" t="s">
        <v>73</v>
      </c>
      <c r="O410">
        <v>1</v>
      </c>
      <c r="P410" t="s">
        <v>2133</v>
      </c>
      <c r="Q410" t="s">
        <v>4528</v>
      </c>
      <c r="R410" t="s">
        <v>4726</v>
      </c>
      <c r="S410" t="s">
        <v>4717</v>
      </c>
      <c r="T410">
        <f t="shared" si="12"/>
        <v>3</v>
      </c>
      <c r="U410" s="21">
        <f t="shared" si="13"/>
        <v>45220</v>
      </c>
    </row>
    <row r="411" spans="1:21" x14ac:dyDescent="0.35">
      <c r="A411" t="s">
        <v>944</v>
      </c>
      <c r="B411" t="s">
        <v>945</v>
      </c>
      <c r="C411" t="s">
        <v>30</v>
      </c>
      <c r="D411" t="s">
        <v>21</v>
      </c>
      <c r="E411" s="1">
        <v>436.96000000000004</v>
      </c>
      <c r="F411" t="s">
        <v>22</v>
      </c>
      <c r="G411">
        <v>0</v>
      </c>
      <c r="H411" s="1">
        <v>0</v>
      </c>
      <c r="I411" s="21">
        <v>45217</v>
      </c>
      <c r="J411" s="21">
        <v>45220</v>
      </c>
      <c r="K411" s="21">
        <v>45220</v>
      </c>
      <c r="L411" t="s">
        <v>39</v>
      </c>
      <c r="M411" t="s">
        <v>72</v>
      </c>
      <c r="N411" t="s">
        <v>73</v>
      </c>
      <c r="O411">
        <v>1</v>
      </c>
      <c r="P411" t="s">
        <v>946</v>
      </c>
      <c r="Q411" t="s">
        <v>4606</v>
      </c>
      <c r="R411" t="s">
        <v>4723</v>
      </c>
      <c r="S411" t="s">
        <v>4718</v>
      </c>
      <c r="T411">
        <f t="shared" si="12"/>
        <v>3</v>
      </c>
      <c r="U411" s="21">
        <f t="shared" si="13"/>
        <v>45220</v>
      </c>
    </row>
    <row r="412" spans="1:21" x14ac:dyDescent="0.35">
      <c r="A412" t="s">
        <v>3320</v>
      </c>
      <c r="B412" t="s">
        <v>3321</v>
      </c>
      <c r="C412" t="s">
        <v>30</v>
      </c>
      <c r="D412" t="s">
        <v>212</v>
      </c>
      <c r="E412" s="1">
        <v>127.98399999999999</v>
      </c>
      <c r="F412" t="s">
        <v>206</v>
      </c>
      <c r="G412">
        <v>100</v>
      </c>
      <c r="H412" s="1">
        <v>127.98399999999999</v>
      </c>
      <c r="I412" s="21">
        <v>45217</v>
      </c>
      <c r="J412" s="21">
        <v>45221</v>
      </c>
      <c r="K412" s="21">
        <v>45221</v>
      </c>
      <c r="L412" t="s">
        <v>220</v>
      </c>
      <c r="M412" t="s">
        <v>82</v>
      </c>
      <c r="N412" t="s">
        <v>47</v>
      </c>
      <c r="O412">
        <v>1</v>
      </c>
      <c r="P412" t="s">
        <v>1996</v>
      </c>
      <c r="Q412" t="s">
        <v>4644</v>
      </c>
      <c r="R412" t="s">
        <v>4713</v>
      </c>
      <c r="S412" t="s">
        <v>4719</v>
      </c>
      <c r="T412">
        <f t="shared" si="12"/>
        <v>4</v>
      </c>
      <c r="U412" s="21">
        <f t="shared" si="13"/>
        <v>45221</v>
      </c>
    </row>
    <row r="413" spans="1:21" x14ac:dyDescent="0.35">
      <c r="A413" t="s">
        <v>4269</v>
      </c>
      <c r="B413" t="s">
        <v>4270</v>
      </c>
      <c r="C413" t="s">
        <v>19</v>
      </c>
      <c r="D413" t="s">
        <v>212</v>
      </c>
      <c r="E413" s="1">
        <v>203.983</v>
      </c>
      <c r="F413" t="s">
        <v>206</v>
      </c>
      <c r="G413">
        <v>100</v>
      </c>
      <c r="H413" s="1">
        <v>203.983</v>
      </c>
      <c r="I413" s="21">
        <v>45216</v>
      </c>
      <c r="J413" s="21">
        <v>45220</v>
      </c>
      <c r="K413" s="21">
        <v>45220</v>
      </c>
      <c r="L413" t="s">
        <v>234</v>
      </c>
      <c r="M413" t="s">
        <v>146</v>
      </c>
      <c r="N413" t="s">
        <v>73</v>
      </c>
      <c r="O413">
        <v>1</v>
      </c>
      <c r="P413" t="s">
        <v>4271</v>
      </c>
      <c r="Q413" t="s">
        <v>4566</v>
      </c>
      <c r="R413" t="s">
        <v>4723</v>
      </c>
      <c r="S413" t="s">
        <v>4718</v>
      </c>
      <c r="T413">
        <f t="shared" si="12"/>
        <v>4</v>
      </c>
      <c r="U413" s="21">
        <f t="shared" si="13"/>
        <v>45220</v>
      </c>
    </row>
    <row r="414" spans="1:21" x14ac:dyDescent="0.35">
      <c r="A414" t="s">
        <v>938</v>
      </c>
      <c r="B414" t="s">
        <v>939</v>
      </c>
      <c r="C414" t="s">
        <v>30</v>
      </c>
      <c r="D414" t="s">
        <v>212</v>
      </c>
      <c r="E414" s="1">
        <v>240.78399999999999</v>
      </c>
      <c r="F414" t="s">
        <v>206</v>
      </c>
      <c r="G414">
        <v>100</v>
      </c>
      <c r="H414" s="1">
        <v>240.78399999999999</v>
      </c>
      <c r="I414" s="21">
        <v>45214</v>
      </c>
      <c r="J414" s="21">
        <v>45219</v>
      </c>
      <c r="K414" s="21">
        <v>45219</v>
      </c>
      <c r="L414" t="s">
        <v>213</v>
      </c>
      <c r="M414" t="s">
        <v>54</v>
      </c>
      <c r="N414" t="s">
        <v>26</v>
      </c>
      <c r="O414">
        <v>1</v>
      </c>
      <c r="P414" t="s">
        <v>940</v>
      </c>
      <c r="Q414" t="s">
        <v>4576</v>
      </c>
      <c r="R414" t="s">
        <v>4723</v>
      </c>
      <c r="S414" t="s">
        <v>4718</v>
      </c>
      <c r="T414">
        <f t="shared" si="12"/>
        <v>5</v>
      </c>
      <c r="U414" s="21">
        <f t="shared" si="13"/>
        <v>45219</v>
      </c>
    </row>
    <row r="415" spans="1:21" x14ac:dyDescent="0.35">
      <c r="A415" t="s">
        <v>941</v>
      </c>
      <c r="B415" t="s">
        <v>942</v>
      </c>
      <c r="C415" t="s">
        <v>19</v>
      </c>
      <c r="D415" t="s">
        <v>212</v>
      </c>
      <c r="E415" s="1">
        <v>227.46</v>
      </c>
      <c r="F415" t="s">
        <v>206</v>
      </c>
      <c r="G415">
        <v>100</v>
      </c>
      <c r="H415" s="1">
        <v>227.46</v>
      </c>
      <c r="I415" s="21">
        <v>45214</v>
      </c>
      <c r="J415" s="21">
        <v>45218</v>
      </c>
      <c r="K415" s="21">
        <v>45218</v>
      </c>
      <c r="L415" t="s">
        <v>248</v>
      </c>
      <c r="M415" t="s">
        <v>146</v>
      </c>
      <c r="N415" t="s">
        <v>73</v>
      </c>
      <c r="O415">
        <v>1</v>
      </c>
      <c r="P415" t="s">
        <v>943</v>
      </c>
      <c r="Q415" t="s">
        <v>4605</v>
      </c>
      <c r="R415" t="s">
        <v>4711</v>
      </c>
      <c r="S415" t="s">
        <v>4719</v>
      </c>
      <c r="T415">
        <f t="shared" si="12"/>
        <v>4</v>
      </c>
      <c r="U415" s="21">
        <f t="shared" si="13"/>
        <v>45218</v>
      </c>
    </row>
    <row r="416" spans="1:21" x14ac:dyDescent="0.35">
      <c r="A416" t="s">
        <v>3317</v>
      </c>
      <c r="B416" t="s">
        <v>3318</v>
      </c>
      <c r="C416" t="s">
        <v>19</v>
      </c>
      <c r="D416" t="s">
        <v>21</v>
      </c>
      <c r="E416" s="1">
        <v>227.65800000000002</v>
      </c>
      <c r="F416" t="s">
        <v>22</v>
      </c>
      <c r="G416">
        <v>0</v>
      </c>
      <c r="H416" s="1">
        <v>0</v>
      </c>
      <c r="I416" s="21">
        <v>45210</v>
      </c>
      <c r="J416" s="21">
        <v>45212</v>
      </c>
      <c r="K416" s="21">
        <v>45212</v>
      </c>
      <c r="L416" t="s">
        <v>45</v>
      </c>
      <c r="M416" t="s">
        <v>97</v>
      </c>
      <c r="N416" t="s">
        <v>68</v>
      </c>
      <c r="O416">
        <v>1</v>
      </c>
      <c r="P416" t="s">
        <v>3319</v>
      </c>
      <c r="Q416" t="s">
        <v>4566</v>
      </c>
      <c r="R416" t="s">
        <v>4723</v>
      </c>
      <c r="S416" t="s">
        <v>4718</v>
      </c>
      <c r="T416">
        <f t="shared" si="12"/>
        <v>2</v>
      </c>
      <c r="U416" s="21">
        <f t="shared" si="13"/>
        <v>45212</v>
      </c>
    </row>
    <row r="417" spans="1:21" x14ac:dyDescent="0.35">
      <c r="A417" t="s">
        <v>935</v>
      </c>
      <c r="B417" t="s">
        <v>936</v>
      </c>
      <c r="C417" t="s">
        <v>19</v>
      </c>
      <c r="D417" t="s">
        <v>21</v>
      </c>
      <c r="E417" s="1">
        <v>30.3919999999999</v>
      </c>
      <c r="F417" t="s">
        <v>22</v>
      </c>
      <c r="G417">
        <v>0</v>
      </c>
      <c r="H417" s="1">
        <v>0</v>
      </c>
      <c r="I417" s="21">
        <v>45210</v>
      </c>
      <c r="J417" s="21">
        <v>45212</v>
      </c>
      <c r="K417" s="21">
        <v>45212</v>
      </c>
      <c r="L417" t="s">
        <v>32</v>
      </c>
      <c r="M417" t="s">
        <v>33</v>
      </c>
      <c r="N417" t="s">
        <v>34</v>
      </c>
      <c r="O417">
        <v>1</v>
      </c>
      <c r="P417" t="s">
        <v>937</v>
      </c>
      <c r="Q417" t="s">
        <v>4533</v>
      </c>
      <c r="R417" t="s">
        <v>4721</v>
      </c>
      <c r="S417" t="s">
        <v>4717</v>
      </c>
      <c r="T417">
        <f t="shared" si="12"/>
        <v>2</v>
      </c>
      <c r="U417" s="21">
        <f t="shared" si="13"/>
        <v>45212</v>
      </c>
    </row>
    <row r="418" spans="1:21" x14ac:dyDescent="0.35">
      <c r="A418" t="s">
        <v>2128</v>
      </c>
      <c r="B418" t="s">
        <v>2129</v>
      </c>
      <c r="C418" t="s">
        <v>30</v>
      </c>
      <c r="D418" t="s">
        <v>212</v>
      </c>
      <c r="E418" s="1">
        <v>32.67</v>
      </c>
      <c r="F418" t="s">
        <v>206</v>
      </c>
      <c r="G418">
        <v>100</v>
      </c>
      <c r="H418" s="1">
        <v>32.67</v>
      </c>
      <c r="I418" s="21">
        <v>45209</v>
      </c>
      <c r="J418" s="21">
        <v>45215</v>
      </c>
      <c r="K418" s="21">
        <v>45215</v>
      </c>
      <c r="L418" t="s">
        <v>234</v>
      </c>
      <c r="M418" t="s">
        <v>146</v>
      </c>
      <c r="N418" t="s">
        <v>73</v>
      </c>
      <c r="O418">
        <v>1</v>
      </c>
      <c r="P418" t="s">
        <v>2130</v>
      </c>
      <c r="Q418" t="s">
        <v>4545</v>
      </c>
      <c r="R418" t="s">
        <v>4710</v>
      </c>
      <c r="S418" t="s">
        <v>4717</v>
      </c>
      <c r="T418">
        <f t="shared" si="12"/>
        <v>6</v>
      </c>
      <c r="U418" s="21">
        <f t="shared" si="13"/>
        <v>45215</v>
      </c>
    </row>
    <row r="419" spans="1:21" x14ac:dyDescent="0.35">
      <c r="A419" t="s">
        <v>2123</v>
      </c>
      <c r="B419" t="s">
        <v>2124</v>
      </c>
      <c r="C419" t="s">
        <v>30</v>
      </c>
      <c r="D419" t="s">
        <v>205</v>
      </c>
      <c r="E419" s="1">
        <v>115.29600000000001</v>
      </c>
      <c r="F419" t="s">
        <v>206</v>
      </c>
      <c r="G419">
        <v>80</v>
      </c>
      <c r="H419" s="1">
        <v>92.236800000000017</v>
      </c>
      <c r="I419" s="21">
        <v>45208</v>
      </c>
      <c r="J419" s="21">
        <v>45215</v>
      </c>
      <c r="K419" s="21">
        <v>45215</v>
      </c>
      <c r="L419" t="s">
        <v>207</v>
      </c>
      <c r="M419" t="s">
        <v>25</v>
      </c>
      <c r="N419" t="s">
        <v>26</v>
      </c>
      <c r="O419">
        <v>1</v>
      </c>
      <c r="P419" t="s">
        <v>2125</v>
      </c>
      <c r="Q419" t="s">
        <v>4729</v>
      </c>
      <c r="R419" t="s">
        <v>4726</v>
      </c>
      <c r="S419" t="s">
        <v>4717</v>
      </c>
      <c r="T419">
        <f t="shared" si="12"/>
        <v>7</v>
      </c>
      <c r="U419" s="21">
        <f t="shared" si="13"/>
        <v>45215</v>
      </c>
    </row>
    <row r="420" spans="1:21" x14ac:dyDescent="0.35">
      <c r="A420" t="s">
        <v>3315</v>
      </c>
      <c r="B420" t="s">
        <v>3316</v>
      </c>
      <c r="C420" t="s">
        <v>30</v>
      </c>
      <c r="D420" t="s">
        <v>205</v>
      </c>
      <c r="E420" s="1">
        <v>3.8820000000000001</v>
      </c>
      <c r="F420" t="s">
        <v>206</v>
      </c>
      <c r="G420">
        <v>80</v>
      </c>
      <c r="H420" s="1">
        <v>3.1056000000000004</v>
      </c>
      <c r="I420" s="21">
        <v>45208</v>
      </c>
      <c r="J420" s="21">
        <v>45213</v>
      </c>
      <c r="K420" s="21">
        <v>45213</v>
      </c>
      <c r="L420" t="s">
        <v>234</v>
      </c>
      <c r="M420" t="s">
        <v>82</v>
      </c>
      <c r="N420" t="s">
        <v>47</v>
      </c>
      <c r="O420">
        <v>1</v>
      </c>
      <c r="P420" t="s">
        <v>469</v>
      </c>
      <c r="Q420" t="s">
        <v>4528</v>
      </c>
      <c r="R420" t="s">
        <v>4721</v>
      </c>
      <c r="S420" t="s">
        <v>4717</v>
      </c>
      <c r="T420">
        <f t="shared" si="12"/>
        <v>5</v>
      </c>
      <c r="U420" s="21">
        <f t="shared" si="13"/>
        <v>45213</v>
      </c>
    </row>
    <row r="421" spans="1:21" x14ac:dyDescent="0.35">
      <c r="A421" t="s">
        <v>2126</v>
      </c>
      <c r="B421" t="s">
        <v>2127</v>
      </c>
      <c r="C421" t="s">
        <v>19</v>
      </c>
      <c r="D421" t="s">
        <v>212</v>
      </c>
      <c r="E421" s="1">
        <v>371.2</v>
      </c>
      <c r="F421" t="s">
        <v>206</v>
      </c>
      <c r="G421">
        <v>100</v>
      </c>
      <c r="H421" s="1">
        <v>371.2</v>
      </c>
      <c r="I421" s="21">
        <v>45208</v>
      </c>
      <c r="J421" s="21">
        <v>45208</v>
      </c>
      <c r="K421" s="21">
        <v>45208</v>
      </c>
      <c r="L421" t="s">
        <v>220</v>
      </c>
      <c r="M421" t="s">
        <v>146</v>
      </c>
      <c r="N421" t="s">
        <v>73</v>
      </c>
      <c r="O421">
        <v>1</v>
      </c>
      <c r="P421" t="s">
        <v>1374</v>
      </c>
      <c r="Q421" t="s">
        <v>4627</v>
      </c>
      <c r="R421" t="s">
        <v>4711</v>
      </c>
      <c r="S421" t="s">
        <v>4719</v>
      </c>
      <c r="T421">
        <f t="shared" si="12"/>
        <v>0</v>
      </c>
      <c r="U421" s="21">
        <f t="shared" si="13"/>
        <v>45208</v>
      </c>
    </row>
    <row r="422" spans="1:21" x14ac:dyDescent="0.35">
      <c r="A422" t="s">
        <v>4266</v>
      </c>
      <c r="B422" t="s">
        <v>4267</v>
      </c>
      <c r="C422" t="s">
        <v>19</v>
      </c>
      <c r="D422" t="s">
        <v>212</v>
      </c>
      <c r="E422" s="1">
        <v>1640.69999999999</v>
      </c>
      <c r="F422" t="s">
        <v>206</v>
      </c>
      <c r="G422">
        <v>100</v>
      </c>
      <c r="H422" s="1">
        <v>1640.69999999999</v>
      </c>
      <c r="I422" s="21">
        <v>45208</v>
      </c>
      <c r="J422" s="21">
        <v>45214</v>
      </c>
      <c r="K422" s="21">
        <v>45214</v>
      </c>
      <c r="L422" t="s">
        <v>234</v>
      </c>
      <c r="M422" t="s">
        <v>54</v>
      </c>
      <c r="N422" t="s">
        <v>26</v>
      </c>
      <c r="O422">
        <v>1</v>
      </c>
      <c r="P422" t="s">
        <v>4268</v>
      </c>
      <c r="Q422" t="s">
        <v>4705</v>
      </c>
      <c r="R422" t="s">
        <v>4710</v>
      </c>
      <c r="S422" t="s">
        <v>4717</v>
      </c>
      <c r="T422">
        <f t="shared" si="12"/>
        <v>6</v>
      </c>
      <c r="U422" s="21">
        <f t="shared" si="13"/>
        <v>45214</v>
      </c>
    </row>
    <row r="423" spans="1:21" x14ac:dyDescent="0.35">
      <c r="A423" t="s">
        <v>2120</v>
      </c>
      <c r="B423" t="s">
        <v>2121</v>
      </c>
      <c r="C423" t="s">
        <v>30</v>
      </c>
      <c r="D423" t="s">
        <v>212</v>
      </c>
      <c r="E423" s="1">
        <v>7.71</v>
      </c>
      <c r="F423" t="s">
        <v>206</v>
      </c>
      <c r="G423">
        <v>100</v>
      </c>
      <c r="H423" s="1">
        <v>7.71</v>
      </c>
      <c r="I423" s="21">
        <v>45207</v>
      </c>
      <c r="J423" s="21">
        <v>45209</v>
      </c>
      <c r="K423" s="21">
        <v>45209</v>
      </c>
      <c r="L423" t="s">
        <v>207</v>
      </c>
      <c r="M423" t="s">
        <v>146</v>
      </c>
      <c r="N423" t="s">
        <v>73</v>
      </c>
      <c r="O423">
        <v>1</v>
      </c>
      <c r="P423" t="s">
        <v>2122</v>
      </c>
      <c r="Q423" t="s">
        <v>4556</v>
      </c>
      <c r="R423" t="s">
        <v>4726</v>
      </c>
      <c r="S423" t="s">
        <v>4717</v>
      </c>
      <c r="T423">
        <f t="shared" si="12"/>
        <v>2</v>
      </c>
      <c r="U423" s="21">
        <f t="shared" si="13"/>
        <v>45209</v>
      </c>
    </row>
    <row r="424" spans="1:21" x14ac:dyDescent="0.35">
      <c r="A424" t="s">
        <v>4261</v>
      </c>
      <c r="B424" t="s">
        <v>4262</v>
      </c>
      <c r="C424" t="s">
        <v>19</v>
      </c>
      <c r="D424" t="s">
        <v>205</v>
      </c>
      <c r="E424" s="1">
        <v>46.8</v>
      </c>
      <c r="F424" t="s">
        <v>206</v>
      </c>
      <c r="G424">
        <v>80</v>
      </c>
      <c r="H424" s="1">
        <v>37.44</v>
      </c>
      <c r="I424" s="21">
        <v>45207</v>
      </c>
      <c r="J424" s="21">
        <v>45213</v>
      </c>
      <c r="K424" s="21">
        <v>45213</v>
      </c>
      <c r="L424" t="s">
        <v>248</v>
      </c>
      <c r="M424" t="s">
        <v>72</v>
      </c>
      <c r="N424" t="s">
        <v>73</v>
      </c>
      <c r="O424">
        <v>1</v>
      </c>
      <c r="P424" t="s">
        <v>4263</v>
      </c>
      <c r="Q424" t="s">
        <v>4729</v>
      </c>
      <c r="R424" t="s">
        <v>4710</v>
      </c>
      <c r="S424" t="s">
        <v>4717</v>
      </c>
      <c r="T424">
        <f t="shared" si="12"/>
        <v>6</v>
      </c>
      <c r="U424" s="21">
        <f t="shared" si="13"/>
        <v>45213</v>
      </c>
    </row>
    <row r="425" spans="1:21" x14ac:dyDescent="0.35">
      <c r="A425" t="s">
        <v>4264</v>
      </c>
      <c r="B425" t="s">
        <v>4265</v>
      </c>
      <c r="C425" t="s">
        <v>30</v>
      </c>
      <c r="D425" t="s">
        <v>205</v>
      </c>
      <c r="E425" s="1">
        <v>5.22</v>
      </c>
      <c r="F425" t="s">
        <v>206</v>
      </c>
      <c r="G425">
        <v>80</v>
      </c>
      <c r="H425" s="1">
        <v>4.1760000000000002</v>
      </c>
      <c r="I425" s="21">
        <v>45207</v>
      </c>
      <c r="J425" s="21">
        <v>45211</v>
      </c>
      <c r="K425" s="21">
        <v>45211</v>
      </c>
      <c r="L425" t="s">
        <v>234</v>
      </c>
      <c r="M425" t="s">
        <v>146</v>
      </c>
      <c r="N425" t="s">
        <v>73</v>
      </c>
      <c r="O425">
        <v>1</v>
      </c>
      <c r="P425" t="s">
        <v>267</v>
      </c>
      <c r="Q425" t="s">
        <v>4729</v>
      </c>
      <c r="R425" t="s">
        <v>4721</v>
      </c>
      <c r="S425" t="s">
        <v>4717</v>
      </c>
      <c r="T425">
        <f t="shared" si="12"/>
        <v>4</v>
      </c>
      <c r="U425" s="21">
        <f t="shared" si="13"/>
        <v>45211</v>
      </c>
    </row>
    <row r="426" spans="1:21" x14ac:dyDescent="0.35">
      <c r="A426" t="s">
        <v>2118</v>
      </c>
      <c r="B426" t="s">
        <v>2119</v>
      </c>
      <c r="C426" t="s">
        <v>30</v>
      </c>
      <c r="D426" t="s">
        <v>212</v>
      </c>
      <c r="E426" s="1">
        <v>2003.1679999999999</v>
      </c>
      <c r="F426" t="s">
        <v>206</v>
      </c>
      <c r="G426">
        <v>100</v>
      </c>
      <c r="H426" s="1">
        <v>2003.1679999999999</v>
      </c>
      <c r="I426" s="21">
        <v>45207</v>
      </c>
      <c r="J426" s="21">
        <v>45212</v>
      </c>
      <c r="K426" s="21">
        <v>45212</v>
      </c>
      <c r="L426" t="s">
        <v>234</v>
      </c>
      <c r="M426" t="s">
        <v>46</v>
      </c>
      <c r="N426" t="s">
        <v>47</v>
      </c>
      <c r="O426">
        <v>1</v>
      </c>
      <c r="P426" t="s">
        <v>1476</v>
      </c>
      <c r="Q426" t="s">
        <v>4565</v>
      </c>
      <c r="R426" t="s">
        <v>4711</v>
      </c>
      <c r="S426" t="s">
        <v>4719</v>
      </c>
      <c r="T426">
        <f t="shared" si="12"/>
        <v>5</v>
      </c>
      <c r="U426" s="21">
        <f t="shared" si="13"/>
        <v>45212</v>
      </c>
    </row>
    <row r="427" spans="1:21" x14ac:dyDescent="0.35">
      <c r="A427" t="s">
        <v>932</v>
      </c>
      <c r="B427" t="s">
        <v>933</v>
      </c>
      <c r="C427" t="s">
        <v>30</v>
      </c>
      <c r="D427" t="s">
        <v>205</v>
      </c>
      <c r="E427" s="1">
        <v>5.1840000000000002</v>
      </c>
      <c r="F427" t="s">
        <v>206</v>
      </c>
      <c r="G427">
        <v>80</v>
      </c>
      <c r="H427" s="1">
        <v>4.1472000000000007</v>
      </c>
      <c r="I427" s="21">
        <v>45207</v>
      </c>
      <c r="J427" s="21">
        <v>45210</v>
      </c>
      <c r="K427" s="21">
        <v>45210</v>
      </c>
      <c r="L427" t="s">
        <v>207</v>
      </c>
      <c r="M427" t="s">
        <v>72</v>
      </c>
      <c r="N427" t="s">
        <v>73</v>
      </c>
      <c r="O427">
        <v>1</v>
      </c>
      <c r="P427" t="s">
        <v>934</v>
      </c>
      <c r="Q427" t="s">
        <v>4519</v>
      </c>
      <c r="R427" t="s">
        <v>4726</v>
      </c>
      <c r="S427" t="s">
        <v>4717</v>
      </c>
      <c r="T427">
        <f t="shared" si="12"/>
        <v>3</v>
      </c>
      <c r="U427" s="21">
        <f t="shared" si="13"/>
        <v>45210</v>
      </c>
    </row>
    <row r="428" spans="1:21" x14ac:dyDescent="0.35">
      <c r="A428" t="s">
        <v>3312</v>
      </c>
      <c r="B428" t="s">
        <v>3313</v>
      </c>
      <c r="C428" t="s">
        <v>30</v>
      </c>
      <c r="D428" t="s">
        <v>212</v>
      </c>
      <c r="E428" s="1">
        <v>419.13600000000002</v>
      </c>
      <c r="F428" t="s">
        <v>206</v>
      </c>
      <c r="G428">
        <v>100</v>
      </c>
      <c r="H428" s="1">
        <v>419.13600000000002</v>
      </c>
      <c r="I428" s="21">
        <v>45206</v>
      </c>
      <c r="J428" s="21">
        <v>45206</v>
      </c>
      <c r="K428" s="21">
        <v>45206</v>
      </c>
      <c r="L428" t="s">
        <v>248</v>
      </c>
      <c r="M428" t="s">
        <v>146</v>
      </c>
      <c r="N428" t="s">
        <v>73</v>
      </c>
      <c r="O428">
        <v>1</v>
      </c>
      <c r="P428" t="s">
        <v>3314</v>
      </c>
      <c r="Q428" t="s">
        <v>4729</v>
      </c>
      <c r="R428" t="s">
        <v>4721</v>
      </c>
      <c r="S428" t="s">
        <v>4717</v>
      </c>
      <c r="T428">
        <f t="shared" si="12"/>
        <v>0</v>
      </c>
      <c r="U428" s="21">
        <f t="shared" si="13"/>
        <v>45206</v>
      </c>
    </row>
    <row r="429" spans="1:21" x14ac:dyDescent="0.35">
      <c r="A429" t="s">
        <v>3309</v>
      </c>
      <c r="B429" t="s">
        <v>3310</v>
      </c>
      <c r="C429" t="s">
        <v>19</v>
      </c>
      <c r="D429" t="s">
        <v>21</v>
      </c>
      <c r="E429" s="1">
        <v>801.55000000000007</v>
      </c>
      <c r="F429" t="s">
        <v>22</v>
      </c>
      <c r="G429">
        <v>0</v>
      </c>
      <c r="H429" s="1">
        <v>0</v>
      </c>
      <c r="I429" s="21">
        <v>45206</v>
      </c>
      <c r="J429" s="21">
        <v>45207</v>
      </c>
      <c r="K429" s="21">
        <v>45207</v>
      </c>
      <c r="L429" t="s">
        <v>24</v>
      </c>
      <c r="M429" t="s">
        <v>40</v>
      </c>
      <c r="N429" t="s">
        <v>34</v>
      </c>
      <c r="O429">
        <v>1</v>
      </c>
      <c r="P429" t="s">
        <v>3311</v>
      </c>
      <c r="Q429" t="s">
        <v>4729</v>
      </c>
      <c r="R429" t="s">
        <v>4720</v>
      </c>
      <c r="S429" t="s">
        <v>4719</v>
      </c>
      <c r="T429">
        <f t="shared" si="12"/>
        <v>1</v>
      </c>
      <c r="U429" s="21">
        <f t="shared" si="13"/>
        <v>45207</v>
      </c>
    </row>
    <row r="430" spans="1:21" x14ac:dyDescent="0.35">
      <c r="A430" t="s">
        <v>930</v>
      </c>
      <c r="B430" t="s">
        <v>931</v>
      </c>
      <c r="C430" t="s">
        <v>30</v>
      </c>
      <c r="D430" t="s">
        <v>205</v>
      </c>
      <c r="E430" s="1">
        <v>449.91</v>
      </c>
      <c r="F430" t="s">
        <v>206</v>
      </c>
      <c r="G430">
        <v>80</v>
      </c>
      <c r="H430" s="1">
        <v>359.92800000000005</v>
      </c>
      <c r="I430" s="21">
        <v>45204</v>
      </c>
      <c r="J430" s="21">
        <v>45209</v>
      </c>
      <c r="K430" s="21">
        <v>45209</v>
      </c>
      <c r="L430" t="s">
        <v>213</v>
      </c>
      <c r="M430" t="s">
        <v>46</v>
      </c>
      <c r="N430" t="s">
        <v>47</v>
      </c>
      <c r="O430">
        <v>1</v>
      </c>
      <c r="P430" t="s">
        <v>797</v>
      </c>
      <c r="Q430" t="s">
        <v>4552</v>
      </c>
      <c r="R430" t="s">
        <v>4713</v>
      </c>
      <c r="S430" t="s">
        <v>4719</v>
      </c>
      <c r="T430">
        <f t="shared" si="12"/>
        <v>5</v>
      </c>
      <c r="U430" s="21">
        <f t="shared" si="13"/>
        <v>45209</v>
      </c>
    </row>
    <row r="431" spans="1:21" x14ac:dyDescent="0.35">
      <c r="A431" t="s">
        <v>4258</v>
      </c>
      <c r="B431" t="s">
        <v>4259</v>
      </c>
      <c r="C431" t="s">
        <v>30</v>
      </c>
      <c r="D431" t="s">
        <v>212</v>
      </c>
      <c r="E431" s="1">
        <v>12.96</v>
      </c>
      <c r="F431" t="s">
        <v>206</v>
      </c>
      <c r="G431">
        <v>100</v>
      </c>
      <c r="H431" s="1">
        <v>12.96</v>
      </c>
      <c r="I431" s="21">
        <v>45204</v>
      </c>
      <c r="J431" s="21">
        <v>45204</v>
      </c>
      <c r="K431" s="21">
        <v>45204</v>
      </c>
      <c r="L431" t="s">
        <v>248</v>
      </c>
      <c r="M431" t="s">
        <v>46</v>
      </c>
      <c r="N431" t="s">
        <v>47</v>
      </c>
      <c r="O431">
        <v>1</v>
      </c>
      <c r="P431" t="s">
        <v>4260</v>
      </c>
      <c r="Q431" t="s">
        <v>4519</v>
      </c>
      <c r="R431" t="s">
        <v>4726</v>
      </c>
      <c r="S431" t="s">
        <v>4717</v>
      </c>
      <c r="T431">
        <f t="shared" si="12"/>
        <v>0</v>
      </c>
      <c r="U431" s="21">
        <f t="shared" si="13"/>
        <v>45204</v>
      </c>
    </row>
    <row r="432" spans="1:21" x14ac:dyDescent="0.35">
      <c r="A432" t="s">
        <v>921</v>
      </c>
      <c r="B432" t="s">
        <v>922</v>
      </c>
      <c r="C432" t="s">
        <v>30</v>
      </c>
      <c r="D432" t="s">
        <v>212</v>
      </c>
      <c r="E432" s="1">
        <v>37.74</v>
      </c>
      <c r="F432" t="s">
        <v>206</v>
      </c>
      <c r="G432">
        <v>100</v>
      </c>
      <c r="H432" s="1">
        <v>37.74</v>
      </c>
      <c r="I432" s="21">
        <v>45203</v>
      </c>
      <c r="J432" s="21">
        <v>45206</v>
      </c>
      <c r="K432" s="21">
        <v>45206</v>
      </c>
      <c r="L432" t="s">
        <v>248</v>
      </c>
      <c r="M432" t="s">
        <v>40</v>
      </c>
      <c r="N432" t="s">
        <v>34</v>
      </c>
      <c r="O432">
        <v>1</v>
      </c>
      <c r="P432" t="s">
        <v>923</v>
      </c>
      <c r="Q432" t="s">
        <v>4603</v>
      </c>
      <c r="R432" t="s">
        <v>4721</v>
      </c>
      <c r="S432" t="s">
        <v>4717</v>
      </c>
      <c r="T432">
        <f t="shared" si="12"/>
        <v>3</v>
      </c>
      <c r="U432" s="21">
        <f t="shared" si="13"/>
        <v>45206</v>
      </c>
    </row>
    <row r="433" spans="1:21" x14ac:dyDescent="0.35">
      <c r="A433" t="s">
        <v>927</v>
      </c>
      <c r="B433" t="s">
        <v>928</v>
      </c>
      <c r="C433" t="s">
        <v>30</v>
      </c>
      <c r="D433" t="s">
        <v>205</v>
      </c>
      <c r="E433" s="1">
        <v>107.982</v>
      </c>
      <c r="F433" t="s">
        <v>206</v>
      </c>
      <c r="G433">
        <v>80</v>
      </c>
      <c r="H433" s="1">
        <v>86.385600000000011</v>
      </c>
      <c r="I433" s="21">
        <v>45203</v>
      </c>
      <c r="J433" s="21">
        <v>45207</v>
      </c>
      <c r="K433" s="21">
        <v>45207</v>
      </c>
      <c r="L433" t="s">
        <v>248</v>
      </c>
      <c r="M433" t="s">
        <v>146</v>
      </c>
      <c r="N433" t="s">
        <v>73</v>
      </c>
      <c r="O433">
        <v>1</v>
      </c>
      <c r="P433" t="s">
        <v>929</v>
      </c>
      <c r="Q433" t="s">
        <v>4604</v>
      </c>
      <c r="R433" t="s">
        <v>4711</v>
      </c>
      <c r="S433" t="s">
        <v>4719</v>
      </c>
      <c r="T433">
        <f t="shared" si="12"/>
        <v>4</v>
      </c>
      <c r="U433" s="21">
        <f t="shared" si="13"/>
        <v>45207</v>
      </c>
    </row>
    <row r="434" spans="1:21" x14ac:dyDescent="0.35">
      <c r="A434" t="s">
        <v>924</v>
      </c>
      <c r="B434" t="s">
        <v>925</v>
      </c>
      <c r="C434" t="s">
        <v>30</v>
      </c>
      <c r="D434" t="s">
        <v>212</v>
      </c>
      <c r="E434" s="1">
        <v>15.47</v>
      </c>
      <c r="F434" t="s">
        <v>206</v>
      </c>
      <c r="G434">
        <v>100</v>
      </c>
      <c r="H434" s="1">
        <v>15.47</v>
      </c>
      <c r="I434" s="21">
        <v>45203</v>
      </c>
      <c r="J434" s="21">
        <v>45208</v>
      </c>
      <c r="K434" s="21">
        <v>45208</v>
      </c>
      <c r="L434" t="s">
        <v>238</v>
      </c>
      <c r="M434" t="s">
        <v>72</v>
      </c>
      <c r="N434" t="s">
        <v>73</v>
      </c>
      <c r="O434">
        <v>1</v>
      </c>
      <c r="P434" t="s">
        <v>926</v>
      </c>
      <c r="Q434" t="s">
        <v>4520</v>
      </c>
      <c r="R434" t="s">
        <v>4710</v>
      </c>
      <c r="S434" t="s">
        <v>4717</v>
      </c>
      <c r="T434">
        <f t="shared" si="12"/>
        <v>5</v>
      </c>
      <c r="U434" s="21">
        <f t="shared" si="13"/>
        <v>45208</v>
      </c>
    </row>
    <row r="435" spans="1:21" x14ac:dyDescent="0.35">
      <c r="A435" t="s">
        <v>2116</v>
      </c>
      <c r="B435" t="s">
        <v>2117</v>
      </c>
      <c r="C435" t="s">
        <v>30</v>
      </c>
      <c r="D435" t="s">
        <v>212</v>
      </c>
      <c r="E435" s="1">
        <v>276.78399999999999</v>
      </c>
      <c r="F435" t="s">
        <v>206</v>
      </c>
      <c r="G435">
        <v>100</v>
      </c>
      <c r="H435" s="1">
        <v>276.78399999999999</v>
      </c>
      <c r="I435" s="21">
        <v>45202</v>
      </c>
      <c r="J435" s="21">
        <v>45203</v>
      </c>
      <c r="K435" s="21">
        <v>45203</v>
      </c>
      <c r="L435" t="s">
        <v>213</v>
      </c>
      <c r="M435" t="s">
        <v>40</v>
      </c>
      <c r="N435" t="s">
        <v>34</v>
      </c>
      <c r="O435">
        <v>1</v>
      </c>
      <c r="P435" t="s">
        <v>852</v>
      </c>
      <c r="Q435" t="s">
        <v>4729</v>
      </c>
      <c r="R435" t="s">
        <v>4726</v>
      </c>
      <c r="S435" t="s">
        <v>4717</v>
      </c>
      <c r="T435">
        <f t="shared" si="12"/>
        <v>1</v>
      </c>
      <c r="U435" s="21">
        <f t="shared" si="13"/>
        <v>45203</v>
      </c>
    </row>
    <row r="436" spans="1:21" x14ac:dyDescent="0.35">
      <c r="A436" t="s">
        <v>4255</v>
      </c>
      <c r="B436" t="s">
        <v>4256</v>
      </c>
      <c r="C436" t="s">
        <v>19</v>
      </c>
      <c r="D436" t="s">
        <v>212</v>
      </c>
      <c r="E436" s="1">
        <v>110.352</v>
      </c>
      <c r="F436" t="s">
        <v>206</v>
      </c>
      <c r="G436">
        <v>100</v>
      </c>
      <c r="H436" s="1">
        <v>110.352</v>
      </c>
      <c r="I436" s="21">
        <v>45202</v>
      </c>
      <c r="J436" s="21">
        <v>45206</v>
      </c>
      <c r="K436" s="21">
        <v>45206</v>
      </c>
      <c r="L436" t="s">
        <v>220</v>
      </c>
      <c r="M436" t="s">
        <v>25</v>
      </c>
      <c r="N436" t="s">
        <v>26</v>
      </c>
      <c r="O436">
        <v>1</v>
      </c>
      <c r="P436" t="s">
        <v>4257</v>
      </c>
      <c r="Q436" t="s">
        <v>4704</v>
      </c>
      <c r="R436" t="s">
        <v>4711</v>
      </c>
      <c r="S436" t="s">
        <v>4719</v>
      </c>
      <c r="T436">
        <f t="shared" si="12"/>
        <v>4</v>
      </c>
      <c r="U436" s="21">
        <f t="shared" si="13"/>
        <v>45206</v>
      </c>
    </row>
    <row r="437" spans="1:21" x14ac:dyDescent="0.35">
      <c r="A437" t="s">
        <v>2114</v>
      </c>
      <c r="B437" t="s">
        <v>2115</v>
      </c>
      <c r="C437" t="s">
        <v>30</v>
      </c>
      <c r="D437" t="s">
        <v>21</v>
      </c>
      <c r="E437" s="1">
        <v>111.75</v>
      </c>
      <c r="F437" t="s">
        <v>22</v>
      </c>
      <c r="G437">
        <v>0</v>
      </c>
      <c r="H437" s="1">
        <v>0</v>
      </c>
      <c r="I437" s="21">
        <v>45201</v>
      </c>
      <c r="J437" s="21">
        <v>45202</v>
      </c>
      <c r="K437" s="21">
        <v>45202</v>
      </c>
      <c r="L437" t="s">
        <v>24</v>
      </c>
      <c r="M437" t="s">
        <v>146</v>
      </c>
      <c r="N437" t="s">
        <v>73</v>
      </c>
      <c r="O437">
        <v>1</v>
      </c>
      <c r="P437" t="s">
        <v>2068</v>
      </c>
      <c r="Q437" t="s">
        <v>4552</v>
      </c>
      <c r="R437" t="s">
        <v>4711</v>
      </c>
      <c r="S437" t="s">
        <v>4719</v>
      </c>
      <c r="T437">
        <f t="shared" si="12"/>
        <v>1</v>
      </c>
      <c r="U437" s="21">
        <f t="shared" si="13"/>
        <v>45202</v>
      </c>
    </row>
    <row r="438" spans="1:21" x14ac:dyDescent="0.35">
      <c r="A438" t="s">
        <v>3307</v>
      </c>
      <c r="B438" t="s">
        <v>3308</v>
      </c>
      <c r="C438" t="s">
        <v>30</v>
      </c>
      <c r="D438" t="s">
        <v>205</v>
      </c>
      <c r="E438" s="1">
        <v>4.9379999999999997</v>
      </c>
      <c r="F438" t="s">
        <v>206</v>
      </c>
      <c r="G438">
        <v>80</v>
      </c>
      <c r="H438" s="1">
        <v>3.9504000000000001</v>
      </c>
      <c r="I438" s="21">
        <v>45201</v>
      </c>
      <c r="J438" s="21">
        <v>45205</v>
      </c>
      <c r="K438" s="21">
        <v>45205</v>
      </c>
      <c r="L438" t="s">
        <v>213</v>
      </c>
      <c r="M438" t="s">
        <v>33</v>
      </c>
      <c r="N438" t="s">
        <v>34</v>
      </c>
      <c r="O438">
        <v>1</v>
      </c>
      <c r="P438" t="s">
        <v>2460</v>
      </c>
      <c r="Q438" t="s">
        <v>4515</v>
      </c>
      <c r="R438" t="s">
        <v>4726</v>
      </c>
      <c r="S438" t="s">
        <v>4717</v>
      </c>
      <c r="T438">
        <f t="shared" si="12"/>
        <v>4</v>
      </c>
      <c r="U438" s="21">
        <f t="shared" si="13"/>
        <v>45205</v>
      </c>
    </row>
    <row r="439" spans="1:21" x14ac:dyDescent="0.35">
      <c r="A439" t="s">
        <v>918</v>
      </c>
      <c r="B439" t="s">
        <v>919</v>
      </c>
      <c r="C439" t="s">
        <v>30</v>
      </c>
      <c r="D439" t="s">
        <v>205</v>
      </c>
      <c r="E439" s="1">
        <v>6.48</v>
      </c>
      <c r="F439" t="s">
        <v>206</v>
      </c>
      <c r="G439">
        <v>80</v>
      </c>
      <c r="H439" s="1">
        <v>5.1840000000000011</v>
      </c>
      <c r="I439" s="21">
        <v>45201</v>
      </c>
      <c r="J439" s="21">
        <v>45202</v>
      </c>
      <c r="K439" s="21">
        <v>45202</v>
      </c>
      <c r="L439" t="s">
        <v>248</v>
      </c>
      <c r="M439" t="s">
        <v>72</v>
      </c>
      <c r="N439" t="s">
        <v>73</v>
      </c>
      <c r="O439">
        <v>1</v>
      </c>
      <c r="P439" t="s">
        <v>920</v>
      </c>
      <c r="Q439" t="s">
        <v>4519</v>
      </c>
      <c r="R439" t="s">
        <v>4726</v>
      </c>
      <c r="S439" t="s">
        <v>4717</v>
      </c>
      <c r="T439">
        <f t="shared" si="12"/>
        <v>1</v>
      </c>
      <c r="U439" s="21">
        <f t="shared" si="13"/>
        <v>45202</v>
      </c>
    </row>
    <row r="440" spans="1:21" x14ac:dyDescent="0.35">
      <c r="A440" t="s">
        <v>2111</v>
      </c>
      <c r="B440" t="s">
        <v>2112</v>
      </c>
      <c r="C440" t="s">
        <v>19</v>
      </c>
      <c r="D440" t="s">
        <v>205</v>
      </c>
      <c r="E440" s="1">
        <v>160.77600000000001</v>
      </c>
      <c r="F440" t="s">
        <v>206</v>
      </c>
      <c r="G440">
        <v>80</v>
      </c>
      <c r="H440" s="1">
        <v>128.6208</v>
      </c>
      <c r="I440" s="21">
        <v>45200</v>
      </c>
      <c r="J440" s="21">
        <v>45204</v>
      </c>
      <c r="K440" s="21">
        <v>45204</v>
      </c>
      <c r="L440" t="s">
        <v>248</v>
      </c>
      <c r="M440" t="s">
        <v>40</v>
      </c>
      <c r="N440" t="s">
        <v>34</v>
      </c>
      <c r="O440">
        <v>1</v>
      </c>
      <c r="P440" t="s">
        <v>2113</v>
      </c>
      <c r="Q440" t="s">
        <v>4645</v>
      </c>
      <c r="R440" t="s">
        <v>4711</v>
      </c>
      <c r="S440" t="s">
        <v>4719</v>
      </c>
      <c r="T440">
        <f t="shared" si="12"/>
        <v>4</v>
      </c>
      <c r="U440" s="21">
        <f t="shared" si="13"/>
        <v>45204</v>
      </c>
    </row>
    <row r="441" spans="1:21" x14ac:dyDescent="0.35">
      <c r="A441" t="s">
        <v>916</v>
      </c>
      <c r="B441" t="s">
        <v>917</v>
      </c>
      <c r="C441" t="s">
        <v>30</v>
      </c>
      <c r="D441" t="s">
        <v>212</v>
      </c>
      <c r="E441" s="1">
        <v>1126.02</v>
      </c>
      <c r="F441" t="s">
        <v>206</v>
      </c>
      <c r="G441">
        <v>100</v>
      </c>
      <c r="H441" s="1">
        <v>1126.02</v>
      </c>
      <c r="I441" s="21">
        <v>45200</v>
      </c>
      <c r="J441" s="21">
        <v>45203</v>
      </c>
      <c r="K441" s="21">
        <v>45203</v>
      </c>
      <c r="L441" t="s">
        <v>213</v>
      </c>
      <c r="M441" t="s">
        <v>25</v>
      </c>
      <c r="N441" t="s">
        <v>26</v>
      </c>
      <c r="O441">
        <v>1</v>
      </c>
      <c r="P441" t="s">
        <v>235</v>
      </c>
      <c r="Q441" t="s">
        <v>4729</v>
      </c>
      <c r="R441" t="s">
        <v>4721</v>
      </c>
      <c r="S441" t="s">
        <v>4717</v>
      </c>
      <c r="T441">
        <f t="shared" si="12"/>
        <v>3</v>
      </c>
      <c r="U441" s="21">
        <f t="shared" si="13"/>
        <v>45203</v>
      </c>
    </row>
    <row r="442" spans="1:21" x14ac:dyDescent="0.35">
      <c r="A442" t="s">
        <v>3297</v>
      </c>
      <c r="B442" t="s">
        <v>3298</v>
      </c>
      <c r="C442" t="s">
        <v>30</v>
      </c>
      <c r="D442" t="s">
        <v>212</v>
      </c>
      <c r="E442" s="1">
        <v>67.8</v>
      </c>
      <c r="F442" t="s">
        <v>206</v>
      </c>
      <c r="G442">
        <v>100</v>
      </c>
      <c r="H442" s="1">
        <v>67.8</v>
      </c>
      <c r="I442" s="21">
        <v>45199</v>
      </c>
      <c r="J442" s="21">
        <v>45201</v>
      </c>
      <c r="K442" s="21">
        <v>45201</v>
      </c>
      <c r="L442" t="s">
        <v>234</v>
      </c>
      <c r="M442" t="s">
        <v>33</v>
      </c>
      <c r="N442" t="s">
        <v>34</v>
      </c>
      <c r="O442">
        <v>1</v>
      </c>
      <c r="P442" t="s">
        <v>2524</v>
      </c>
      <c r="Q442" t="s">
        <v>4661</v>
      </c>
      <c r="R442" t="s">
        <v>4710</v>
      </c>
      <c r="S442" t="s">
        <v>4717</v>
      </c>
      <c r="T442">
        <f t="shared" si="12"/>
        <v>2</v>
      </c>
      <c r="U442" s="21">
        <f t="shared" si="13"/>
        <v>45201</v>
      </c>
    </row>
    <row r="443" spans="1:21" x14ac:dyDescent="0.35">
      <c r="A443" t="s">
        <v>3304</v>
      </c>
      <c r="B443" t="s">
        <v>3305</v>
      </c>
      <c r="C443" t="s">
        <v>30</v>
      </c>
      <c r="D443" t="s">
        <v>205</v>
      </c>
      <c r="E443" s="1">
        <v>35.783999999999999</v>
      </c>
      <c r="F443" t="s">
        <v>206</v>
      </c>
      <c r="G443">
        <v>80</v>
      </c>
      <c r="H443" s="1">
        <v>28.627200000000002</v>
      </c>
      <c r="I443" s="21">
        <v>45199</v>
      </c>
      <c r="J443" s="21">
        <v>45201</v>
      </c>
      <c r="K443" s="21">
        <v>45201</v>
      </c>
      <c r="L443" t="s">
        <v>238</v>
      </c>
      <c r="M443" t="s">
        <v>97</v>
      </c>
      <c r="N443" t="s">
        <v>68</v>
      </c>
      <c r="O443">
        <v>1</v>
      </c>
      <c r="P443" t="s">
        <v>3306</v>
      </c>
      <c r="Q443" t="s">
        <v>4528</v>
      </c>
      <c r="R443" t="s">
        <v>4726</v>
      </c>
      <c r="S443" t="s">
        <v>4717</v>
      </c>
      <c r="T443">
        <f t="shared" si="12"/>
        <v>2</v>
      </c>
      <c r="U443" s="21">
        <f t="shared" si="13"/>
        <v>45201</v>
      </c>
    </row>
    <row r="444" spans="1:21" x14ac:dyDescent="0.35">
      <c r="A444" t="s">
        <v>913</v>
      </c>
      <c r="B444" t="s">
        <v>914</v>
      </c>
      <c r="C444" t="s">
        <v>19</v>
      </c>
      <c r="D444" t="s">
        <v>205</v>
      </c>
      <c r="E444" s="1">
        <v>359.976</v>
      </c>
      <c r="F444" t="s">
        <v>206</v>
      </c>
      <c r="G444">
        <v>80</v>
      </c>
      <c r="H444" s="1">
        <v>287.98079999999999</v>
      </c>
      <c r="I444" s="21">
        <v>45199</v>
      </c>
      <c r="J444" s="21">
        <v>45200</v>
      </c>
      <c r="K444" s="21">
        <v>45200</v>
      </c>
      <c r="L444" t="s">
        <v>220</v>
      </c>
      <c r="M444" t="s">
        <v>33</v>
      </c>
      <c r="N444" t="s">
        <v>34</v>
      </c>
      <c r="O444">
        <v>1</v>
      </c>
      <c r="P444" t="s">
        <v>915</v>
      </c>
      <c r="Q444" t="s">
        <v>4530</v>
      </c>
      <c r="R444" t="s">
        <v>4711</v>
      </c>
      <c r="S444" t="s">
        <v>4719</v>
      </c>
      <c r="T444">
        <f t="shared" si="12"/>
        <v>1</v>
      </c>
      <c r="U444" s="21">
        <f t="shared" si="13"/>
        <v>45200</v>
      </c>
    </row>
    <row r="445" spans="1:21" x14ac:dyDescent="0.35">
      <c r="A445" t="s">
        <v>3299</v>
      </c>
      <c r="B445" t="s">
        <v>3300</v>
      </c>
      <c r="C445" t="s">
        <v>30</v>
      </c>
      <c r="D445" t="s">
        <v>205</v>
      </c>
      <c r="E445" s="1">
        <v>18.760000000000002</v>
      </c>
      <c r="F445" t="s">
        <v>206</v>
      </c>
      <c r="G445">
        <v>80</v>
      </c>
      <c r="H445" s="1">
        <v>15.008000000000003</v>
      </c>
      <c r="I445" s="21">
        <v>45199</v>
      </c>
      <c r="J445" s="21">
        <v>45203</v>
      </c>
      <c r="K445" s="21">
        <v>45203</v>
      </c>
      <c r="L445" t="s">
        <v>238</v>
      </c>
      <c r="M445" t="s">
        <v>54</v>
      </c>
      <c r="N445" t="s">
        <v>26</v>
      </c>
      <c r="O445">
        <v>1</v>
      </c>
      <c r="P445" t="s">
        <v>3301</v>
      </c>
      <c r="Q445" t="s">
        <v>4729</v>
      </c>
      <c r="R445" t="s">
        <v>4726</v>
      </c>
      <c r="S445" t="s">
        <v>4717</v>
      </c>
      <c r="T445">
        <f t="shared" si="12"/>
        <v>4</v>
      </c>
      <c r="U445" s="21">
        <f t="shared" si="13"/>
        <v>45203</v>
      </c>
    </row>
    <row r="446" spans="1:21" x14ac:dyDescent="0.35">
      <c r="A446" t="s">
        <v>4253</v>
      </c>
      <c r="B446" t="s">
        <v>4254</v>
      </c>
      <c r="C446" t="s">
        <v>30</v>
      </c>
      <c r="D446" t="s">
        <v>212</v>
      </c>
      <c r="E446" s="1">
        <v>24.2</v>
      </c>
      <c r="F446" t="s">
        <v>206</v>
      </c>
      <c r="G446">
        <v>100</v>
      </c>
      <c r="H446" s="1">
        <v>24.2</v>
      </c>
      <c r="I446" s="21">
        <v>45199</v>
      </c>
      <c r="J446" s="21">
        <v>45203</v>
      </c>
      <c r="K446" s="21">
        <v>45203</v>
      </c>
      <c r="L446" t="s">
        <v>248</v>
      </c>
      <c r="M446" t="s">
        <v>72</v>
      </c>
      <c r="N446" t="s">
        <v>73</v>
      </c>
      <c r="O446">
        <v>1</v>
      </c>
      <c r="P446" t="s">
        <v>512</v>
      </c>
      <c r="Q446" t="s">
        <v>4729</v>
      </c>
      <c r="R446" t="s">
        <v>4726</v>
      </c>
      <c r="S446" t="s">
        <v>4717</v>
      </c>
      <c r="T446">
        <f t="shared" si="12"/>
        <v>4</v>
      </c>
      <c r="U446" s="21">
        <f t="shared" si="13"/>
        <v>45203</v>
      </c>
    </row>
    <row r="447" spans="1:21" x14ac:dyDescent="0.35">
      <c r="A447" t="s">
        <v>4250</v>
      </c>
      <c r="B447" t="s">
        <v>4251</v>
      </c>
      <c r="C447" t="s">
        <v>19</v>
      </c>
      <c r="D447" t="s">
        <v>205</v>
      </c>
      <c r="E447" s="1">
        <v>429.6</v>
      </c>
      <c r="F447" t="s">
        <v>206</v>
      </c>
      <c r="G447">
        <v>80</v>
      </c>
      <c r="H447" s="1">
        <v>343.68000000000006</v>
      </c>
      <c r="I447" s="21">
        <v>45199</v>
      </c>
      <c r="J447" s="21">
        <v>45203</v>
      </c>
      <c r="K447" s="21">
        <v>45203</v>
      </c>
      <c r="L447" t="s">
        <v>220</v>
      </c>
      <c r="M447" t="s">
        <v>54</v>
      </c>
      <c r="N447" t="s">
        <v>26</v>
      </c>
      <c r="O447">
        <v>1</v>
      </c>
      <c r="P447" t="s">
        <v>4252</v>
      </c>
      <c r="Q447" t="s">
        <v>4515</v>
      </c>
      <c r="R447" t="s">
        <v>4711</v>
      </c>
      <c r="S447" t="s">
        <v>4719</v>
      </c>
      <c r="T447">
        <f t="shared" si="12"/>
        <v>4</v>
      </c>
      <c r="U447" s="21">
        <f t="shared" si="13"/>
        <v>45203</v>
      </c>
    </row>
    <row r="448" spans="1:21" x14ac:dyDescent="0.35">
      <c r="A448" t="s">
        <v>3302</v>
      </c>
      <c r="B448" t="s">
        <v>3303</v>
      </c>
      <c r="C448" t="s">
        <v>30</v>
      </c>
      <c r="D448" t="s">
        <v>205</v>
      </c>
      <c r="E448" s="1">
        <v>99.695999999999998</v>
      </c>
      <c r="F448" t="s">
        <v>206</v>
      </c>
      <c r="G448">
        <v>80</v>
      </c>
      <c r="H448" s="1">
        <v>79.756799999999998</v>
      </c>
      <c r="I448" s="21">
        <v>45199</v>
      </c>
      <c r="J448" s="21">
        <v>45202</v>
      </c>
      <c r="K448" s="21">
        <v>45202</v>
      </c>
      <c r="L448" t="s">
        <v>238</v>
      </c>
      <c r="M448" t="s">
        <v>40</v>
      </c>
      <c r="N448" t="s">
        <v>34</v>
      </c>
      <c r="O448">
        <v>1</v>
      </c>
      <c r="P448" t="s">
        <v>155</v>
      </c>
      <c r="Q448" t="s">
        <v>4515</v>
      </c>
      <c r="R448" t="s">
        <v>4726</v>
      </c>
      <c r="S448" t="s">
        <v>4717</v>
      </c>
      <c r="T448">
        <f t="shared" si="12"/>
        <v>3</v>
      </c>
      <c r="U448" s="21">
        <f t="shared" si="13"/>
        <v>45202</v>
      </c>
    </row>
    <row r="449" spans="1:21" x14ac:dyDescent="0.35">
      <c r="A449" t="s">
        <v>910</v>
      </c>
      <c r="B449" t="s">
        <v>911</v>
      </c>
      <c r="C449" t="s">
        <v>30</v>
      </c>
      <c r="D449" t="s">
        <v>205</v>
      </c>
      <c r="E449" s="1">
        <v>154.9</v>
      </c>
      <c r="F449" t="s">
        <v>206</v>
      </c>
      <c r="G449">
        <v>80</v>
      </c>
      <c r="H449" s="1">
        <v>123.92000000000002</v>
      </c>
      <c r="I449" s="21">
        <v>45198</v>
      </c>
      <c r="J449" s="21">
        <v>45201</v>
      </c>
      <c r="K449" s="21">
        <v>45201</v>
      </c>
      <c r="L449" t="s">
        <v>213</v>
      </c>
      <c r="M449" t="s">
        <v>54</v>
      </c>
      <c r="N449" t="s">
        <v>26</v>
      </c>
      <c r="O449">
        <v>1</v>
      </c>
      <c r="P449" t="s">
        <v>912</v>
      </c>
      <c r="Q449" t="s">
        <v>4519</v>
      </c>
      <c r="R449" t="s">
        <v>4726</v>
      </c>
      <c r="S449" t="s">
        <v>4717</v>
      </c>
      <c r="T449">
        <f t="shared" si="12"/>
        <v>3</v>
      </c>
      <c r="U449" s="21">
        <f t="shared" si="13"/>
        <v>45201</v>
      </c>
    </row>
    <row r="450" spans="1:21" x14ac:dyDescent="0.35">
      <c r="A450" t="s">
        <v>3294</v>
      </c>
      <c r="B450" t="s">
        <v>3295</v>
      </c>
      <c r="C450" t="s">
        <v>19</v>
      </c>
      <c r="D450" t="s">
        <v>205</v>
      </c>
      <c r="E450" s="1">
        <v>21.4</v>
      </c>
      <c r="F450" t="s">
        <v>206</v>
      </c>
      <c r="G450">
        <v>80</v>
      </c>
      <c r="H450" s="1">
        <v>17.12</v>
      </c>
      <c r="I450" s="21">
        <v>45197</v>
      </c>
      <c r="J450" s="21">
        <v>45203</v>
      </c>
      <c r="K450" s="21">
        <v>45203</v>
      </c>
      <c r="L450" t="s">
        <v>213</v>
      </c>
      <c r="M450" t="s">
        <v>40</v>
      </c>
      <c r="N450" t="s">
        <v>34</v>
      </c>
      <c r="O450">
        <v>1</v>
      </c>
      <c r="P450" t="s">
        <v>3296</v>
      </c>
      <c r="Q450" t="s">
        <v>4520</v>
      </c>
      <c r="R450" t="s">
        <v>4726</v>
      </c>
      <c r="S450" t="s">
        <v>4717</v>
      </c>
      <c r="T450">
        <f t="shared" ref="T450:T513" si="14">J450-I450</f>
        <v>6</v>
      </c>
      <c r="U450" s="21">
        <f t="shared" si="13"/>
        <v>45203</v>
      </c>
    </row>
    <row r="451" spans="1:21" x14ac:dyDescent="0.35">
      <c r="A451" t="s">
        <v>908</v>
      </c>
      <c r="B451" t="s">
        <v>909</v>
      </c>
      <c r="C451" t="s">
        <v>30</v>
      </c>
      <c r="D451" t="s">
        <v>205</v>
      </c>
      <c r="E451" s="1">
        <v>12.7</v>
      </c>
      <c r="F451" t="s">
        <v>206</v>
      </c>
      <c r="G451">
        <v>80</v>
      </c>
      <c r="H451" s="1">
        <v>10.16</v>
      </c>
      <c r="I451" s="21">
        <v>45197</v>
      </c>
      <c r="J451" s="21">
        <v>45202</v>
      </c>
      <c r="K451" s="21">
        <v>45202</v>
      </c>
      <c r="L451" t="s">
        <v>207</v>
      </c>
      <c r="M451" t="s">
        <v>46</v>
      </c>
      <c r="N451" t="s">
        <v>47</v>
      </c>
      <c r="O451">
        <v>1</v>
      </c>
      <c r="P451" t="s">
        <v>641</v>
      </c>
      <c r="Q451" t="s">
        <v>4729</v>
      </c>
      <c r="R451" t="s">
        <v>4726</v>
      </c>
      <c r="S451" t="s">
        <v>4717</v>
      </c>
      <c r="T451">
        <f t="shared" si="14"/>
        <v>5</v>
      </c>
      <c r="U451" s="21">
        <f t="shared" ref="U451:U514" si="15">J451</f>
        <v>45202</v>
      </c>
    </row>
    <row r="452" spans="1:21" x14ac:dyDescent="0.35">
      <c r="A452" t="s">
        <v>2109</v>
      </c>
      <c r="B452" t="s">
        <v>2110</v>
      </c>
      <c r="C452" t="s">
        <v>30</v>
      </c>
      <c r="D452" t="s">
        <v>212</v>
      </c>
      <c r="E452" s="1">
        <v>32.4</v>
      </c>
      <c r="F452" t="s">
        <v>206</v>
      </c>
      <c r="G452">
        <v>100</v>
      </c>
      <c r="H452" s="1">
        <v>32.4</v>
      </c>
      <c r="I452" s="21">
        <v>45197</v>
      </c>
      <c r="J452" s="21">
        <v>45203</v>
      </c>
      <c r="K452" s="21">
        <v>45203</v>
      </c>
      <c r="L452" t="s">
        <v>207</v>
      </c>
      <c r="M452" t="s">
        <v>54</v>
      </c>
      <c r="N452" t="s">
        <v>26</v>
      </c>
      <c r="O452">
        <v>1</v>
      </c>
      <c r="P452" t="s">
        <v>217</v>
      </c>
      <c r="Q452" t="s">
        <v>4519</v>
      </c>
      <c r="R452" t="s">
        <v>4726</v>
      </c>
      <c r="S452" t="s">
        <v>4717</v>
      </c>
      <c r="T452">
        <f t="shared" si="14"/>
        <v>6</v>
      </c>
      <c r="U452" s="21">
        <f t="shared" si="15"/>
        <v>45203</v>
      </c>
    </row>
    <row r="453" spans="1:21" x14ac:dyDescent="0.35">
      <c r="A453" t="s">
        <v>902</v>
      </c>
      <c r="B453" t="s">
        <v>903</v>
      </c>
      <c r="C453" t="s">
        <v>30</v>
      </c>
      <c r="D453" t="s">
        <v>205</v>
      </c>
      <c r="E453" s="1">
        <v>12.736000000000001</v>
      </c>
      <c r="F453" t="s">
        <v>206</v>
      </c>
      <c r="G453">
        <v>80</v>
      </c>
      <c r="H453" s="1">
        <v>10.188800000000001</v>
      </c>
      <c r="I453" s="21">
        <v>45196</v>
      </c>
      <c r="J453" s="21">
        <v>45200</v>
      </c>
      <c r="K453" s="21">
        <v>45200</v>
      </c>
      <c r="L453" t="s">
        <v>207</v>
      </c>
      <c r="M453" t="s">
        <v>146</v>
      </c>
      <c r="N453" t="s">
        <v>73</v>
      </c>
      <c r="O453">
        <v>1</v>
      </c>
      <c r="P453" t="s">
        <v>904</v>
      </c>
      <c r="Q453" t="s">
        <v>4729</v>
      </c>
      <c r="R453" t="s">
        <v>4726</v>
      </c>
      <c r="S453" t="s">
        <v>4717</v>
      </c>
      <c r="T453">
        <f t="shared" si="14"/>
        <v>4</v>
      </c>
      <c r="U453" s="21">
        <f t="shared" si="15"/>
        <v>45200</v>
      </c>
    </row>
    <row r="454" spans="1:21" x14ac:dyDescent="0.35">
      <c r="A454" t="s">
        <v>3292</v>
      </c>
      <c r="B454" t="s">
        <v>3293</v>
      </c>
      <c r="C454" t="s">
        <v>19</v>
      </c>
      <c r="D454" t="s">
        <v>212</v>
      </c>
      <c r="E454" s="1">
        <v>760.979999999999</v>
      </c>
      <c r="F454" t="s">
        <v>206</v>
      </c>
      <c r="G454">
        <v>100</v>
      </c>
      <c r="H454" s="1">
        <v>760.979999999999</v>
      </c>
      <c r="I454" s="21">
        <v>45196</v>
      </c>
      <c r="J454" s="21">
        <v>45201</v>
      </c>
      <c r="K454" s="21">
        <v>45201</v>
      </c>
      <c r="L454" t="s">
        <v>207</v>
      </c>
      <c r="M454" t="s">
        <v>146</v>
      </c>
      <c r="N454" t="s">
        <v>73</v>
      </c>
      <c r="O454">
        <v>1</v>
      </c>
      <c r="P454" t="s">
        <v>837</v>
      </c>
      <c r="Q454" t="s">
        <v>4528</v>
      </c>
      <c r="R454" t="s">
        <v>4710</v>
      </c>
      <c r="S454" t="s">
        <v>4717</v>
      </c>
      <c r="T454">
        <f t="shared" si="14"/>
        <v>5</v>
      </c>
      <c r="U454" s="21">
        <f t="shared" si="15"/>
        <v>45201</v>
      </c>
    </row>
    <row r="455" spans="1:21" x14ac:dyDescent="0.35">
      <c r="A455" t="s">
        <v>2107</v>
      </c>
      <c r="B455" t="s">
        <v>2108</v>
      </c>
      <c r="C455" t="s">
        <v>19</v>
      </c>
      <c r="D455" t="s">
        <v>205</v>
      </c>
      <c r="E455" s="1">
        <v>6.46999999999999</v>
      </c>
      <c r="F455" t="s">
        <v>206</v>
      </c>
      <c r="G455">
        <v>80</v>
      </c>
      <c r="H455" s="1">
        <v>5.1759999999999922</v>
      </c>
      <c r="I455" s="21">
        <v>45196</v>
      </c>
      <c r="J455" s="21">
        <v>45201</v>
      </c>
      <c r="K455" s="21">
        <v>45201</v>
      </c>
      <c r="L455" t="s">
        <v>248</v>
      </c>
      <c r="M455" t="s">
        <v>46</v>
      </c>
      <c r="N455" t="s">
        <v>47</v>
      </c>
      <c r="O455">
        <v>1</v>
      </c>
      <c r="P455" t="s">
        <v>469</v>
      </c>
      <c r="Q455" t="s">
        <v>4528</v>
      </c>
      <c r="R455" t="s">
        <v>4721</v>
      </c>
      <c r="S455" t="s">
        <v>4717</v>
      </c>
      <c r="T455">
        <f t="shared" si="14"/>
        <v>5</v>
      </c>
      <c r="U455" s="21">
        <f t="shared" si="15"/>
        <v>45201</v>
      </c>
    </row>
    <row r="456" spans="1:21" x14ac:dyDescent="0.35">
      <c r="A456" t="s">
        <v>4248</v>
      </c>
      <c r="B456" t="s">
        <v>4249</v>
      </c>
      <c r="C456" t="s">
        <v>19</v>
      </c>
      <c r="D456" t="s">
        <v>212</v>
      </c>
      <c r="E456" s="1">
        <v>474.43</v>
      </c>
      <c r="F456" t="s">
        <v>206</v>
      </c>
      <c r="G456">
        <v>100</v>
      </c>
      <c r="H456" s="1">
        <v>474.43</v>
      </c>
      <c r="I456" s="21">
        <v>45196</v>
      </c>
      <c r="J456" s="21">
        <v>45197</v>
      </c>
      <c r="K456" s="21">
        <v>45197</v>
      </c>
      <c r="L456" t="s">
        <v>207</v>
      </c>
      <c r="M456" t="s">
        <v>54</v>
      </c>
      <c r="N456" t="s">
        <v>26</v>
      </c>
      <c r="O456">
        <v>1</v>
      </c>
      <c r="P456" t="s">
        <v>337</v>
      </c>
      <c r="Q456" t="s">
        <v>4553</v>
      </c>
      <c r="R456" t="s">
        <v>4722</v>
      </c>
      <c r="S456" t="s">
        <v>4718</v>
      </c>
      <c r="T456">
        <f t="shared" si="14"/>
        <v>1</v>
      </c>
      <c r="U456" s="21">
        <f t="shared" si="15"/>
        <v>45197</v>
      </c>
    </row>
    <row r="457" spans="1:21" x14ac:dyDescent="0.35">
      <c r="A457" t="s">
        <v>3290</v>
      </c>
      <c r="B457" t="s">
        <v>3291</v>
      </c>
      <c r="C457" t="s">
        <v>30</v>
      </c>
      <c r="D457" t="s">
        <v>205</v>
      </c>
      <c r="E457" s="1">
        <v>310.74400000000003</v>
      </c>
      <c r="F457" t="s">
        <v>206</v>
      </c>
      <c r="G457">
        <v>80</v>
      </c>
      <c r="H457" s="1">
        <v>248.59520000000003</v>
      </c>
      <c r="I457" s="21">
        <v>45196</v>
      </c>
      <c r="J457" s="21">
        <v>45201</v>
      </c>
      <c r="K457" s="21">
        <v>45201</v>
      </c>
      <c r="L457" t="s">
        <v>213</v>
      </c>
      <c r="M457" t="s">
        <v>54</v>
      </c>
      <c r="N457" t="s">
        <v>26</v>
      </c>
      <c r="O457">
        <v>1</v>
      </c>
      <c r="P457" t="s">
        <v>3159</v>
      </c>
      <c r="Q457" t="s">
        <v>4729</v>
      </c>
      <c r="R457" t="s">
        <v>4714</v>
      </c>
      <c r="S457" t="s">
        <v>4718</v>
      </c>
      <c r="T457">
        <f t="shared" si="14"/>
        <v>5</v>
      </c>
      <c r="U457" s="21">
        <f t="shared" si="15"/>
        <v>45201</v>
      </c>
    </row>
    <row r="458" spans="1:21" x14ac:dyDescent="0.35">
      <c r="A458" t="s">
        <v>905</v>
      </c>
      <c r="B458" t="s">
        <v>906</v>
      </c>
      <c r="C458" t="s">
        <v>30</v>
      </c>
      <c r="D458" t="s">
        <v>212</v>
      </c>
      <c r="E458" s="1">
        <v>9.7799999999999994</v>
      </c>
      <c r="F458" t="s">
        <v>206</v>
      </c>
      <c r="G458">
        <v>100</v>
      </c>
      <c r="H458" s="1">
        <v>9.7799999999999994</v>
      </c>
      <c r="I458" s="21">
        <v>45196</v>
      </c>
      <c r="J458" s="21">
        <v>45201</v>
      </c>
      <c r="K458" s="21">
        <v>45201</v>
      </c>
      <c r="L458" t="s">
        <v>238</v>
      </c>
      <c r="M458" t="s">
        <v>33</v>
      </c>
      <c r="N458" t="s">
        <v>34</v>
      </c>
      <c r="O458">
        <v>1</v>
      </c>
      <c r="P458" t="s">
        <v>907</v>
      </c>
      <c r="Q458" t="s">
        <v>4729</v>
      </c>
      <c r="R458" t="s">
        <v>4512</v>
      </c>
      <c r="S458" t="s">
        <v>4717</v>
      </c>
      <c r="T458">
        <f t="shared" si="14"/>
        <v>5</v>
      </c>
      <c r="U458" s="21">
        <f t="shared" si="15"/>
        <v>45201</v>
      </c>
    </row>
    <row r="459" spans="1:21" x14ac:dyDescent="0.35">
      <c r="A459" t="s">
        <v>2101</v>
      </c>
      <c r="B459" t="s">
        <v>2102</v>
      </c>
      <c r="C459" t="s">
        <v>30</v>
      </c>
      <c r="D459" t="s">
        <v>205</v>
      </c>
      <c r="E459" s="1">
        <v>72.45</v>
      </c>
      <c r="F459" t="s">
        <v>206</v>
      </c>
      <c r="G459">
        <v>80</v>
      </c>
      <c r="H459" s="1">
        <v>57.960000000000008</v>
      </c>
      <c r="I459" s="21">
        <v>45195</v>
      </c>
      <c r="J459" s="21">
        <v>45201</v>
      </c>
      <c r="K459" s="21">
        <v>45201</v>
      </c>
      <c r="L459" t="s">
        <v>248</v>
      </c>
      <c r="M459" t="s">
        <v>97</v>
      </c>
      <c r="N459" t="s">
        <v>68</v>
      </c>
      <c r="O459">
        <v>1</v>
      </c>
      <c r="P459" t="s">
        <v>2103</v>
      </c>
      <c r="Q459" t="s">
        <v>4517</v>
      </c>
      <c r="R459" t="s">
        <v>4726</v>
      </c>
      <c r="S459" t="s">
        <v>4717</v>
      </c>
      <c r="T459">
        <f t="shared" si="14"/>
        <v>6</v>
      </c>
      <c r="U459" s="21">
        <f t="shared" si="15"/>
        <v>45201</v>
      </c>
    </row>
    <row r="460" spans="1:21" x14ac:dyDescent="0.35">
      <c r="A460" t="s">
        <v>3285</v>
      </c>
      <c r="B460" t="s">
        <v>3286</v>
      </c>
      <c r="C460" t="s">
        <v>19</v>
      </c>
      <c r="D460" t="s">
        <v>205</v>
      </c>
      <c r="E460" s="1">
        <v>913.43</v>
      </c>
      <c r="F460" t="s">
        <v>206</v>
      </c>
      <c r="G460">
        <v>80</v>
      </c>
      <c r="H460" s="1">
        <v>730.74400000000003</v>
      </c>
      <c r="I460" s="21">
        <v>45195</v>
      </c>
      <c r="J460" s="21">
        <v>45201</v>
      </c>
      <c r="K460" s="21">
        <v>45201</v>
      </c>
      <c r="L460" t="s">
        <v>220</v>
      </c>
      <c r="M460" t="s">
        <v>33</v>
      </c>
      <c r="N460" t="s">
        <v>34</v>
      </c>
      <c r="O460">
        <v>1</v>
      </c>
      <c r="P460" t="s">
        <v>3287</v>
      </c>
      <c r="Q460" t="s">
        <v>4620</v>
      </c>
      <c r="R460" t="s">
        <v>4712</v>
      </c>
      <c r="S460" t="s">
        <v>4718</v>
      </c>
      <c r="T460">
        <f t="shared" si="14"/>
        <v>6</v>
      </c>
      <c r="U460" s="21">
        <f t="shared" si="15"/>
        <v>45201</v>
      </c>
    </row>
    <row r="461" spans="1:21" x14ac:dyDescent="0.35">
      <c r="A461" t="s">
        <v>3288</v>
      </c>
      <c r="B461" t="s">
        <v>3289</v>
      </c>
      <c r="C461" t="s">
        <v>19</v>
      </c>
      <c r="D461" t="s">
        <v>205</v>
      </c>
      <c r="E461" s="1">
        <v>372.14400000000001</v>
      </c>
      <c r="F461" t="s">
        <v>206</v>
      </c>
      <c r="G461">
        <v>80</v>
      </c>
      <c r="H461" s="1">
        <v>297.71520000000004</v>
      </c>
      <c r="I461" s="21">
        <v>45195</v>
      </c>
      <c r="J461" s="21">
        <v>45197</v>
      </c>
      <c r="K461" s="21">
        <v>45197</v>
      </c>
      <c r="L461" t="s">
        <v>238</v>
      </c>
      <c r="M461" t="s">
        <v>146</v>
      </c>
      <c r="N461" t="s">
        <v>73</v>
      </c>
      <c r="O461">
        <v>1</v>
      </c>
      <c r="P461" t="s">
        <v>3198</v>
      </c>
      <c r="Q461" t="s">
        <v>4682</v>
      </c>
      <c r="R461" t="s">
        <v>4709</v>
      </c>
      <c r="S461" t="s">
        <v>4717</v>
      </c>
      <c r="T461">
        <f t="shared" si="14"/>
        <v>2</v>
      </c>
      <c r="U461" s="21">
        <f t="shared" si="15"/>
        <v>45197</v>
      </c>
    </row>
    <row r="462" spans="1:21" x14ac:dyDescent="0.35">
      <c r="A462" t="s">
        <v>2104</v>
      </c>
      <c r="B462" t="s">
        <v>2105</v>
      </c>
      <c r="C462" t="s">
        <v>30</v>
      </c>
      <c r="D462" t="s">
        <v>205</v>
      </c>
      <c r="E462" s="1">
        <v>72.224000000000004</v>
      </c>
      <c r="F462" t="s">
        <v>206</v>
      </c>
      <c r="G462">
        <v>80</v>
      </c>
      <c r="H462" s="1">
        <v>57.779200000000003</v>
      </c>
      <c r="I462" s="21">
        <v>45195</v>
      </c>
      <c r="J462" s="21">
        <v>45200</v>
      </c>
      <c r="K462" s="21">
        <v>45200</v>
      </c>
      <c r="L462" t="s">
        <v>213</v>
      </c>
      <c r="M462" t="s">
        <v>46</v>
      </c>
      <c r="N462" t="s">
        <v>47</v>
      </c>
      <c r="O462">
        <v>1</v>
      </c>
      <c r="P462" t="s">
        <v>2106</v>
      </c>
      <c r="Q462" t="s">
        <v>4729</v>
      </c>
      <c r="R462" t="s">
        <v>4726</v>
      </c>
      <c r="S462" t="s">
        <v>4717</v>
      </c>
      <c r="T462">
        <f t="shared" si="14"/>
        <v>5</v>
      </c>
      <c r="U462" s="21">
        <f t="shared" si="15"/>
        <v>45200</v>
      </c>
    </row>
    <row r="463" spans="1:21" x14ac:dyDescent="0.35">
      <c r="A463" t="s">
        <v>900</v>
      </c>
      <c r="B463" t="s">
        <v>901</v>
      </c>
      <c r="C463" t="s">
        <v>30</v>
      </c>
      <c r="D463" t="s">
        <v>212</v>
      </c>
      <c r="E463" s="1">
        <v>13.904</v>
      </c>
      <c r="F463" t="s">
        <v>206</v>
      </c>
      <c r="G463">
        <v>100</v>
      </c>
      <c r="H463" s="1">
        <v>13.904</v>
      </c>
      <c r="I463" s="21">
        <v>45194</v>
      </c>
      <c r="J463" s="21">
        <v>45198</v>
      </c>
      <c r="K463" s="21">
        <v>45198</v>
      </c>
      <c r="L463" t="s">
        <v>248</v>
      </c>
      <c r="M463" t="s">
        <v>40</v>
      </c>
      <c r="N463" t="s">
        <v>34</v>
      </c>
      <c r="O463">
        <v>1</v>
      </c>
      <c r="P463" t="s">
        <v>747</v>
      </c>
      <c r="Q463" t="s">
        <v>4596</v>
      </c>
      <c r="R463" t="s">
        <v>4726</v>
      </c>
      <c r="S463" t="s">
        <v>4717</v>
      </c>
      <c r="T463">
        <f t="shared" si="14"/>
        <v>4</v>
      </c>
      <c r="U463" s="21">
        <f t="shared" si="15"/>
        <v>45198</v>
      </c>
    </row>
    <row r="464" spans="1:21" x14ac:dyDescent="0.35">
      <c r="A464" t="s">
        <v>4246</v>
      </c>
      <c r="B464" t="s">
        <v>4247</v>
      </c>
      <c r="C464" t="s">
        <v>30</v>
      </c>
      <c r="D464" t="s">
        <v>205</v>
      </c>
      <c r="E464" s="1">
        <v>20.72</v>
      </c>
      <c r="F464" t="s">
        <v>206</v>
      </c>
      <c r="G464">
        <v>80</v>
      </c>
      <c r="H464" s="1">
        <v>16.576000000000001</v>
      </c>
      <c r="I464" s="21">
        <v>45194</v>
      </c>
      <c r="J464" s="21">
        <v>45201</v>
      </c>
      <c r="K464" s="21">
        <v>45201</v>
      </c>
      <c r="L464" t="s">
        <v>234</v>
      </c>
      <c r="M464" t="s">
        <v>82</v>
      </c>
      <c r="N464" t="s">
        <v>47</v>
      </c>
      <c r="O464">
        <v>1</v>
      </c>
      <c r="P464" t="s">
        <v>1620</v>
      </c>
      <c r="Q464" t="s">
        <v>4528</v>
      </c>
      <c r="R464" t="s">
        <v>4726</v>
      </c>
      <c r="S464" t="s">
        <v>4717</v>
      </c>
      <c r="T464">
        <f t="shared" si="14"/>
        <v>7</v>
      </c>
      <c r="U464" s="21">
        <f t="shared" si="15"/>
        <v>45201</v>
      </c>
    </row>
    <row r="465" spans="1:21" x14ac:dyDescent="0.35">
      <c r="A465" t="s">
        <v>2098</v>
      </c>
      <c r="B465" t="s">
        <v>2099</v>
      </c>
      <c r="C465" t="s">
        <v>19</v>
      </c>
      <c r="D465" t="s">
        <v>212</v>
      </c>
      <c r="E465" s="1">
        <v>38.088000000000001</v>
      </c>
      <c r="F465" t="s">
        <v>206</v>
      </c>
      <c r="G465">
        <v>100</v>
      </c>
      <c r="H465" s="1">
        <v>38.088000000000001</v>
      </c>
      <c r="I465" s="21">
        <v>45194</v>
      </c>
      <c r="J465" s="21">
        <v>45194</v>
      </c>
      <c r="K465" s="21">
        <v>45194</v>
      </c>
      <c r="L465" t="s">
        <v>220</v>
      </c>
      <c r="M465" t="s">
        <v>25</v>
      </c>
      <c r="N465" t="s">
        <v>26</v>
      </c>
      <c r="O465">
        <v>1</v>
      </c>
      <c r="P465" t="s">
        <v>2100</v>
      </c>
      <c r="Q465" t="s">
        <v>4528</v>
      </c>
      <c r="R465" t="s">
        <v>4726</v>
      </c>
      <c r="S465" t="s">
        <v>4717</v>
      </c>
      <c r="T465">
        <f t="shared" si="14"/>
        <v>0</v>
      </c>
      <c r="U465" s="21">
        <f t="shared" si="15"/>
        <v>45194</v>
      </c>
    </row>
    <row r="466" spans="1:21" x14ac:dyDescent="0.35">
      <c r="A466" t="s">
        <v>898</v>
      </c>
      <c r="B466" t="s">
        <v>899</v>
      </c>
      <c r="C466" t="s">
        <v>30</v>
      </c>
      <c r="D466" t="s">
        <v>205</v>
      </c>
      <c r="E466" s="1">
        <v>2.48</v>
      </c>
      <c r="F466" t="s">
        <v>206</v>
      </c>
      <c r="G466">
        <v>80</v>
      </c>
      <c r="H466" s="1">
        <v>1.984</v>
      </c>
      <c r="I466" s="21">
        <v>45194</v>
      </c>
      <c r="J466" s="21">
        <v>45196</v>
      </c>
      <c r="K466" s="21">
        <v>45196</v>
      </c>
      <c r="L466" t="s">
        <v>213</v>
      </c>
      <c r="M466" t="s">
        <v>146</v>
      </c>
      <c r="N466" t="s">
        <v>73</v>
      </c>
      <c r="O466">
        <v>1</v>
      </c>
      <c r="P466" t="s">
        <v>512</v>
      </c>
      <c r="Q466" t="s">
        <v>4729</v>
      </c>
      <c r="R466" t="s">
        <v>4726</v>
      </c>
      <c r="S466" t="s">
        <v>4717</v>
      </c>
      <c r="T466">
        <f t="shared" si="14"/>
        <v>2</v>
      </c>
      <c r="U466" s="21">
        <f t="shared" si="15"/>
        <v>45196</v>
      </c>
    </row>
    <row r="467" spans="1:21" x14ac:dyDescent="0.35">
      <c r="A467" t="s">
        <v>4244</v>
      </c>
      <c r="B467" t="s">
        <v>4245</v>
      </c>
      <c r="C467" t="s">
        <v>19</v>
      </c>
      <c r="D467" t="s">
        <v>212</v>
      </c>
      <c r="E467" s="1">
        <v>70.56</v>
      </c>
      <c r="F467" t="s">
        <v>206</v>
      </c>
      <c r="G467">
        <v>100</v>
      </c>
      <c r="H467" s="1">
        <v>70.56</v>
      </c>
      <c r="I467" s="21">
        <v>45193</v>
      </c>
      <c r="J467" s="21">
        <v>45198</v>
      </c>
      <c r="K467" s="21">
        <v>45198</v>
      </c>
      <c r="L467" t="s">
        <v>248</v>
      </c>
      <c r="M467" t="s">
        <v>33</v>
      </c>
      <c r="N467" t="s">
        <v>34</v>
      </c>
      <c r="O467">
        <v>1</v>
      </c>
      <c r="P467" t="s">
        <v>3122</v>
      </c>
      <c r="Q467" t="s">
        <v>4729</v>
      </c>
      <c r="R467" t="s">
        <v>4722</v>
      </c>
      <c r="S467" t="s">
        <v>4718</v>
      </c>
      <c r="T467">
        <f t="shared" si="14"/>
        <v>5</v>
      </c>
      <c r="U467" s="21">
        <f t="shared" si="15"/>
        <v>45198</v>
      </c>
    </row>
    <row r="468" spans="1:21" x14ac:dyDescent="0.35">
      <c r="A468" t="s">
        <v>895</v>
      </c>
      <c r="B468" t="s">
        <v>896</v>
      </c>
      <c r="C468" t="s">
        <v>19</v>
      </c>
      <c r="D468" t="s">
        <v>212</v>
      </c>
      <c r="E468" s="1">
        <v>68.459999999999994</v>
      </c>
      <c r="F468" t="s">
        <v>206</v>
      </c>
      <c r="G468">
        <v>100</v>
      </c>
      <c r="H468" s="1">
        <v>68.459999999999994</v>
      </c>
      <c r="I468" s="21">
        <v>45193</v>
      </c>
      <c r="J468" s="21">
        <v>45196</v>
      </c>
      <c r="K468" s="21">
        <v>45196</v>
      </c>
      <c r="L468" t="s">
        <v>207</v>
      </c>
      <c r="M468" t="s">
        <v>97</v>
      </c>
      <c r="N468" t="s">
        <v>68</v>
      </c>
      <c r="O468">
        <v>1</v>
      </c>
      <c r="P468" t="s">
        <v>897</v>
      </c>
      <c r="Q468" t="s">
        <v>4729</v>
      </c>
      <c r="R468" t="s">
        <v>4721</v>
      </c>
      <c r="S468" t="s">
        <v>4718</v>
      </c>
      <c r="T468">
        <f t="shared" si="14"/>
        <v>3</v>
      </c>
      <c r="U468" s="21">
        <f t="shared" si="15"/>
        <v>45196</v>
      </c>
    </row>
    <row r="469" spans="1:21" x14ac:dyDescent="0.35">
      <c r="A469" t="s">
        <v>892</v>
      </c>
      <c r="B469" t="s">
        <v>893</v>
      </c>
      <c r="C469" t="s">
        <v>30</v>
      </c>
      <c r="D469" t="s">
        <v>21</v>
      </c>
      <c r="E469" s="1">
        <v>22.979999999999997</v>
      </c>
      <c r="F469" t="s">
        <v>22</v>
      </c>
      <c r="G469">
        <v>0</v>
      </c>
      <c r="H469" s="1">
        <v>0</v>
      </c>
      <c r="I469" s="21">
        <v>45193</v>
      </c>
      <c r="J469" s="21">
        <v>45196</v>
      </c>
      <c r="K469" s="21">
        <v>45196</v>
      </c>
      <c r="L469" t="s">
        <v>45</v>
      </c>
      <c r="M469" t="s">
        <v>40</v>
      </c>
      <c r="N469" t="s">
        <v>34</v>
      </c>
      <c r="O469">
        <v>1</v>
      </c>
      <c r="P469" t="s">
        <v>894</v>
      </c>
      <c r="Q469" t="s">
        <v>4729</v>
      </c>
      <c r="R469" t="s">
        <v>4512</v>
      </c>
      <c r="S469" t="s">
        <v>4717</v>
      </c>
      <c r="T469">
        <f t="shared" si="14"/>
        <v>3</v>
      </c>
      <c r="U469" s="21">
        <f t="shared" si="15"/>
        <v>45196</v>
      </c>
    </row>
    <row r="470" spans="1:21" x14ac:dyDescent="0.35">
      <c r="A470" t="s">
        <v>889</v>
      </c>
      <c r="B470" t="s">
        <v>890</v>
      </c>
      <c r="C470" t="s">
        <v>30</v>
      </c>
      <c r="D470" t="s">
        <v>205</v>
      </c>
      <c r="E470" s="1">
        <v>7.4</v>
      </c>
      <c r="F470" t="s">
        <v>206</v>
      </c>
      <c r="G470">
        <v>80</v>
      </c>
      <c r="H470" s="1">
        <v>5.9200000000000008</v>
      </c>
      <c r="I470" s="21">
        <v>45192</v>
      </c>
      <c r="J470" s="21">
        <v>45198</v>
      </c>
      <c r="K470" s="21">
        <v>45198</v>
      </c>
      <c r="L470" t="s">
        <v>207</v>
      </c>
      <c r="M470" t="s">
        <v>25</v>
      </c>
      <c r="N470" t="s">
        <v>26</v>
      </c>
      <c r="O470">
        <v>1</v>
      </c>
      <c r="P470" t="s">
        <v>891</v>
      </c>
      <c r="Q470" t="s">
        <v>4599</v>
      </c>
      <c r="R470" t="s">
        <v>4721</v>
      </c>
      <c r="S470" t="s">
        <v>4718</v>
      </c>
      <c r="T470">
        <f t="shared" si="14"/>
        <v>6</v>
      </c>
      <c r="U470" s="21">
        <f t="shared" si="15"/>
        <v>45198</v>
      </c>
    </row>
    <row r="471" spans="1:21" x14ac:dyDescent="0.35">
      <c r="A471" t="s">
        <v>4237</v>
      </c>
      <c r="B471" t="s">
        <v>4238</v>
      </c>
      <c r="C471" t="s">
        <v>30</v>
      </c>
      <c r="D471" t="s">
        <v>205</v>
      </c>
      <c r="E471" s="1">
        <v>89.97</v>
      </c>
      <c r="F471" t="s">
        <v>206</v>
      </c>
      <c r="G471">
        <v>80</v>
      </c>
      <c r="H471" s="1">
        <v>71.975999999999999</v>
      </c>
      <c r="I471" s="21">
        <v>45192</v>
      </c>
      <c r="J471" s="21">
        <v>45199</v>
      </c>
      <c r="K471" s="21">
        <v>45199</v>
      </c>
      <c r="L471" t="s">
        <v>238</v>
      </c>
      <c r="M471" t="s">
        <v>97</v>
      </c>
      <c r="N471" t="s">
        <v>68</v>
      </c>
      <c r="O471">
        <v>1</v>
      </c>
      <c r="P471" t="s">
        <v>4239</v>
      </c>
      <c r="Q471" t="s">
        <v>4545</v>
      </c>
      <c r="R471" t="s">
        <v>4713</v>
      </c>
      <c r="S471" t="s">
        <v>4719</v>
      </c>
      <c r="T471">
        <f t="shared" si="14"/>
        <v>7</v>
      </c>
      <c r="U471" s="21">
        <f t="shared" si="15"/>
        <v>45199</v>
      </c>
    </row>
    <row r="472" spans="1:21" x14ac:dyDescent="0.35">
      <c r="A472" t="s">
        <v>4242</v>
      </c>
      <c r="B472" t="s">
        <v>4243</v>
      </c>
      <c r="C472" t="s">
        <v>19</v>
      </c>
      <c r="D472" t="s">
        <v>212</v>
      </c>
      <c r="E472" s="1">
        <v>8.82</v>
      </c>
      <c r="F472" t="s">
        <v>206</v>
      </c>
      <c r="G472">
        <v>100</v>
      </c>
      <c r="H472" s="1">
        <v>8.82</v>
      </c>
      <c r="I472" s="21">
        <v>45192</v>
      </c>
      <c r="J472" s="21">
        <v>45196</v>
      </c>
      <c r="K472" s="21">
        <v>45196</v>
      </c>
      <c r="L472" t="s">
        <v>248</v>
      </c>
      <c r="M472" t="s">
        <v>40</v>
      </c>
      <c r="N472" t="s">
        <v>34</v>
      </c>
      <c r="O472">
        <v>1</v>
      </c>
      <c r="P472" t="s">
        <v>158</v>
      </c>
      <c r="Q472" t="s">
        <v>4520</v>
      </c>
      <c r="R472" t="s">
        <v>4726</v>
      </c>
      <c r="S472" t="s">
        <v>4717</v>
      </c>
      <c r="T472">
        <f t="shared" si="14"/>
        <v>4</v>
      </c>
      <c r="U472" s="21">
        <f t="shared" si="15"/>
        <v>45196</v>
      </c>
    </row>
    <row r="473" spans="1:21" x14ac:dyDescent="0.35">
      <c r="A473" t="s">
        <v>2095</v>
      </c>
      <c r="B473" t="s">
        <v>2096</v>
      </c>
      <c r="C473" t="s">
        <v>30</v>
      </c>
      <c r="D473" t="s">
        <v>205</v>
      </c>
      <c r="E473" s="1">
        <v>31.744</v>
      </c>
      <c r="F473" t="s">
        <v>206</v>
      </c>
      <c r="G473">
        <v>80</v>
      </c>
      <c r="H473" s="1">
        <v>25.395200000000003</v>
      </c>
      <c r="I473" s="21">
        <v>45192</v>
      </c>
      <c r="J473" s="21">
        <v>45194</v>
      </c>
      <c r="K473" s="21">
        <v>45194</v>
      </c>
      <c r="L473" t="s">
        <v>220</v>
      </c>
      <c r="M473" t="s">
        <v>40</v>
      </c>
      <c r="N473" t="s">
        <v>34</v>
      </c>
      <c r="O473">
        <v>1</v>
      </c>
      <c r="P473" t="s">
        <v>2097</v>
      </c>
      <c r="Q473" t="s">
        <v>4520</v>
      </c>
      <c r="R473" t="s">
        <v>4726</v>
      </c>
      <c r="S473" t="s">
        <v>4717</v>
      </c>
      <c r="T473">
        <f t="shared" si="14"/>
        <v>2</v>
      </c>
      <c r="U473" s="21">
        <f t="shared" si="15"/>
        <v>45194</v>
      </c>
    </row>
    <row r="474" spans="1:21" x14ac:dyDescent="0.35">
      <c r="A474" t="s">
        <v>880</v>
      </c>
      <c r="B474" t="s">
        <v>881</v>
      </c>
      <c r="C474" t="s">
        <v>30</v>
      </c>
      <c r="D474" t="s">
        <v>205</v>
      </c>
      <c r="E474" s="1">
        <v>227.28</v>
      </c>
      <c r="F474" t="s">
        <v>206</v>
      </c>
      <c r="G474">
        <v>80</v>
      </c>
      <c r="H474" s="1">
        <v>181.82400000000001</v>
      </c>
      <c r="I474" s="21">
        <v>45192</v>
      </c>
      <c r="J474" s="21">
        <v>45198</v>
      </c>
      <c r="K474" s="21">
        <v>45198</v>
      </c>
      <c r="L474" t="s">
        <v>248</v>
      </c>
      <c r="M474" t="s">
        <v>33</v>
      </c>
      <c r="N474" t="s">
        <v>34</v>
      </c>
      <c r="O474">
        <v>1</v>
      </c>
      <c r="P474" t="s">
        <v>882</v>
      </c>
      <c r="Q474" t="s">
        <v>4562</v>
      </c>
      <c r="R474" t="s">
        <v>4709</v>
      </c>
      <c r="S474" t="s">
        <v>4717</v>
      </c>
      <c r="T474">
        <f t="shared" si="14"/>
        <v>6</v>
      </c>
      <c r="U474" s="21">
        <f t="shared" si="15"/>
        <v>45198</v>
      </c>
    </row>
    <row r="475" spans="1:21" x14ac:dyDescent="0.35">
      <c r="A475" t="s">
        <v>883</v>
      </c>
      <c r="B475" t="s">
        <v>884</v>
      </c>
      <c r="C475" t="s">
        <v>19</v>
      </c>
      <c r="D475" t="s">
        <v>205</v>
      </c>
      <c r="E475" s="1">
        <v>1747.25</v>
      </c>
      <c r="F475" t="s">
        <v>206</v>
      </c>
      <c r="G475">
        <v>80</v>
      </c>
      <c r="H475" s="1">
        <v>1397.8000000000002</v>
      </c>
      <c r="I475" s="21">
        <v>45192</v>
      </c>
      <c r="J475" s="21">
        <v>45195</v>
      </c>
      <c r="K475" s="21">
        <v>45195</v>
      </c>
      <c r="L475" t="s">
        <v>238</v>
      </c>
      <c r="M475" t="s">
        <v>40</v>
      </c>
      <c r="N475" t="s">
        <v>34</v>
      </c>
      <c r="O475">
        <v>1</v>
      </c>
      <c r="P475" t="s">
        <v>885</v>
      </c>
      <c r="Q475" t="s">
        <v>4562</v>
      </c>
      <c r="R475" t="s">
        <v>4721</v>
      </c>
      <c r="S475" t="s">
        <v>4717</v>
      </c>
      <c r="T475">
        <f t="shared" si="14"/>
        <v>3</v>
      </c>
      <c r="U475" s="21">
        <f t="shared" si="15"/>
        <v>45195</v>
      </c>
    </row>
    <row r="476" spans="1:21" x14ac:dyDescent="0.35">
      <c r="A476" t="s">
        <v>4240</v>
      </c>
      <c r="B476" t="s">
        <v>4241</v>
      </c>
      <c r="C476" t="s">
        <v>30</v>
      </c>
      <c r="D476" t="s">
        <v>205</v>
      </c>
      <c r="E476" s="1">
        <v>44.688000000000002</v>
      </c>
      <c r="F476" t="s">
        <v>206</v>
      </c>
      <c r="G476">
        <v>80</v>
      </c>
      <c r="H476" s="1">
        <v>35.750400000000006</v>
      </c>
      <c r="I476" s="21">
        <v>45192</v>
      </c>
      <c r="J476" s="21">
        <v>45198</v>
      </c>
      <c r="K476" s="21">
        <v>45198</v>
      </c>
      <c r="L476" t="s">
        <v>213</v>
      </c>
      <c r="M476" t="s">
        <v>146</v>
      </c>
      <c r="N476" t="s">
        <v>73</v>
      </c>
      <c r="O476">
        <v>1</v>
      </c>
      <c r="P476" t="s">
        <v>412</v>
      </c>
      <c r="Q476" t="s">
        <v>4729</v>
      </c>
      <c r="R476" t="s">
        <v>4726</v>
      </c>
      <c r="S476" t="s">
        <v>4717</v>
      </c>
      <c r="T476">
        <f t="shared" si="14"/>
        <v>6</v>
      </c>
      <c r="U476" s="21">
        <f t="shared" si="15"/>
        <v>45198</v>
      </c>
    </row>
    <row r="477" spans="1:21" x14ac:dyDescent="0.35">
      <c r="A477" t="s">
        <v>886</v>
      </c>
      <c r="B477" t="s">
        <v>887</v>
      </c>
      <c r="C477" t="s">
        <v>19</v>
      </c>
      <c r="D477" t="s">
        <v>205</v>
      </c>
      <c r="E477" s="1">
        <v>47.9</v>
      </c>
      <c r="F477" t="s">
        <v>206</v>
      </c>
      <c r="G477">
        <v>80</v>
      </c>
      <c r="H477" s="1">
        <v>38.32</v>
      </c>
      <c r="I477" s="21">
        <v>45192</v>
      </c>
      <c r="J477" s="21">
        <v>45197</v>
      </c>
      <c r="K477" s="21">
        <v>45197</v>
      </c>
      <c r="L477" t="s">
        <v>213</v>
      </c>
      <c r="M477" t="s">
        <v>72</v>
      </c>
      <c r="N477" t="s">
        <v>73</v>
      </c>
      <c r="O477">
        <v>1</v>
      </c>
      <c r="P477" t="s">
        <v>888</v>
      </c>
      <c r="Q477" t="s">
        <v>4519</v>
      </c>
      <c r="R477" t="s">
        <v>4726</v>
      </c>
      <c r="S477" t="s">
        <v>4717</v>
      </c>
      <c r="T477">
        <f t="shared" si="14"/>
        <v>5</v>
      </c>
      <c r="U477" s="21">
        <f t="shared" si="15"/>
        <v>45197</v>
      </c>
    </row>
    <row r="478" spans="1:21" x14ac:dyDescent="0.35">
      <c r="A478" t="s">
        <v>4235</v>
      </c>
      <c r="B478" t="s">
        <v>4236</v>
      </c>
      <c r="C478" t="s">
        <v>30</v>
      </c>
      <c r="D478" t="s">
        <v>212</v>
      </c>
      <c r="E478" s="1">
        <v>11.84</v>
      </c>
      <c r="F478" t="s">
        <v>206</v>
      </c>
      <c r="G478">
        <v>100</v>
      </c>
      <c r="H478" s="1">
        <v>11.84</v>
      </c>
      <c r="I478" s="21">
        <v>45190</v>
      </c>
      <c r="J478" s="21">
        <v>45194</v>
      </c>
      <c r="K478" s="21">
        <v>45194</v>
      </c>
      <c r="L478" t="s">
        <v>213</v>
      </c>
      <c r="M478" t="s">
        <v>72</v>
      </c>
      <c r="N478" t="s">
        <v>73</v>
      </c>
      <c r="O478">
        <v>1</v>
      </c>
      <c r="P478" t="s">
        <v>891</v>
      </c>
      <c r="Q478" t="s">
        <v>4599</v>
      </c>
      <c r="R478" t="s">
        <v>4721</v>
      </c>
      <c r="S478" t="s">
        <v>4718</v>
      </c>
      <c r="T478">
        <f t="shared" si="14"/>
        <v>4</v>
      </c>
      <c r="U478" s="21">
        <f t="shared" si="15"/>
        <v>45194</v>
      </c>
    </row>
    <row r="479" spans="1:21" x14ac:dyDescent="0.35">
      <c r="A479" t="s">
        <v>2093</v>
      </c>
      <c r="B479" t="s">
        <v>2094</v>
      </c>
      <c r="C479" t="s">
        <v>30</v>
      </c>
      <c r="D479" t="s">
        <v>212</v>
      </c>
      <c r="E479" s="1">
        <v>343.85</v>
      </c>
      <c r="F479" t="s">
        <v>206</v>
      </c>
      <c r="G479">
        <v>100</v>
      </c>
      <c r="H479" s="1">
        <v>343.85</v>
      </c>
      <c r="I479" s="21">
        <v>45190</v>
      </c>
      <c r="J479" s="21">
        <v>45194</v>
      </c>
      <c r="K479" s="21">
        <v>45194</v>
      </c>
      <c r="L479" t="s">
        <v>207</v>
      </c>
      <c r="M479" t="s">
        <v>25</v>
      </c>
      <c r="N479" t="s">
        <v>26</v>
      </c>
      <c r="O479">
        <v>1</v>
      </c>
      <c r="P479" t="s">
        <v>985</v>
      </c>
      <c r="Q479" t="s">
        <v>4553</v>
      </c>
      <c r="R479" t="s">
        <v>4722</v>
      </c>
      <c r="S479" t="s">
        <v>4718</v>
      </c>
      <c r="T479">
        <f t="shared" si="14"/>
        <v>4</v>
      </c>
      <c r="U479" s="21">
        <f t="shared" si="15"/>
        <v>45194</v>
      </c>
    </row>
    <row r="480" spans="1:21" x14ac:dyDescent="0.35">
      <c r="A480" t="s">
        <v>877</v>
      </c>
      <c r="B480" t="s">
        <v>878</v>
      </c>
      <c r="C480" t="s">
        <v>30</v>
      </c>
      <c r="D480" t="s">
        <v>212</v>
      </c>
      <c r="E480" s="1">
        <v>7.968</v>
      </c>
      <c r="F480" t="s">
        <v>206</v>
      </c>
      <c r="G480">
        <v>100</v>
      </c>
      <c r="H480" s="1">
        <v>7.968</v>
      </c>
      <c r="I480" s="21">
        <v>45190</v>
      </c>
      <c r="J480" s="21">
        <v>45194</v>
      </c>
      <c r="K480" s="21">
        <v>45194</v>
      </c>
      <c r="L480" t="s">
        <v>234</v>
      </c>
      <c r="M480" t="s">
        <v>67</v>
      </c>
      <c r="N480" t="s">
        <v>68</v>
      </c>
      <c r="O480">
        <v>1</v>
      </c>
      <c r="P480" t="s">
        <v>879</v>
      </c>
      <c r="Q480" t="s">
        <v>4519</v>
      </c>
      <c r="R480" t="s">
        <v>4726</v>
      </c>
      <c r="S480" t="s">
        <v>4717</v>
      </c>
      <c r="T480">
        <f t="shared" si="14"/>
        <v>4</v>
      </c>
      <c r="U480" s="21">
        <f t="shared" si="15"/>
        <v>45194</v>
      </c>
    </row>
    <row r="481" spans="1:21" x14ac:dyDescent="0.35">
      <c r="A481" t="s">
        <v>874</v>
      </c>
      <c r="B481" t="s">
        <v>875</v>
      </c>
      <c r="C481" t="s">
        <v>19</v>
      </c>
      <c r="D481" t="s">
        <v>205</v>
      </c>
      <c r="E481" s="1">
        <v>31.32</v>
      </c>
      <c r="F481" t="s">
        <v>206</v>
      </c>
      <c r="G481">
        <v>80</v>
      </c>
      <c r="H481" s="1">
        <v>25.056000000000001</v>
      </c>
      <c r="I481" s="21">
        <v>45189</v>
      </c>
      <c r="J481" s="21">
        <v>45193</v>
      </c>
      <c r="K481" s="21">
        <v>45193</v>
      </c>
      <c r="L481" t="s">
        <v>213</v>
      </c>
      <c r="M481" t="s">
        <v>33</v>
      </c>
      <c r="N481" t="s">
        <v>34</v>
      </c>
      <c r="O481">
        <v>1</v>
      </c>
      <c r="P481" t="s">
        <v>876</v>
      </c>
      <c r="Q481" t="s">
        <v>4517</v>
      </c>
      <c r="R481" t="s">
        <v>4726</v>
      </c>
      <c r="S481" t="s">
        <v>4717</v>
      </c>
      <c r="T481">
        <f t="shared" si="14"/>
        <v>4</v>
      </c>
      <c r="U481" s="21">
        <f t="shared" si="15"/>
        <v>45193</v>
      </c>
    </row>
    <row r="482" spans="1:21" x14ac:dyDescent="0.35">
      <c r="A482" t="s">
        <v>2089</v>
      </c>
      <c r="B482" t="s">
        <v>2090</v>
      </c>
      <c r="C482" t="s">
        <v>19</v>
      </c>
      <c r="D482" t="s">
        <v>212</v>
      </c>
      <c r="E482" s="1">
        <v>1793.98</v>
      </c>
      <c r="F482" t="s">
        <v>206</v>
      </c>
      <c r="G482">
        <v>100</v>
      </c>
      <c r="H482" s="1">
        <v>1793.98</v>
      </c>
      <c r="I482" s="21">
        <v>45189</v>
      </c>
      <c r="J482" s="21">
        <v>45192</v>
      </c>
      <c r="K482" s="21">
        <v>45192</v>
      </c>
      <c r="L482" t="s">
        <v>213</v>
      </c>
      <c r="M482" t="s">
        <v>25</v>
      </c>
      <c r="N482" t="s">
        <v>26</v>
      </c>
      <c r="O482">
        <v>1</v>
      </c>
      <c r="P482" t="s">
        <v>1712</v>
      </c>
      <c r="Q482" t="s">
        <v>4528</v>
      </c>
      <c r="R482" t="s">
        <v>4710</v>
      </c>
      <c r="S482" t="s">
        <v>4717</v>
      </c>
      <c r="T482">
        <f t="shared" si="14"/>
        <v>3</v>
      </c>
      <c r="U482" s="21">
        <f t="shared" si="15"/>
        <v>45192</v>
      </c>
    </row>
    <row r="483" spans="1:21" x14ac:dyDescent="0.35">
      <c r="A483" t="s">
        <v>2091</v>
      </c>
      <c r="B483" t="s">
        <v>2092</v>
      </c>
      <c r="C483" t="s">
        <v>30</v>
      </c>
      <c r="D483" t="s">
        <v>205</v>
      </c>
      <c r="E483" s="1">
        <v>25.584</v>
      </c>
      <c r="F483" t="s">
        <v>206</v>
      </c>
      <c r="G483">
        <v>80</v>
      </c>
      <c r="H483" s="1">
        <v>20.467200000000002</v>
      </c>
      <c r="I483" s="21">
        <v>45189</v>
      </c>
      <c r="J483" s="21">
        <v>45192</v>
      </c>
      <c r="K483" s="21">
        <v>45192</v>
      </c>
      <c r="L483" t="s">
        <v>220</v>
      </c>
      <c r="M483" t="s">
        <v>67</v>
      </c>
      <c r="N483" t="s">
        <v>68</v>
      </c>
      <c r="O483">
        <v>1</v>
      </c>
      <c r="P483" t="s">
        <v>574</v>
      </c>
      <c r="Q483" t="s">
        <v>4528</v>
      </c>
      <c r="R483" t="s">
        <v>4726</v>
      </c>
      <c r="S483" t="s">
        <v>4717</v>
      </c>
      <c r="T483">
        <f t="shared" si="14"/>
        <v>3</v>
      </c>
      <c r="U483" s="21">
        <f t="shared" si="15"/>
        <v>45192</v>
      </c>
    </row>
    <row r="484" spans="1:21" x14ac:dyDescent="0.35">
      <c r="A484" t="s">
        <v>872</v>
      </c>
      <c r="B484" t="s">
        <v>873</v>
      </c>
      <c r="C484" t="s">
        <v>19</v>
      </c>
      <c r="D484" t="s">
        <v>21</v>
      </c>
      <c r="E484" s="1">
        <v>2545.12</v>
      </c>
      <c r="F484" t="s">
        <v>22</v>
      </c>
      <c r="G484">
        <v>0</v>
      </c>
      <c r="H484" s="1">
        <v>0</v>
      </c>
      <c r="I484" s="21">
        <v>45189</v>
      </c>
      <c r="J484" s="21">
        <v>45191</v>
      </c>
      <c r="K484" s="21">
        <v>45191</v>
      </c>
      <c r="L484" t="s">
        <v>39</v>
      </c>
      <c r="M484" t="s">
        <v>40</v>
      </c>
      <c r="N484" t="s">
        <v>34</v>
      </c>
      <c r="O484">
        <v>1</v>
      </c>
      <c r="P484" t="s">
        <v>367</v>
      </c>
      <c r="Q484" t="s">
        <v>4729</v>
      </c>
      <c r="R484" t="s">
        <v>4709</v>
      </c>
      <c r="S484" t="s">
        <v>4717</v>
      </c>
      <c r="T484">
        <f t="shared" si="14"/>
        <v>2</v>
      </c>
      <c r="U484" s="21">
        <f t="shared" si="15"/>
        <v>45191</v>
      </c>
    </row>
    <row r="485" spans="1:21" x14ac:dyDescent="0.35">
      <c r="A485" t="s">
        <v>2086</v>
      </c>
      <c r="B485" t="s">
        <v>2087</v>
      </c>
      <c r="C485" t="s">
        <v>30</v>
      </c>
      <c r="D485" t="s">
        <v>212</v>
      </c>
      <c r="E485" s="1">
        <v>72.64</v>
      </c>
      <c r="F485" t="s">
        <v>206</v>
      </c>
      <c r="G485">
        <v>100</v>
      </c>
      <c r="H485" s="1">
        <v>72.64</v>
      </c>
      <c r="I485" s="21">
        <v>45189</v>
      </c>
      <c r="J485" s="21">
        <v>45193</v>
      </c>
      <c r="K485" s="21">
        <v>45193</v>
      </c>
      <c r="L485" t="s">
        <v>207</v>
      </c>
      <c r="M485" t="s">
        <v>33</v>
      </c>
      <c r="N485" t="s">
        <v>34</v>
      </c>
      <c r="O485">
        <v>1</v>
      </c>
      <c r="P485" t="s">
        <v>2088</v>
      </c>
      <c r="Q485" t="s">
        <v>4538</v>
      </c>
      <c r="R485" t="s">
        <v>4713</v>
      </c>
      <c r="S485" t="s">
        <v>4719</v>
      </c>
      <c r="T485">
        <f t="shared" si="14"/>
        <v>4</v>
      </c>
      <c r="U485" s="21">
        <f t="shared" si="15"/>
        <v>45193</v>
      </c>
    </row>
    <row r="486" spans="1:21" x14ac:dyDescent="0.35">
      <c r="A486" t="s">
        <v>4233</v>
      </c>
      <c r="B486" t="s">
        <v>4234</v>
      </c>
      <c r="C486" t="s">
        <v>19</v>
      </c>
      <c r="D486" t="s">
        <v>205</v>
      </c>
      <c r="E486" s="1">
        <v>18.920000000000002</v>
      </c>
      <c r="F486" t="s">
        <v>206</v>
      </c>
      <c r="G486">
        <v>80</v>
      </c>
      <c r="H486" s="1">
        <v>15.136000000000003</v>
      </c>
      <c r="I486" s="21">
        <v>45188</v>
      </c>
      <c r="J486" s="21">
        <v>45192</v>
      </c>
      <c r="K486" s="21">
        <v>45192</v>
      </c>
      <c r="L486" t="s">
        <v>238</v>
      </c>
      <c r="M486" t="s">
        <v>82</v>
      </c>
      <c r="N486" t="s">
        <v>47</v>
      </c>
      <c r="O486">
        <v>1</v>
      </c>
      <c r="P486" t="s">
        <v>1116</v>
      </c>
      <c r="Q486" t="s">
        <v>4555</v>
      </c>
      <c r="R486" t="s">
        <v>4721</v>
      </c>
      <c r="S486" t="s">
        <v>4718</v>
      </c>
      <c r="T486">
        <f t="shared" si="14"/>
        <v>4</v>
      </c>
      <c r="U486" s="21">
        <f t="shared" si="15"/>
        <v>45192</v>
      </c>
    </row>
    <row r="487" spans="1:21" x14ac:dyDescent="0.35">
      <c r="A487" t="s">
        <v>3283</v>
      </c>
      <c r="B487" t="s">
        <v>3284</v>
      </c>
      <c r="C487" t="s">
        <v>30</v>
      </c>
      <c r="D487" t="s">
        <v>212</v>
      </c>
      <c r="E487" s="1">
        <v>15.42</v>
      </c>
      <c r="F487" t="s">
        <v>206</v>
      </c>
      <c r="G487">
        <v>100</v>
      </c>
      <c r="H487" s="1">
        <v>15.42</v>
      </c>
      <c r="I487" s="21">
        <v>45188</v>
      </c>
      <c r="J487" s="21">
        <v>45192</v>
      </c>
      <c r="K487" s="21">
        <v>45192</v>
      </c>
      <c r="L487" t="s">
        <v>213</v>
      </c>
      <c r="M487" t="s">
        <v>54</v>
      </c>
      <c r="N487" t="s">
        <v>26</v>
      </c>
      <c r="O487">
        <v>1</v>
      </c>
      <c r="P487" t="s">
        <v>2122</v>
      </c>
      <c r="Q487" t="s">
        <v>4556</v>
      </c>
      <c r="R487" t="s">
        <v>4726</v>
      </c>
      <c r="S487" t="s">
        <v>4717</v>
      </c>
      <c r="T487">
        <f t="shared" si="14"/>
        <v>4</v>
      </c>
      <c r="U487" s="21">
        <f t="shared" si="15"/>
        <v>45192</v>
      </c>
    </row>
    <row r="488" spans="1:21" x14ac:dyDescent="0.35">
      <c r="A488" t="s">
        <v>870</v>
      </c>
      <c r="B488" t="s">
        <v>871</v>
      </c>
      <c r="C488" t="s">
        <v>30</v>
      </c>
      <c r="D488" t="s">
        <v>21</v>
      </c>
      <c r="E488" s="1">
        <v>107.396</v>
      </c>
      <c r="F488" t="s">
        <v>22</v>
      </c>
      <c r="G488">
        <v>0</v>
      </c>
      <c r="H488" s="1">
        <v>0</v>
      </c>
      <c r="I488" s="21">
        <v>45188</v>
      </c>
      <c r="J488" s="21">
        <v>45190</v>
      </c>
      <c r="K488" s="21">
        <v>45190</v>
      </c>
      <c r="L488" t="s">
        <v>45</v>
      </c>
      <c r="M488" t="s">
        <v>33</v>
      </c>
      <c r="N488" t="s">
        <v>34</v>
      </c>
      <c r="O488">
        <v>1</v>
      </c>
      <c r="P488" t="s">
        <v>432</v>
      </c>
      <c r="Q488" t="s">
        <v>4533</v>
      </c>
      <c r="R488" t="s">
        <v>4721</v>
      </c>
      <c r="S488" t="s">
        <v>4717</v>
      </c>
      <c r="T488">
        <f t="shared" si="14"/>
        <v>2</v>
      </c>
      <c r="U488" s="21">
        <f t="shared" si="15"/>
        <v>45190</v>
      </c>
    </row>
    <row r="489" spans="1:21" x14ac:dyDescent="0.35">
      <c r="A489" t="s">
        <v>4230</v>
      </c>
      <c r="B489" t="s">
        <v>4231</v>
      </c>
      <c r="C489" t="s">
        <v>19</v>
      </c>
      <c r="D489" t="s">
        <v>205</v>
      </c>
      <c r="E489" s="1">
        <v>46.53</v>
      </c>
      <c r="F489" t="s">
        <v>206</v>
      </c>
      <c r="G489">
        <v>80</v>
      </c>
      <c r="H489" s="1">
        <v>37.224000000000004</v>
      </c>
      <c r="I489" s="21">
        <v>45188</v>
      </c>
      <c r="J489" s="21">
        <v>45193</v>
      </c>
      <c r="K489" s="21">
        <v>45193</v>
      </c>
      <c r="L489" t="s">
        <v>220</v>
      </c>
      <c r="M489" t="s">
        <v>82</v>
      </c>
      <c r="N489" t="s">
        <v>47</v>
      </c>
      <c r="O489">
        <v>1</v>
      </c>
      <c r="P489" t="s">
        <v>4232</v>
      </c>
      <c r="Q489" t="s">
        <v>4729</v>
      </c>
      <c r="R489" t="s">
        <v>4709</v>
      </c>
      <c r="S489" t="s">
        <v>4717</v>
      </c>
      <c r="T489">
        <f t="shared" si="14"/>
        <v>5</v>
      </c>
      <c r="U489" s="21">
        <f t="shared" si="15"/>
        <v>45193</v>
      </c>
    </row>
    <row r="490" spans="1:21" x14ac:dyDescent="0.35">
      <c r="A490" t="s">
        <v>3281</v>
      </c>
      <c r="B490" t="s">
        <v>3282</v>
      </c>
      <c r="C490" t="s">
        <v>30</v>
      </c>
      <c r="D490" t="s">
        <v>212</v>
      </c>
      <c r="E490" s="1">
        <v>579.29999999999995</v>
      </c>
      <c r="F490" t="s">
        <v>206</v>
      </c>
      <c r="G490">
        <v>100</v>
      </c>
      <c r="H490" s="1">
        <v>579.29999999999995</v>
      </c>
      <c r="I490" s="21">
        <v>45188</v>
      </c>
      <c r="J490" s="21">
        <v>45192</v>
      </c>
      <c r="K490" s="21">
        <v>45192</v>
      </c>
      <c r="L490" t="s">
        <v>238</v>
      </c>
      <c r="M490" t="s">
        <v>25</v>
      </c>
      <c r="N490" t="s">
        <v>26</v>
      </c>
      <c r="O490">
        <v>1</v>
      </c>
      <c r="P490" t="s">
        <v>2178</v>
      </c>
      <c r="Q490" t="s">
        <v>4648</v>
      </c>
      <c r="R490" t="s">
        <v>4726</v>
      </c>
      <c r="S490" t="s">
        <v>4717</v>
      </c>
      <c r="T490">
        <f t="shared" si="14"/>
        <v>4</v>
      </c>
      <c r="U490" s="21">
        <f t="shared" si="15"/>
        <v>45192</v>
      </c>
    </row>
    <row r="491" spans="1:21" x14ac:dyDescent="0.35">
      <c r="A491" t="s">
        <v>3278</v>
      </c>
      <c r="B491" t="s">
        <v>3279</v>
      </c>
      <c r="C491" t="s">
        <v>30</v>
      </c>
      <c r="D491" t="s">
        <v>205</v>
      </c>
      <c r="E491" s="1">
        <v>87.168000000000006</v>
      </c>
      <c r="F491" t="s">
        <v>206</v>
      </c>
      <c r="G491">
        <v>80</v>
      </c>
      <c r="H491" s="1">
        <v>69.734400000000008</v>
      </c>
      <c r="I491" s="21">
        <v>45187</v>
      </c>
      <c r="J491" s="21">
        <v>45193</v>
      </c>
      <c r="K491" s="21">
        <v>45193</v>
      </c>
      <c r="L491" t="s">
        <v>213</v>
      </c>
      <c r="M491" t="s">
        <v>40</v>
      </c>
      <c r="N491" t="s">
        <v>34</v>
      </c>
      <c r="O491">
        <v>1</v>
      </c>
      <c r="P491" t="s">
        <v>3280</v>
      </c>
      <c r="Q491" t="s">
        <v>4545</v>
      </c>
      <c r="R491" t="s">
        <v>4726</v>
      </c>
      <c r="S491" t="s">
        <v>4717</v>
      </c>
      <c r="T491">
        <f t="shared" si="14"/>
        <v>6</v>
      </c>
      <c r="U491" s="21">
        <f t="shared" si="15"/>
        <v>45193</v>
      </c>
    </row>
    <row r="492" spans="1:21" x14ac:dyDescent="0.35">
      <c r="A492" t="s">
        <v>867</v>
      </c>
      <c r="B492" t="s">
        <v>868</v>
      </c>
      <c r="C492" t="s">
        <v>19</v>
      </c>
      <c r="D492" t="s">
        <v>212</v>
      </c>
      <c r="E492" s="1">
        <v>18.84</v>
      </c>
      <c r="F492" t="s">
        <v>206</v>
      </c>
      <c r="G492">
        <v>100</v>
      </c>
      <c r="H492" s="1">
        <v>18.84</v>
      </c>
      <c r="I492" s="21">
        <v>45187</v>
      </c>
      <c r="J492" s="21">
        <v>45193</v>
      </c>
      <c r="K492" s="21">
        <v>45193</v>
      </c>
      <c r="L492" t="s">
        <v>213</v>
      </c>
      <c r="M492" t="s">
        <v>33</v>
      </c>
      <c r="N492" t="s">
        <v>34</v>
      </c>
      <c r="O492">
        <v>1</v>
      </c>
      <c r="P492" t="s">
        <v>869</v>
      </c>
      <c r="Q492" t="s">
        <v>4533</v>
      </c>
      <c r="R492" t="s">
        <v>4724</v>
      </c>
      <c r="S492" t="s">
        <v>4718</v>
      </c>
      <c r="T492">
        <f t="shared" si="14"/>
        <v>6</v>
      </c>
      <c r="U492" s="21">
        <f t="shared" si="15"/>
        <v>45193</v>
      </c>
    </row>
    <row r="493" spans="1:21" x14ac:dyDescent="0.35">
      <c r="A493" t="s">
        <v>865</v>
      </c>
      <c r="B493" t="s">
        <v>866</v>
      </c>
      <c r="C493" t="s">
        <v>19</v>
      </c>
      <c r="D493" t="s">
        <v>212</v>
      </c>
      <c r="E493" s="1">
        <v>9892.74</v>
      </c>
      <c r="F493" t="s">
        <v>206</v>
      </c>
      <c r="G493">
        <v>100</v>
      </c>
      <c r="H493" s="1">
        <v>9892.74</v>
      </c>
      <c r="I493" s="21">
        <v>45187</v>
      </c>
      <c r="J493" s="21">
        <v>45193</v>
      </c>
      <c r="K493" s="21">
        <v>45193</v>
      </c>
      <c r="L493" t="s">
        <v>238</v>
      </c>
      <c r="M493" t="s">
        <v>72</v>
      </c>
      <c r="N493" t="s">
        <v>73</v>
      </c>
      <c r="O493">
        <v>1</v>
      </c>
      <c r="P493" t="s">
        <v>837</v>
      </c>
      <c r="Q493" t="s">
        <v>4528</v>
      </c>
      <c r="R493" t="s">
        <v>4710</v>
      </c>
      <c r="S493" t="s">
        <v>4717</v>
      </c>
      <c r="T493">
        <f t="shared" si="14"/>
        <v>6</v>
      </c>
      <c r="U493" s="21">
        <f t="shared" si="15"/>
        <v>45193</v>
      </c>
    </row>
    <row r="494" spans="1:21" x14ac:dyDescent="0.35">
      <c r="A494" t="s">
        <v>2084</v>
      </c>
      <c r="B494" t="s">
        <v>2085</v>
      </c>
      <c r="C494" t="s">
        <v>30</v>
      </c>
      <c r="D494" t="s">
        <v>212</v>
      </c>
      <c r="E494" s="1">
        <v>165.6</v>
      </c>
      <c r="F494" t="s">
        <v>206</v>
      </c>
      <c r="G494">
        <v>100</v>
      </c>
      <c r="H494" s="1">
        <v>165.6</v>
      </c>
      <c r="I494" s="21">
        <v>45187</v>
      </c>
      <c r="J494" s="21">
        <v>45190</v>
      </c>
      <c r="K494" s="21">
        <v>45190</v>
      </c>
      <c r="L494" t="s">
        <v>248</v>
      </c>
      <c r="M494" t="s">
        <v>97</v>
      </c>
      <c r="N494" t="s">
        <v>68</v>
      </c>
      <c r="O494">
        <v>1</v>
      </c>
      <c r="P494" t="s">
        <v>2065</v>
      </c>
      <c r="Q494" t="s">
        <v>4729</v>
      </c>
      <c r="R494" t="s">
        <v>4713</v>
      </c>
      <c r="S494" t="s">
        <v>4719</v>
      </c>
      <c r="T494">
        <f t="shared" si="14"/>
        <v>3</v>
      </c>
      <c r="U494" s="21">
        <f t="shared" si="15"/>
        <v>45190</v>
      </c>
    </row>
    <row r="495" spans="1:21" x14ac:dyDescent="0.35">
      <c r="A495" t="s">
        <v>4228</v>
      </c>
      <c r="B495" t="s">
        <v>4229</v>
      </c>
      <c r="C495" t="s">
        <v>30</v>
      </c>
      <c r="D495" t="s">
        <v>205</v>
      </c>
      <c r="E495" s="1">
        <v>51.84</v>
      </c>
      <c r="F495" t="s">
        <v>206</v>
      </c>
      <c r="G495">
        <v>80</v>
      </c>
      <c r="H495" s="1">
        <v>41.472000000000008</v>
      </c>
      <c r="I495" s="21">
        <v>45187</v>
      </c>
      <c r="J495" s="21">
        <v>45192</v>
      </c>
      <c r="K495" s="21">
        <v>45192</v>
      </c>
      <c r="L495" t="s">
        <v>238</v>
      </c>
      <c r="M495" t="s">
        <v>146</v>
      </c>
      <c r="N495" t="s">
        <v>73</v>
      </c>
      <c r="O495">
        <v>1</v>
      </c>
      <c r="P495" t="s">
        <v>2419</v>
      </c>
      <c r="Q495" t="s">
        <v>4519</v>
      </c>
      <c r="R495" t="s">
        <v>4726</v>
      </c>
      <c r="S495" t="s">
        <v>4717</v>
      </c>
      <c r="T495">
        <f t="shared" si="14"/>
        <v>5</v>
      </c>
      <c r="U495" s="21">
        <f t="shared" si="15"/>
        <v>45192</v>
      </c>
    </row>
    <row r="496" spans="1:21" x14ac:dyDescent="0.35">
      <c r="A496" t="s">
        <v>862</v>
      </c>
      <c r="B496" t="s">
        <v>863</v>
      </c>
      <c r="C496" t="s">
        <v>19</v>
      </c>
      <c r="D496" t="s">
        <v>205</v>
      </c>
      <c r="E496" s="1">
        <v>2003.52</v>
      </c>
      <c r="F496" t="s">
        <v>206</v>
      </c>
      <c r="G496">
        <v>80</v>
      </c>
      <c r="H496" s="1">
        <v>1602.816</v>
      </c>
      <c r="I496" s="21">
        <v>45186</v>
      </c>
      <c r="J496" s="21">
        <v>45188</v>
      </c>
      <c r="K496" s="21">
        <v>45188</v>
      </c>
      <c r="L496" t="s">
        <v>248</v>
      </c>
      <c r="M496" t="s">
        <v>82</v>
      </c>
      <c r="N496" t="s">
        <v>47</v>
      </c>
      <c r="O496">
        <v>1</v>
      </c>
      <c r="P496" t="s">
        <v>864</v>
      </c>
      <c r="Q496" t="s">
        <v>4602</v>
      </c>
      <c r="R496" t="s">
        <v>4712</v>
      </c>
      <c r="S496" t="s">
        <v>4718</v>
      </c>
      <c r="T496">
        <f t="shared" si="14"/>
        <v>2</v>
      </c>
      <c r="U496" s="21">
        <f t="shared" si="15"/>
        <v>45188</v>
      </c>
    </row>
    <row r="497" spans="1:21" x14ac:dyDescent="0.35">
      <c r="A497" t="s">
        <v>3275</v>
      </c>
      <c r="B497" t="s">
        <v>3276</v>
      </c>
      <c r="C497" t="s">
        <v>19</v>
      </c>
      <c r="D497" t="s">
        <v>205</v>
      </c>
      <c r="E497" s="1">
        <v>564.19500000000005</v>
      </c>
      <c r="F497" t="s">
        <v>206</v>
      </c>
      <c r="G497">
        <v>80</v>
      </c>
      <c r="H497" s="1">
        <v>451.35600000000005</v>
      </c>
      <c r="I497" s="21">
        <v>45186</v>
      </c>
      <c r="J497" s="21">
        <v>45192</v>
      </c>
      <c r="K497" s="21">
        <v>45192</v>
      </c>
      <c r="L497" t="s">
        <v>238</v>
      </c>
      <c r="M497" t="s">
        <v>33</v>
      </c>
      <c r="N497" t="s">
        <v>34</v>
      </c>
      <c r="O497">
        <v>1</v>
      </c>
      <c r="P497" t="s">
        <v>3277</v>
      </c>
      <c r="Q497" t="s">
        <v>4602</v>
      </c>
      <c r="R497" t="s">
        <v>4712</v>
      </c>
      <c r="S497" t="s">
        <v>4718</v>
      </c>
      <c r="T497">
        <f t="shared" si="14"/>
        <v>6</v>
      </c>
      <c r="U497" s="21">
        <f t="shared" si="15"/>
        <v>45192</v>
      </c>
    </row>
    <row r="498" spans="1:21" x14ac:dyDescent="0.35">
      <c r="A498" t="s">
        <v>4224</v>
      </c>
      <c r="B498" t="s">
        <v>4225</v>
      </c>
      <c r="C498" t="s">
        <v>19</v>
      </c>
      <c r="D498" t="s">
        <v>205</v>
      </c>
      <c r="E498" s="1">
        <v>6.0960000000000001</v>
      </c>
      <c r="F498" t="s">
        <v>206</v>
      </c>
      <c r="G498">
        <v>80</v>
      </c>
      <c r="H498" s="1">
        <v>4.8768000000000002</v>
      </c>
      <c r="I498" s="21">
        <v>45185</v>
      </c>
      <c r="J498" s="21">
        <v>45190</v>
      </c>
      <c r="K498" s="21">
        <v>45190</v>
      </c>
      <c r="L498" t="s">
        <v>207</v>
      </c>
      <c r="M498" t="s">
        <v>146</v>
      </c>
      <c r="N498" t="s">
        <v>73</v>
      </c>
      <c r="O498">
        <v>1</v>
      </c>
      <c r="P498" t="s">
        <v>3408</v>
      </c>
      <c r="Q498" t="s">
        <v>4526</v>
      </c>
      <c r="R498" t="s">
        <v>4726</v>
      </c>
      <c r="S498" t="s">
        <v>4717</v>
      </c>
      <c r="T498">
        <f t="shared" si="14"/>
        <v>5</v>
      </c>
      <c r="U498" s="21">
        <f t="shared" si="15"/>
        <v>45190</v>
      </c>
    </row>
    <row r="499" spans="1:21" x14ac:dyDescent="0.35">
      <c r="A499" t="s">
        <v>4226</v>
      </c>
      <c r="B499" t="s">
        <v>4227</v>
      </c>
      <c r="C499" t="s">
        <v>19</v>
      </c>
      <c r="D499" t="s">
        <v>205</v>
      </c>
      <c r="E499" s="1">
        <v>1114.2719999999999</v>
      </c>
      <c r="F499" t="s">
        <v>206</v>
      </c>
      <c r="G499">
        <v>80</v>
      </c>
      <c r="H499" s="1">
        <v>891.41759999999999</v>
      </c>
      <c r="I499" s="21">
        <v>45185</v>
      </c>
      <c r="J499" s="21">
        <v>45190</v>
      </c>
      <c r="K499" s="21">
        <v>45190</v>
      </c>
      <c r="L499" t="s">
        <v>238</v>
      </c>
      <c r="M499" t="s">
        <v>25</v>
      </c>
      <c r="N499" t="s">
        <v>26</v>
      </c>
      <c r="O499">
        <v>1</v>
      </c>
      <c r="P499" t="s">
        <v>2892</v>
      </c>
      <c r="Q499" t="s">
        <v>4602</v>
      </c>
      <c r="R499" t="s">
        <v>4712</v>
      </c>
      <c r="S499" t="s">
        <v>4718</v>
      </c>
      <c r="T499">
        <f t="shared" si="14"/>
        <v>5</v>
      </c>
      <c r="U499" s="21">
        <f t="shared" si="15"/>
        <v>45190</v>
      </c>
    </row>
    <row r="500" spans="1:21" x14ac:dyDescent="0.35">
      <c r="A500" t="s">
        <v>2082</v>
      </c>
      <c r="B500" t="s">
        <v>2083</v>
      </c>
      <c r="C500" t="s">
        <v>30</v>
      </c>
      <c r="D500" t="s">
        <v>212</v>
      </c>
      <c r="E500" s="1">
        <v>9.84</v>
      </c>
      <c r="F500" t="s">
        <v>206</v>
      </c>
      <c r="G500">
        <v>100</v>
      </c>
      <c r="H500" s="1">
        <v>9.84</v>
      </c>
      <c r="I500" s="21">
        <v>45185</v>
      </c>
      <c r="J500" s="21">
        <v>45189</v>
      </c>
      <c r="K500" s="21">
        <v>45189</v>
      </c>
      <c r="L500" t="s">
        <v>207</v>
      </c>
      <c r="M500" t="s">
        <v>67</v>
      </c>
      <c r="N500" t="s">
        <v>68</v>
      </c>
      <c r="O500">
        <v>1</v>
      </c>
      <c r="P500" t="s">
        <v>312</v>
      </c>
      <c r="Q500" t="s">
        <v>4550</v>
      </c>
      <c r="R500" t="s">
        <v>4726</v>
      </c>
      <c r="S500" t="s">
        <v>4717</v>
      </c>
      <c r="T500">
        <f t="shared" si="14"/>
        <v>4</v>
      </c>
      <c r="U500" s="21">
        <f t="shared" si="15"/>
        <v>45189</v>
      </c>
    </row>
    <row r="501" spans="1:21" x14ac:dyDescent="0.35">
      <c r="A501" t="s">
        <v>2080</v>
      </c>
      <c r="B501" t="s">
        <v>2081</v>
      </c>
      <c r="C501" t="s">
        <v>30</v>
      </c>
      <c r="D501" t="s">
        <v>205</v>
      </c>
      <c r="E501" s="1">
        <v>33.479999999999997</v>
      </c>
      <c r="F501" t="s">
        <v>206</v>
      </c>
      <c r="G501">
        <v>80</v>
      </c>
      <c r="H501" s="1">
        <v>26.783999999999999</v>
      </c>
      <c r="I501" s="21">
        <v>45184</v>
      </c>
      <c r="J501" s="21">
        <v>45188</v>
      </c>
      <c r="K501" s="21">
        <v>45188</v>
      </c>
      <c r="L501" t="s">
        <v>213</v>
      </c>
      <c r="M501" t="s">
        <v>33</v>
      </c>
      <c r="N501" t="s">
        <v>34</v>
      </c>
      <c r="O501">
        <v>1</v>
      </c>
      <c r="P501" t="s">
        <v>970</v>
      </c>
      <c r="Q501" t="s">
        <v>4729</v>
      </c>
      <c r="R501" t="s">
        <v>4725</v>
      </c>
      <c r="S501" t="s">
        <v>4718</v>
      </c>
      <c r="T501">
        <f t="shared" si="14"/>
        <v>4</v>
      </c>
      <c r="U501" s="21">
        <f t="shared" si="15"/>
        <v>45188</v>
      </c>
    </row>
    <row r="502" spans="1:21" x14ac:dyDescent="0.35">
      <c r="A502" t="s">
        <v>4222</v>
      </c>
      <c r="B502" t="s">
        <v>4223</v>
      </c>
      <c r="C502" t="s">
        <v>30</v>
      </c>
      <c r="D502" t="s">
        <v>212</v>
      </c>
      <c r="E502" s="1">
        <v>35.520000000000003</v>
      </c>
      <c r="F502" t="s">
        <v>206</v>
      </c>
      <c r="G502">
        <v>100</v>
      </c>
      <c r="H502" s="1">
        <v>35.520000000000003</v>
      </c>
      <c r="I502" s="21">
        <v>45182</v>
      </c>
      <c r="J502" s="21">
        <v>45188</v>
      </c>
      <c r="K502" s="21">
        <v>45188</v>
      </c>
      <c r="L502" t="s">
        <v>248</v>
      </c>
      <c r="M502" t="s">
        <v>54</v>
      </c>
      <c r="N502" t="s">
        <v>26</v>
      </c>
      <c r="O502">
        <v>1</v>
      </c>
      <c r="P502" t="s">
        <v>679</v>
      </c>
      <c r="Q502" t="s">
        <v>4532</v>
      </c>
      <c r="R502" t="s">
        <v>4726</v>
      </c>
      <c r="S502" t="s">
        <v>4717</v>
      </c>
      <c r="T502">
        <f t="shared" si="14"/>
        <v>6</v>
      </c>
      <c r="U502" s="21">
        <f t="shared" si="15"/>
        <v>45188</v>
      </c>
    </row>
    <row r="503" spans="1:21" x14ac:dyDescent="0.35">
      <c r="A503" t="s">
        <v>859</v>
      </c>
      <c r="B503" t="s">
        <v>860</v>
      </c>
      <c r="C503" t="s">
        <v>19</v>
      </c>
      <c r="D503" t="s">
        <v>212</v>
      </c>
      <c r="E503" s="1">
        <v>65.34</v>
      </c>
      <c r="F503" t="s">
        <v>206</v>
      </c>
      <c r="G503">
        <v>100</v>
      </c>
      <c r="H503" s="1">
        <v>65.34</v>
      </c>
      <c r="I503" s="21">
        <v>45182</v>
      </c>
      <c r="J503" s="21">
        <v>45186</v>
      </c>
      <c r="K503" s="21">
        <v>45186</v>
      </c>
      <c r="L503" t="s">
        <v>238</v>
      </c>
      <c r="M503" t="s">
        <v>72</v>
      </c>
      <c r="N503" t="s">
        <v>73</v>
      </c>
      <c r="O503">
        <v>1</v>
      </c>
      <c r="P503" t="s">
        <v>861</v>
      </c>
      <c r="Q503" t="s">
        <v>4535</v>
      </c>
      <c r="R503" t="s">
        <v>4710</v>
      </c>
      <c r="S503" t="s">
        <v>4717</v>
      </c>
      <c r="T503">
        <f t="shared" si="14"/>
        <v>4</v>
      </c>
      <c r="U503" s="21">
        <f t="shared" si="15"/>
        <v>45186</v>
      </c>
    </row>
    <row r="504" spans="1:21" x14ac:dyDescent="0.35">
      <c r="A504" t="s">
        <v>856</v>
      </c>
      <c r="B504" t="s">
        <v>857</v>
      </c>
      <c r="C504" t="s">
        <v>19</v>
      </c>
      <c r="D504" t="s">
        <v>205</v>
      </c>
      <c r="E504" s="1">
        <v>1029.95</v>
      </c>
      <c r="F504" t="s">
        <v>206</v>
      </c>
      <c r="G504">
        <v>80</v>
      </c>
      <c r="H504" s="1">
        <v>823.96</v>
      </c>
      <c r="I504" s="21">
        <v>45181</v>
      </c>
      <c r="J504" s="21">
        <v>45187</v>
      </c>
      <c r="K504" s="21">
        <v>45187</v>
      </c>
      <c r="L504" t="s">
        <v>220</v>
      </c>
      <c r="M504" t="s">
        <v>46</v>
      </c>
      <c r="N504" t="s">
        <v>47</v>
      </c>
      <c r="O504">
        <v>1</v>
      </c>
      <c r="P504" t="s">
        <v>858</v>
      </c>
      <c r="Q504" t="s">
        <v>4561</v>
      </c>
      <c r="R504" t="s">
        <v>4711</v>
      </c>
      <c r="S504" t="s">
        <v>4719</v>
      </c>
      <c r="T504">
        <f t="shared" si="14"/>
        <v>6</v>
      </c>
      <c r="U504" s="21">
        <f t="shared" si="15"/>
        <v>45187</v>
      </c>
    </row>
    <row r="505" spans="1:21" x14ac:dyDescent="0.35">
      <c r="A505" t="s">
        <v>4219</v>
      </c>
      <c r="B505" t="s">
        <v>4220</v>
      </c>
      <c r="C505" t="s">
        <v>30</v>
      </c>
      <c r="D505" t="s">
        <v>21</v>
      </c>
      <c r="E505" s="1">
        <v>33.216000000000001</v>
      </c>
      <c r="F505" t="s">
        <v>22</v>
      </c>
      <c r="G505">
        <v>0</v>
      </c>
      <c r="H505" s="1">
        <v>0</v>
      </c>
      <c r="I505" s="21">
        <v>45181</v>
      </c>
      <c r="J505" s="21">
        <v>45183</v>
      </c>
      <c r="K505" s="21">
        <v>45183</v>
      </c>
      <c r="L505" t="s">
        <v>53</v>
      </c>
      <c r="M505" t="s">
        <v>46</v>
      </c>
      <c r="N505" t="s">
        <v>47</v>
      </c>
      <c r="O505">
        <v>1</v>
      </c>
      <c r="P505" t="s">
        <v>4221</v>
      </c>
      <c r="Q505" t="s">
        <v>4550</v>
      </c>
      <c r="R505" t="s">
        <v>4726</v>
      </c>
      <c r="S505" t="s">
        <v>4717</v>
      </c>
      <c r="T505">
        <f t="shared" si="14"/>
        <v>2</v>
      </c>
      <c r="U505" s="21">
        <f t="shared" si="15"/>
        <v>45183</v>
      </c>
    </row>
    <row r="506" spans="1:21" x14ac:dyDescent="0.35">
      <c r="A506" t="s">
        <v>3273</v>
      </c>
      <c r="B506" t="s">
        <v>3274</v>
      </c>
      <c r="C506" t="s">
        <v>30</v>
      </c>
      <c r="D506" t="s">
        <v>212</v>
      </c>
      <c r="E506" s="1">
        <v>63.88</v>
      </c>
      <c r="F506" t="s">
        <v>206</v>
      </c>
      <c r="G506">
        <v>100</v>
      </c>
      <c r="H506" s="1">
        <v>63.88</v>
      </c>
      <c r="I506" s="21">
        <v>45181</v>
      </c>
      <c r="J506" s="21">
        <v>45184</v>
      </c>
      <c r="K506" s="21">
        <v>45184</v>
      </c>
      <c r="L506" t="s">
        <v>220</v>
      </c>
      <c r="M506" t="s">
        <v>33</v>
      </c>
      <c r="N506" t="s">
        <v>34</v>
      </c>
      <c r="O506">
        <v>1</v>
      </c>
      <c r="P506" t="s">
        <v>2158</v>
      </c>
      <c r="Q506" t="s">
        <v>4540</v>
      </c>
      <c r="R506" t="s">
        <v>4713</v>
      </c>
      <c r="S506" t="s">
        <v>4719</v>
      </c>
      <c r="T506">
        <f t="shared" si="14"/>
        <v>3</v>
      </c>
      <c r="U506" s="21">
        <f t="shared" si="15"/>
        <v>45184</v>
      </c>
    </row>
    <row r="507" spans="1:21" x14ac:dyDescent="0.35">
      <c r="A507" t="s">
        <v>2077</v>
      </c>
      <c r="B507" t="s">
        <v>2078</v>
      </c>
      <c r="C507" t="s">
        <v>30</v>
      </c>
      <c r="D507" t="s">
        <v>205</v>
      </c>
      <c r="E507" s="1">
        <v>62.82</v>
      </c>
      <c r="F507" t="s">
        <v>206</v>
      </c>
      <c r="G507">
        <v>80</v>
      </c>
      <c r="H507" s="1">
        <v>50.256</v>
      </c>
      <c r="I507" s="21">
        <v>45180</v>
      </c>
      <c r="J507" s="21">
        <v>45182</v>
      </c>
      <c r="K507" s="21">
        <v>45182</v>
      </c>
      <c r="L507" t="s">
        <v>220</v>
      </c>
      <c r="M507" t="s">
        <v>146</v>
      </c>
      <c r="N507" t="s">
        <v>73</v>
      </c>
      <c r="O507">
        <v>1</v>
      </c>
      <c r="P507" t="s">
        <v>2079</v>
      </c>
      <c r="Q507" t="s">
        <v>4615</v>
      </c>
      <c r="R507" t="s">
        <v>4726</v>
      </c>
      <c r="S507" t="s">
        <v>4717</v>
      </c>
      <c r="T507">
        <f t="shared" si="14"/>
        <v>2</v>
      </c>
      <c r="U507" s="21">
        <f t="shared" si="15"/>
        <v>45182</v>
      </c>
    </row>
    <row r="508" spans="1:21" x14ac:dyDescent="0.35">
      <c r="A508" t="s">
        <v>853</v>
      </c>
      <c r="B508" t="s">
        <v>854</v>
      </c>
      <c r="C508" t="s">
        <v>30</v>
      </c>
      <c r="D508" t="s">
        <v>212</v>
      </c>
      <c r="E508" s="1">
        <v>15.26</v>
      </c>
      <c r="F508" t="s">
        <v>206</v>
      </c>
      <c r="G508">
        <v>100</v>
      </c>
      <c r="H508" s="1">
        <v>15.26</v>
      </c>
      <c r="I508" s="21">
        <v>45180</v>
      </c>
      <c r="J508" s="21">
        <v>45182</v>
      </c>
      <c r="K508" s="21">
        <v>45182</v>
      </c>
      <c r="L508" t="s">
        <v>220</v>
      </c>
      <c r="M508" t="s">
        <v>67</v>
      </c>
      <c r="N508" t="s">
        <v>68</v>
      </c>
      <c r="O508">
        <v>1</v>
      </c>
      <c r="P508" t="s">
        <v>855</v>
      </c>
      <c r="Q508" t="s">
        <v>4518</v>
      </c>
      <c r="R508" t="s">
        <v>4726</v>
      </c>
      <c r="S508" t="s">
        <v>4717</v>
      </c>
      <c r="T508">
        <f t="shared" si="14"/>
        <v>2</v>
      </c>
      <c r="U508" s="21">
        <f t="shared" si="15"/>
        <v>45182</v>
      </c>
    </row>
    <row r="509" spans="1:21" x14ac:dyDescent="0.35">
      <c r="A509" t="s">
        <v>4217</v>
      </c>
      <c r="B509" t="s">
        <v>4218</v>
      </c>
      <c r="C509" t="s">
        <v>19</v>
      </c>
      <c r="D509" t="s">
        <v>205</v>
      </c>
      <c r="E509" s="1">
        <v>679.96</v>
      </c>
      <c r="F509" t="s">
        <v>206</v>
      </c>
      <c r="G509">
        <v>80</v>
      </c>
      <c r="H509" s="1">
        <v>543.96800000000007</v>
      </c>
      <c r="I509" s="21">
        <v>45180</v>
      </c>
      <c r="J509" s="21">
        <v>45185</v>
      </c>
      <c r="K509" s="21">
        <v>45185</v>
      </c>
      <c r="L509" t="s">
        <v>238</v>
      </c>
      <c r="M509" t="s">
        <v>33</v>
      </c>
      <c r="N509" t="s">
        <v>34</v>
      </c>
      <c r="O509">
        <v>1</v>
      </c>
      <c r="P509" t="s">
        <v>4128</v>
      </c>
      <c r="Q509" t="s">
        <v>4560</v>
      </c>
      <c r="R509" t="s">
        <v>4726</v>
      </c>
      <c r="S509" t="s">
        <v>4717</v>
      </c>
      <c r="T509">
        <f t="shared" si="14"/>
        <v>5</v>
      </c>
      <c r="U509" s="21">
        <f t="shared" si="15"/>
        <v>45185</v>
      </c>
    </row>
    <row r="510" spans="1:21" x14ac:dyDescent="0.35">
      <c r="A510" t="s">
        <v>4214</v>
      </c>
      <c r="B510" t="s">
        <v>4215</v>
      </c>
      <c r="C510" t="s">
        <v>19</v>
      </c>
      <c r="D510" t="s">
        <v>212</v>
      </c>
      <c r="E510" s="1">
        <v>9.3279999999999994</v>
      </c>
      <c r="F510" t="s">
        <v>206</v>
      </c>
      <c r="G510">
        <v>100</v>
      </c>
      <c r="H510" s="1">
        <v>9.3279999999999994</v>
      </c>
      <c r="I510" s="21">
        <v>45179</v>
      </c>
      <c r="J510" s="21">
        <v>45183</v>
      </c>
      <c r="K510" s="21">
        <v>45183</v>
      </c>
      <c r="L510" t="s">
        <v>238</v>
      </c>
      <c r="M510" t="s">
        <v>82</v>
      </c>
      <c r="N510" t="s">
        <v>47</v>
      </c>
      <c r="O510">
        <v>1</v>
      </c>
      <c r="P510" t="s">
        <v>4216</v>
      </c>
      <c r="Q510" t="s">
        <v>4516</v>
      </c>
      <c r="R510" t="s">
        <v>4726</v>
      </c>
      <c r="S510" t="s">
        <v>4717</v>
      </c>
      <c r="T510">
        <f t="shared" si="14"/>
        <v>4</v>
      </c>
      <c r="U510" s="21">
        <f t="shared" si="15"/>
        <v>45183</v>
      </c>
    </row>
    <row r="511" spans="1:21" x14ac:dyDescent="0.35">
      <c r="A511" t="s">
        <v>4211</v>
      </c>
      <c r="B511" t="s">
        <v>4212</v>
      </c>
      <c r="C511" t="s">
        <v>30</v>
      </c>
      <c r="D511" t="s">
        <v>212</v>
      </c>
      <c r="E511" s="1">
        <v>9.3919999999999995</v>
      </c>
      <c r="F511" t="s">
        <v>206</v>
      </c>
      <c r="G511">
        <v>100</v>
      </c>
      <c r="H511" s="1">
        <v>9.3919999999999995</v>
      </c>
      <c r="I511" s="21">
        <v>45179</v>
      </c>
      <c r="J511" s="21">
        <v>45181</v>
      </c>
      <c r="K511" s="21">
        <v>45181</v>
      </c>
      <c r="L511" t="s">
        <v>213</v>
      </c>
      <c r="M511" t="s">
        <v>72</v>
      </c>
      <c r="N511" t="s">
        <v>73</v>
      </c>
      <c r="O511">
        <v>1</v>
      </c>
      <c r="P511" t="s">
        <v>4213</v>
      </c>
      <c r="Q511" t="s">
        <v>4729</v>
      </c>
      <c r="R511" t="s">
        <v>4726</v>
      </c>
      <c r="S511" t="s">
        <v>4717</v>
      </c>
      <c r="T511">
        <f t="shared" si="14"/>
        <v>2</v>
      </c>
      <c r="U511" s="21">
        <f t="shared" si="15"/>
        <v>45181</v>
      </c>
    </row>
    <row r="512" spans="1:21" x14ac:dyDescent="0.35">
      <c r="A512" t="s">
        <v>3270</v>
      </c>
      <c r="B512" t="s">
        <v>3271</v>
      </c>
      <c r="C512" t="s">
        <v>19</v>
      </c>
      <c r="D512" t="s">
        <v>212</v>
      </c>
      <c r="E512" s="1">
        <v>18.54</v>
      </c>
      <c r="F512" t="s">
        <v>206</v>
      </c>
      <c r="G512">
        <v>100</v>
      </c>
      <c r="H512" s="1">
        <v>18.54</v>
      </c>
      <c r="I512" s="21">
        <v>45179</v>
      </c>
      <c r="J512" s="21">
        <v>45184</v>
      </c>
      <c r="K512" s="21">
        <v>45184</v>
      </c>
      <c r="L512" t="s">
        <v>220</v>
      </c>
      <c r="M512" t="s">
        <v>97</v>
      </c>
      <c r="N512" t="s">
        <v>68</v>
      </c>
      <c r="O512">
        <v>1</v>
      </c>
      <c r="P512" t="s">
        <v>3272</v>
      </c>
      <c r="Q512" t="s">
        <v>4729</v>
      </c>
      <c r="R512" t="s">
        <v>4726</v>
      </c>
      <c r="S512" t="s">
        <v>4717</v>
      </c>
      <c r="T512">
        <f t="shared" si="14"/>
        <v>5</v>
      </c>
      <c r="U512" s="21">
        <f t="shared" si="15"/>
        <v>45184</v>
      </c>
    </row>
    <row r="513" spans="1:21" x14ac:dyDescent="0.35">
      <c r="A513" t="s">
        <v>847</v>
      </c>
      <c r="B513" t="s">
        <v>848</v>
      </c>
      <c r="C513" t="s">
        <v>30</v>
      </c>
      <c r="D513" t="s">
        <v>205</v>
      </c>
      <c r="E513" s="1">
        <v>405.86</v>
      </c>
      <c r="F513" t="s">
        <v>206</v>
      </c>
      <c r="G513">
        <v>80</v>
      </c>
      <c r="H513" s="1">
        <v>324.68800000000005</v>
      </c>
      <c r="I513" s="21">
        <v>45178</v>
      </c>
      <c r="J513" s="21">
        <v>45178</v>
      </c>
      <c r="K513" s="21">
        <v>45178</v>
      </c>
      <c r="L513" t="s">
        <v>248</v>
      </c>
      <c r="M513" t="s">
        <v>67</v>
      </c>
      <c r="N513" t="s">
        <v>68</v>
      </c>
      <c r="O513">
        <v>1</v>
      </c>
      <c r="P513" t="s">
        <v>849</v>
      </c>
      <c r="Q513" t="s">
        <v>4566</v>
      </c>
      <c r="R513" t="s">
        <v>4723</v>
      </c>
      <c r="S513" t="s">
        <v>4718</v>
      </c>
      <c r="T513">
        <f t="shared" si="14"/>
        <v>0</v>
      </c>
      <c r="U513" s="21">
        <f t="shared" si="15"/>
        <v>45178</v>
      </c>
    </row>
    <row r="514" spans="1:21" x14ac:dyDescent="0.35">
      <c r="A514" t="s">
        <v>850</v>
      </c>
      <c r="B514" t="s">
        <v>851</v>
      </c>
      <c r="C514" t="s">
        <v>30</v>
      </c>
      <c r="D514" t="s">
        <v>205</v>
      </c>
      <c r="E514" s="1">
        <v>968.74400000000003</v>
      </c>
      <c r="F514" t="s">
        <v>206</v>
      </c>
      <c r="G514">
        <v>80</v>
      </c>
      <c r="H514" s="1">
        <v>774.99520000000007</v>
      </c>
      <c r="I514" s="21">
        <v>45178</v>
      </c>
      <c r="J514" s="21">
        <v>45180</v>
      </c>
      <c r="K514" s="21">
        <v>45180</v>
      </c>
      <c r="L514" t="s">
        <v>248</v>
      </c>
      <c r="M514" t="s">
        <v>82</v>
      </c>
      <c r="N514" t="s">
        <v>47</v>
      </c>
      <c r="O514">
        <v>1</v>
      </c>
      <c r="P514" t="s">
        <v>852</v>
      </c>
      <c r="Q514" t="s">
        <v>4729</v>
      </c>
      <c r="R514" t="s">
        <v>4726</v>
      </c>
      <c r="S514" t="s">
        <v>4717</v>
      </c>
      <c r="T514">
        <f t="shared" ref="T514:T577" si="16">J514-I514</f>
        <v>2</v>
      </c>
      <c r="U514" s="21">
        <f t="shared" si="15"/>
        <v>45180</v>
      </c>
    </row>
    <row r="515" spans="1:21" x14ac:dyDescent="0.35">
      <c r="A515" t="s">
        <v>2074</v>
      </c>
      <c r="B515" t="s">
        <v>2075</v>
      </c>
      <c r="C515" t="s">
        <v>19</v>
      </c>
      <c r="D515" t="s">
        <v>212</v>
      </c>
      <c r="E515" s="1">
        <v>16.559999999999999</v>
      </c>
      <c r="F515" t="s">
        <v>206</v>
      </c>
      <c r="G515">
        <v>100</v>
      </c>
      <c r="H515" s="1">
        <v>16.559999999999999</v>
      </c>
      <c r="I515" s="21">
        <v>45176</v>
      </c>
      <c r="J515" s="21">
        <v>45181</v>
      </c>
      <c r="K515" s="21">
        <v>45181</v>
      </c>
      <c r="L515" t="s">
        <v>248</v>
      </c>
      <c r="M515" t="s">
        <v>25</v>
      </c>
      <c r="N515" t="s">
        <v>26</v>
      </c>
      <c r="O515">
        <v>1</v>
      </c>
      <c r="P515" t="s">
        <v>2076</v>
      </c>
      <c r="Q515" t="s">
        <v>4778</v>
      </c>
      <c r="R515" t="s">
        <v>4713</v>
      </c>
      <c r="S515" t="s">
        <v>4719</v>
      </c>
      <c r="T515">
        <f t="shared" si="16"/>
        <v>5</v>
      </c>
      <c r="U515" s="21">
        <f t="shared" ref="U515:U578" si="17">J515</f>
        <v>45181</v>
      </c>
    </row>
    <row r="516" spans="1:21" x14ac:dyDescent="0.35">
      <c r="A516" t="s">
        <v>2071</v>
      </c>
      <c r="B516" t="s">
        <v>2072</v>
      </c>
      <c r="C516" t="s">
        <v>19</v>
      </c>
      <c r="D516" t="s">
        <v>212</v>
      </c>
      <c r="E516" s="1">
        <v>68.111999999999995</v>
      </c>
      <c r="F516" t="s">
        <v>206</v>
      </c>
      <c r="G516">
        <v>100</v>
      </c>
      <c r="H516" s="1">
        <v>68.111999999999995</v>
      </c>
      <c r="I516" s="21">
        <v>45176</v>
      </c>
      <c r="J516" s="21">
        <v>45178</v>
      </c>
      <c r="K516" s="21">
        <v>45178</v>
      </c>
      <c r="L516" t="s">
        <v>207</v>
      </c>
      <c r="M516" t="s">
        <v>97</v>
      </c>
      <c r="N516" t="s">
        <v>68</v>
      </c>
      <c r="O516">
        <v>1</v>
      </c>
      <c r="P516" t="s">
        <v>2073</v>
      </c>
      <c r="Q516" t="s">
        <v>4574</v>
      </c>
      <c r="R516" t="s">
        <v>4713</v>
      </c>
      <c r="S516" t="s">
        <v>4719</v>
      </c>
      <c r="T516">
        <f t="shared" si="16"/>
        <v>2</v>
      </c>
      <c r="U516" s="21">
        <f t="shared" si="17"/>
        <v>45178</v>
      </c>
    </row>
    <row r="517" spans="1:21" x14ac:dyDescent="0.35">
      <c r="A517" t="s">
        <v>3264</v>
      </c>
      <c r="B517" t="s">
        <v>3265</v>
      </c>
      <c r="C517" t="s">
        <v>19</v>
      </c>
      <c r="D517" t="s">
        <v>21</v>
      </c>
      <c r="E517" s="1">
        <v>112.11999999999999</v>
      </c>
      <c r="F517" t="s">
        <v>22</v>
      </c>
      <c r="G517">
        <v>0</v>
      </c>
      <c r="H517" s="1">
        <v>0</v>
      </c>
      <c r="I517" s="21">
        <v>45175</v>
      </c>
      <c r="J517" s="21">
        <v>45176</v>
      </c>
      <c r="K517" s="21">
        <v>45176</v>
      </c>
      <c r="L517" t="s">
        <v>53</v>
      </c>
      <c r="M517" t="s">
        <v>46</v>
      </c>
      <c r="N517" t="s">
        <v>47</v>
      </c>
      <c r="O517">
        <v>1</v>
      </c>
      <c r="P517" t="s">
        <v>2125</v>
      </c>
      <c r="Q517" t="s">
        <v>4729</v>
      </c>
      <c r="R517" t="s">
        <v>4726</v>
      </c>
      <c r="S517" t="s">
        <v>4717</v>
      </c>
      <c r="T517">
        <f t="shared" si="16"/>
        <v>1</v>
      </c>
      <c r="U517" s="21">
        <f t="shared" si="17"/>
        <v>45176</v>
      </c>
    </row>
    <row r="518" spans="1:21" x14ac:dyDescent="0.35">
      <c r="A518" t="s">
        <v>4207</v>
      </c>
      <c r="B518" t="s">
        <v>4208</v>
      </c>
      <c r="C518" t="s">
        <v>19</v>
      </c>
      <c r="D518" t="s">
        <v>205</v>
      </c>
      <c r="E518" s="1">
        <v>48.72</v>
      </c>
      <c r="F518" t="s">
        <v>206</v>
      </c>
      <c r="G518">
        <v>80</v>
      </c>
      <c r="H518" s="1">
        <v>38.975999999999999</v>
      </c>
      <c r="I518" s="21">
        <v>45175</v>
      </c>
      <c r="J518" s="21">
        <v>45181</v>
      </c>
      <c r="K518" s="21">
        <v>45181</v>
      </c>
      <c r="L518" t="s">
        <v>234</v>
      </c>
      <c r="M518" t="s">
        <v>67</v>
      </c>
      <c r="N518" t="s">
        <v>68</v>
      </c>
      <c r="O518">
        <v>1</v>
      </c>
      <c r="P518" t="s">
        <v>1577</v>
      </c>
      <c r="Q518" t="s">
        <v>4526</v>
      </c>
      <c r="R518" t="s">
        <v>4777</v>
      </c>
      <c r="S518" t="s">
        <v>4718</v>
      </c>
      <c r="T518">
        <f t="shared" si="16"/>
        <v>6</v>
      </c>
      <c r="U518" s="21">
        <f t="shared" si="17"/>
        <v>45181</v>
      </c>
    </row>
    <row r="519" spans="1:21" x14ac:dyDescent="0.35">
      <c r="A519" t="s">
        <v>3262</v>
      </c>
      <c r="B519" t="s">
        <v>3263</v>
      </c>
      <c r="C519" t="s">
        <v>30</v>
      </c>
      <c r="D519" t="s">
        <v>205</v>
      </c>
      <c r="E519" s="1">
        <v>772.67999999999904</v>
      </c>
      <c r="F519" t="s">
        <v>206</v>
      </c>
      <c r="G519">
        <v>80</v>
      </c>
      <c r="H519" s="1">
        <v>618.14399999999932</v>
      </c>
      <c r="I519" s="21">
        <v>45175</v>
      </c>
      <c r="J519" s="21">
        <v>45180</v>
      </c>
      <c r="K519" s="21">
        <v>45180</v>
      </c>
      <c r="L519" t="s">
        <v>213</v>
      </c>
      <c r="M519" t="s">
        <v>72</v>
      </c>
      <c r="N519" t="s">
        <v>73</v>
      </c>
      <c r="O519">
        <v>1</v>
      </c>
      <c r="P519" t="s">
        <v>1248</v>
      </c>
      <c r="Q519" t="s">
        <v>4560</v>
      </c>
      <c r="R519" t="s">
        <v>4709</v>
      </c>
      <c r="S519" t="s">
        <v>4717</v>
      </c>
      <c r="T519">
        <f t="shared" si="16"/>
        <v>5</v>
      </c>
      <c r="U519" s="21">
        <f t="shared" si="17"/>
        <v>45180</v>
      </c>
    </row>
    <row r="520" spans="1:21" x14ac:dyDescent="0.35">
      <c r="A520" t="s">
        <v>841</v>
      </c>
      <c r="B520" t="s">
        <v>842</v>
      </c>
      <c r="C520" t="s">
        <v>19</v>
      </c>
      <c r="D520" t="s">
        <v>205</v>
      </c>
      <c r="E520" s="1">
        <v>18.192</v>
      </c>
      <c r="F520" t="s">
        <v>206</v>
      </c>
      <c r="G520">
        <v>80</v>
      </c>
      <c r="H520" s="1">
        <v>14.553600000000001</v>
      </c>
      <c r="I520" s="21">
        <v>45175</v>
      </c>
      <c r="J520" s="21">
        <v>45177</v>
      </c>
      <c r="K520" s="21">
        <v>45177</v>
      </c>
      <c r="L520" t="s">
        <v>234</v>
      </c>
      <c r="M520" t="s">
        <v>46</v>
      </c>
      <c r="N520" t="s">
        <v>47</v>
      </c>
      <c r="O520">
        <v>1</v>
      </c>
      <c r="P520" t="s">
        <v>843</v>
      </c>
      <c r="Q520" t="s">
        <v>4528</v>
      </c>
      <c r="R520" t="s">
        <v>4710</v>
      </c>
      <c r="S520" t="s">
        <v>4717</v>
      </c>
      <c r="T520">
        <f t="shared" si="16"/>
        <v>2</v>
      </c>
      <c r="U520" s="21">
        <f t="shared" si="17"/>
        <v>45177</v>
      </c>
    </row>
    <row r="521" spans="1:21" x14ac:dyDescent="0.35">
      <c r="A521" t="s">
        <v>3266</v>
      </c>
      <c r="B521" t="s">
        <v>3267</v>
      </c>
      <c r="C521" t="s">
        <v>19</v>
      </c>
      <c r="D521" t="s">
        <v>205</v>
      </c>
      <c r="E521" s="1">
        <v>15.528</v>
      </c>
      <c r="F521" t="s">
        <v>206</v>
      </c>
      <c r="G521">
        <v>80</v>
      </c>
      <c r="H521" s="1">
        <v>12.422400000000001</v>
      </c>
      <c r="I521" s="21">
        <v>45175</v>
      </c>
      <c r="J521" s="21">
        <v>45180</v>
      </c>
      <c r="K521" s="21">
        <v>45180</v>
      </c>
      <c r="L521" t="s">
        <v>238</v>
      </c>
      <c r="M521" t="s">
        <v>67</v>
      </c>
      <c r="N521" t="s">
        <v>68</v>
      </c>
      <c r="O521">
        <v>1</v>
      </c>
      <c r="P521" t="s">
        <v>469</v>
      </c>
      <c r="Q521" t="s">
        <v>4528</v>
      </c>
      <c r="R521" t="s">
        <v>4721</v>
      </c>
      <c r="S521" t="s">
        <v>4717</v>
      </c>
      <c r="T521">
        <f t="shared" si="16"/>
        <v>5</v>
      </c>
      <c r="U521" s="21">
        <f t="shared" si="17"/>
        <v>45180</v>
      </c>
    </row>
    <row r="522" spans="1:21" x14ac:dyDescent="0.35">
      <c r="A522" t="s">
        <v>2069</v>
      </c>
      <c r="B522" t="s">
        <v>2070</v>
      </c>
      <c r="C522" t="s">
        <v>19</v>
      </c>
      <c r="D522" t="s">
        <v>205</v>
      </c>
      <c r="E522" s="1">
        <v>59.808</v>
      </c>
      <c r="F522" t="s">
        <v>206</v>
      </c>
      <c r="G522">
        <v>80</v>
      </c>
      <c r="H522" s="1">
        <v>47.846400000000003</v>
      </c>
      <c r="I522" s="21">
        <v>45175</v>
      </c>
      <c r="J522" s="21">
        <v>45181</v>
      </c>
      <c r="K522" s="21">
        <v>45181</v>
      </c>
      <c r="L522" t="s">
        <v>238</v>
      </c>
      <c r="M522" t="s">
        <v>54</v>
      </c>
      <c r="N522" t="s">
        <v>26</v>
      </c>
      <c r="O522">
        <v>1</v>
      </c>
      <c r="P522" t="s">
        <v>136</v>
      </c>
      <c r="Q522" t="s">
        <v>4528</v>
      </c>
      <c r="R522" t="s">
        <v>4726</v>
      </c>
      <c r="S522" t="s">
        <v>4717</v>
      </c>
      <c r="T522">
        <f t="shared" si="16"/>
        <v>6</v>
      </c>
      <c r="U522" s="21">
        <f t="shared" si="17"/>
        <v>45181</v>
      </c>
    </row>
    <row r="523" spans="1:21" x14ac:dyDescent="0.35">
      <c r="A523" t="s">
        <v>4209</v>
      </c>
      <c r="B523" t="s">
        <v>4210</v>
      </c>
      <c r="C523" t="s">
        <v>30</v>
      </c>
      <c r="D523" t="s">
        <v>212</v>
      </c>
      <c r="E523" s="1">
        <v>205.666</v>
      </c>
      <c r="F523" t="s">
        <v>206</v>
      </c>
      <c r="G523">
        <v>100</v>
      </c>
      <c r="H523" s="1">
        <v>205.666</v>
      </c>
      <c r="I523" s="21">
        <v>45175</v>
      </c>
      <c r="J523" s="21">
        <v>45177</v>
      </c>
      <c r="K523" s="21">
        <v>45177</v>
      </c>
      <c r="L523" t="s">
        <v>248</v>
      </c>
      <c r="M523" t="s">
        <v>146</v>
      </c>
      <c r="N523" t="s">
        <v>73</v>
      </c>
      <c r="O523">
        <v>1</v>
      </c>
      <c r="P523" t="s">
        <v>946</v>
      </c>
      <c r="Q523" t="s">
        <v>4606</v>
      </c>
      <c r="R523" t="s">
        <v>4723</v>
      </c>
      <c r="S523" t="s">
        <v>4718</v>
      </c>
      <c r="T523">
        <f t="shared" si="16"/>
        <v>2</v>
      </c>
      <c r="U523" s="21">
        <f t="shared" si="17"/>
        <v>45177</v>
      </c>
    </row>
    <row r="524" spans="1:21" x14ac:dyDescent="0.35">
      <c r="A524" t="s">
        <v>2066</v>
      </c>
      <c r="B524" t="s">
        <v>2067</v>
      </c>
      <c r="C524" t="s">
        <v>30</v>
      </c>
      <c r="D524" t="s">
        <v>205</v>
      </c>
      <c r="E524" s="1">
        <v>384.45</v>
      </c>
      <c r="F524" t="s">
        <v>206</v>
      </c>
      <c r="G524">
        <v>80</v>
      </c>
      <c r="H524" s="1">
        <v>307.56</v>
      </c>
      <c r="I524" s="21">
        <v>45175</v>
      </c>
      <c r="J524" s="21">
        <v>45176</v>
      </c>
      <c r="K524" s="21">
        <v>45176</v>
      </c>
      <c r="L524" t="s">
        <v>234</v>
      </c>
      <c r="M524" t="s">
        <v>97</v>
      </c>
      <c r="N524" t="s">
        <v>68</v>
      </c>
      <c r="O524">
        <v>1</v>
      </c>
      <c r="P524" t="s">
        <v>2068</v>
      </c>
      <c r="Q524" t="s">
        <v>4552</v>
      </c>
      <c r="R524" t="s">
        <v>4711</v>
      </c>
      <c r="S524" t="s">
        <v>4719</v>
      </c>
      <c r="T524">
        <f t="shared" si="16"/>
        <v>1</v>
      </c>
      <c r="U524" s="21">
        <f t="shared" si="17"/>
        <v>45176</v>
      </c>
    </row>
    <row r="525" spans="1:21" x14ac:dyDescent="0.35">
      <c r="A525" t="s">
        <v>844</v>
      </c>
      <c r="B525" t="s">
        <v>845</v>
      </c>
      <c r="C525" t="s">
        <v>19</v>
      </c>
      <c r="D525" t="s">
        <v>212</v>
      </c>
      <c r="E525" s="1">
        <v>21.92</v>
      </c>
      <c r="F525" t="s">
        <v>206</v>
      </c>
      <c r="G525">
        <v>100</v>
      </c>
      <c r="H525" s="1">
        <v>21.92</v>
      </c>
      <c r="I525" s="21">
        <v>45175</v>
      </c>
      <c r="J525" s="21">
        <v>45177</v>
      </c>
      <c r="K525" s="21">
        <v>45177</v>
      </c>
      <c r="L525" t="s">
        <v>238</v>
      </c>
      <c r="M525" t="s">
        <v>72</v>
      </c>
      <c r="N525" t="s">
        <v>73</v>
      </c>
      <c r="O525">
        <v>1</v>
      </c>
      <c r="P525" t="s">
        <v>846</v>
      </c>
      <c r="Q525" t="s">
        <v>4544</v>
      </c>
      <c r="R525" t="s">
        <v>4726</v>
      </c>
      <c r="S525" t="s">
        <v>4717</v>
      </c>
      <c r="T525">
        <f t="shared" si="16"/>
        <v>2</v>
      </c>
      <c r="U525" s="21">
        <f t="shared" si="17"/>
        <v>45177</v>
      </c>
    </row>
    <row r="526" spans="1:21" x14ac:dyDescent="0.35">
      <c r="A526" t="s">
        <v>2063</v>
      </c>
      <c r="B526" t="s">
        <v>2064</v>
      </c>
      <c r="C526" t="s">
        <v>30</v>
      </c>
      <c r="D526" t="s">
        <v>205</v>
      </c>
      <c r="E526" s="1">
        <v>165.6</v>
      </c>
      <c r="F526" t="s">
        <v>206</v>
      </c>
      <c r="G526">
        <v>80</v>
      </c>
      <c r="H526" s="1">
        <v>132.47999999999999</v>
      </c>
      <c r="I526" s="21">
        <v>45175</v>
      </c>
      <c r="J526" s="21">
        <v>45179</v>
      </c>
      <c r="K526" s="21">
        <v>45179</v>
      </c>
      <c r="L526" t="s">
        <v>238</v>
      </c>
      <c r="M526" t="s">
        <v>97</v>
      </c>
      <c r="N526" t="s">
        <v>68</v>
      </c>
      <c r="O526">
        <v>1</v>
      </c>
      <c r="P526" t="s">
        <v>2065</v>
      </c>
      <c r="Q526" t="s">
        <v>4729</v>
      </c>
      <c r="R526" t="s">
        <v>4713</v>
      </c>
      <c r="S526" t="s">
        <v>4719</v>
      </c>
      <c r="T526">
        <f t="shared" si="16"/>
        <v>4</v>
      </c>
      <c r="U526" s="21">
        <f t="shared" si="17"/>
        <v>45179</v>
      </c>
    </row>
    <row r="527" spans="1:21" x14ac:dyDescent="0.35">
      <c r="A527" t="s">
        <v>3260</v>
      </c>
      <c r="B527" t="s">
        <v>3261</v>
      </c>
      <c r="C527" t="s">
        <v>30</v>
      </c>
      <c r="D527" t="s">
        <v>212</v>
      </c>
      <c r="E527" s="1">
        <v>25.92</v>
      </c>
      <c r="F527" t="s">
        <v>206</v>
      </c>
      <c r="G527">
        <v>100</v>
      </c>
      <c r="H527" s="1">
        <v>25.92</v>
      </c>
      <c r="I527" s="21">
        <v>45175</v>
      </c>
      <c r="J527" s="21">
        <v>45180</v>
      </c>
      <c r="K527" s="21">
        <v>45180</v>
      </c>
      <c r="L527" t="s">
        <v>213</v>
      </c>
      <c r="M527" t="s">
        <v>40</v>
      </c>
      <c r="N527" t="s">
        <v>34</v>
      </c>
      <c r="O527">
        <v>1</v>
      </c>
      <c r="P527" t="s">
        <v>920</v>
      </c>
      <c r="Q527" t="s">
        <v>4519</v>
      </c>
      <c r="R527" t="s">
        <v>4726</v>
      </c>
      <c r="S527" t="s">
        <v>4717</v>
      </c>
      <c r="T527">
        <f t="shared" si="16"/>
        <v>5</v>
      </c>
      <c r="U527" s="21">
        <f t="shared" si="17"/>
        <v>45180</v>
      </c>
    </row>
    <row r="528" spans="1:21" x14ac:dyDescent="0.35">
      <c r="A528" t="s">
        <v>3268</v>
      </c>
      <c r="B528" t="s">
        <v>3269</v>
      </c>
      <c r="C528" t="s">
        <v>19</v>
      </c>
      <c r="D528" t="s">
        <v>212</v>
      </c>
      <c r="E528" s="1">
        <v>13.36</v>
      </c>
      <c r="F528" t="s">
        <v>206</v>
      </c>
      <c r="G528">
        <v>100</v>
      </c>
      <c r="H528" s="1">
        <v>13.36</v>
      </c>
      <c r="I528" s="21">
        <v>45175</v>
      </c>
      <c r="J528" s="21">
        <v>45181</v>
      </c>
      <c r="K528" s="21">
        <v>45181</v>
      </c>
      <c r="L528" t="s">
        <v>234</v>
      </c>
      <c r="M528" t="s">
        <v>46</v>
      </c>
      <c r="N528" t="s">
        <v>47</v>
      </c>
      <c r="O528">
        <v>1</v>
      </c>
      <c r="P528" t="s">
        <v>1013</v>
      </c>
      <c r="Q528" t="s">
        <v>4519</v>
      </c>
      <c r="R528" t="s">
        <v>4726</v>
      </c>
      <c r="S528" t="s">
        <v>4717</v>
      </c>
      <c r="T528">
        <f t="shared" si="16"/>
        <v>6</v>
      </c>
      <c r="U528" s="21">
        <f t="shared" si="17"/>
        <v>45181</v>
      </c>
    </row>
    <row r="529" spans="1:21" x14ac:dyDescent="0.35">
      <c r="A529" t="s">
        <v>838</v>
      </c>
      <c r="B529" t="s">
        <v>839</v>
      </c>
      <c r="C529" t="s">
        <v>19</v>
      </c>
      <c r="D529" t="s">
        <v>205</v>
      </c>
      <c r="E529" s="1">
        <v>115.84</v>
      </c>
      <c r="F529" t="s">
        <v>206</v>
      </c>
      <c r="G529">
        <v>80</v>
      </c>
      <c r="H529" s="1">
        <v>92.672000000000011</v>
      </c>
      <c r="I529" s="21">
        <v>45174</v>
      </c>
      <c r="J529" s="21">
        <v>45179</v>
      </c>
      <c r="K529" s="21">
        <v>45179</v>
      </c>
      <c r="L529" t="s">
        <v>234</v>
      </c>
      <c r="M529" t="s">
        <v>67</v>
      </c>
      <c r="N529" t="s">
        <v>68</v>
      </c>
      <c r="O529">
        <v>1</v>
      </c>
      <c r="P529" t="s">
        <v>840</v>
      </c>
      <c r="Q529" t="s">
        <v>4528</v>
      </c>
      <c r="R529" t="s">
        <v>4721</v>
      </c>
      <c r="S529" t="s">
        <v>4717</v>
      </c>
      <c r="T529">
        <f t="shared" si="16"/>
        <v>5</v>
      </c>
      <c r="U529" s="21">
        <f t="shared" si="17"/>
        <v>45179</v>
      </c>
    </row>
    <row r="530" spans="1:21" x14ac:dyDescent="0.35">
      <c r="A530" t="s">
        <v>4205</v>
      </c>
      <c r="B530" t="s">
        <v>4206</v>
      </c>
      <c r="C530" t="s">
        <v>30</v>
      </c>
      <c r="D530" t="s">
        <v>212</v>
      </c>
      <c r="E530" s="1">
        <v>268.70400000000001</v>
      </c>
      <c r="F530" t="s">
        <v>206</v>
      </c>
      <c r="G530">
        <v>100</v>
      </c>
      <c r="H530" s="1">
        <v>268.70400000000001</v>
      </c>
      <c r="I530" s="21">
        <v>45174</v>
      </c>
      <c r="J530" s="21">
        <v>45179</v>
      </c>
      <c r="K530" s="21">
        <v>45179</v>
      </c>
      <c r="L530" t="s">
        <v>213</v>
      </c>
      <c r="M530" t="s">
        <v>82</v>
      </c>
      <c r="N530" t="s">
        <v>47</v>
      </c>
      <c r="O530">
        <v>1</v>
      </c>
      <c r="P530" t="s">
        <v>239</v>
      </c>
      <c r="Q530" t="s">
        <v>4729</v>
      </c>
      <c r="R530" t="s">
        <v>4712</v>
      </c>
      <c r="S530" t="s">
        <v>4718</v>
      </c>
      <c r="T530">
        <f t="shared" si="16"/>
        <v>5</v>
      </c>
      <c r="U530" s="21">
        <f t="shared" si="17"/>
        <v>45179</v>
      </c>
    </row>
    <row r="531" spans="1:21" x14ac:dyDescent="0.35">
      <c r="A531" t="s">
        <v>3254</v>
      </c>
      <c r="B531" t="s">
        <v>3255</v>
      </c>
      <c r="C531" t="s">
        <v>19</v>
      </c>
      <c r="D531" t="s">
        <v>212</v>
      </c>
      <c r="E531" s="1">
        <v>17.856000000000002</v>
      </c>
      <c r="F531" t="s">
        <v>206</v>
      </c>
      <c r="G531">
        <v>100</v>
      </c>
      <c r="H531" s="1">
        <v>17.856000000000002</v>
      </c>
      <c r="I531" s="21">
        <v>45173</v>
      </c>
      <c r="J531" s="21">
        <v>45178</v>
      </c>
      <c r="K531" s="21">
        <v>45178</v>
      </c>
      <c r="L531" t="s">
        <v>248</v>
      </c>
      <c r="M531" t="s">
        <v>146</v>
      </c>
      <c r="N531" t="s">
        <v>73</v>
      </c>
      <c r="O531">
        <v>1</v>
      </c>
      <c r="P531" t="s">
        <v>3256</v>
      </c>
      <c r="Q531" t="s">
        <v>4686</v>
      </c>
      <c r="R531" t="s">
        <v>4726</v>
      </c>
      <c r="S531" t="s">
        <v>4717</v>
      </c>
      <c r="T531">
        <f t="shared" si="16"/>
        <v>5</v>
      </c>
      <c r="U531" s="21">
        <f t="shared" si="17"/>
        <v>45178</v>
      </c>
    </row>
    <row r="532" spans="1:21" x14ac:dyDescent="0.35">
      <c r="A532" t="s">
        <v>835</v>
      </c>
      <c r="B532" t="s">
        <v>836</v>
      </c>
      <c r="C532" t="s">
        <v>19</v>
      </c>
      <c r="D532" t="s">
        <v>21</v>
      </c>
      <c r="E532" s="1">
        <v>1422.252</v>
      </c>
      <c r="F532" t="s">
        <v>22</v>
      </c>
      <c r="G532">
        <v>0</v>
      </c>
      <c r="H532" s="1">
        <v>0</v>
      </c>
      <c r="I532" s="21">
        <v>45173</v>
      </c>
      <c r="J532" s="21">
        <v>45175</v>
      </c>
      <c r="K532" s="21">
        <v>45175</v>
      </c>
      <c r="L532" t="s">
        <v>63</v>
      </c>
      <c r="M532" t="s">
        <v>33</v>
      </c>
      <c r="N532" t="s">
        <v>34</v>
      </c>
      <c r="O532">
        <v>1</v>
      </c>
      <c r="P532" t="s">
        <v>837</v>
      </c>
      <c r="Q532" t="s">
        <v>4528</v>
      </c>
      <c r="R532" t="s">
        <v>4710</v>
      </c>
      <c r="S532" t="s">
        <v>4717</v>
      </c>
      <c r="T532">
        <f t="shared" si="16"/>
        <v>2</v>
      </c>
      <c r="U532" s="21">
        <f t="shared" si="17"/>
        <v>45175</v>
      </c>
    </row>
    <row r="533" spans="1:21" x14ac:dyDescent="0.35">
      <c r="A533" t="s">
        <v>2061</v>
      </c>
      <c r="B533" t="s">
        <v>2062</v>
      </c>
      <c r="C533" t="s">
        <v>30</v>
      </c>
      <c r="D533" t="s">
        <v>212</v>
      </c>
      <c r="E533" s="1">
        <v>456.58800000000002</v>
      </c>
      <c r="F533" t="s">
        <v>206</v>
      </c>
      <c r="G533">
        <v>100</v>
      </c>
      <c r="H533" s="1">
        <v>456.58800000000002</v>
      </c>
      <c r="I533" s="21">
        <v>45173</v>
      </c>
      <c r="J533" s="21">
        <v>45179</v>
      </c>
      <c r="K533" s="21">
        <v>45179</v>
      </c>
      <c r="L533" t="s">
        <v>213</v>
      </c>
      <c r="M533" t="s">
        <v>67</v>
      </c>
      <c r="N533" t="s">
        <v>68</v>
      </c>
      <c r="O533">
        <v>1</v>
      </c>
      <c r="P533" t="s">
        <v>837</v>
      </c>
      <c r="Q533" t="s">
        <v>4528</v>
      </c>
      <c r="R533" t="s">
        <v>4710</v>
      </c>
      <c r="S533" t="s">
        <v>4717</v>
      </c>
      <c r="T533">
        <f t="shared" si="16"/>
        <v>6</v>
      </c>
      <c r="U533" s="21">
        <f t="shared" si="17"/>
        <v>45179</v>
      </c>
    </row>
    <row r="534" spans="1:21" x14ac:dyDescent="0.35">
      <c r="A534" t="s">
        <v>4200</v>
      </c>
      <c r="B534" t="s">
        <v>4201</v>
      </c>
      <c r="C534" t="s">
        <v>19</v>
      </c>
      <c r="D534" t="s">
        <v>212</v>
      </c>
      <c r="E534" s="1">
        <v>6.8879999999999999</v>
      </c>
      <c r="F534" t="s">
        <v>206</v>
      </c>
      <c r="G534">
        <v>100</v>
      </c>
      <c r="H534" s="1">
        <v>6.8879999999999999</v>
      </c>
      <c r="I534" s="21">
        <v>45173</v>
      </c>
      <c r="J534" s="21">
        <v>45180</v>
      </c>
      <c r="K534" s="21">
        <v>45180</v>
      </c>
      <c r="L534" t="s">
        <v>234</v>
      </c>
      <c r="M534" t="s">
        <v>54</v>
      </c>
      <c r="N534" t="s">
        <v>26</v>
      </c>
      <c r="O534">
        <v>1</v>
      </c>
      <c r="P534" t="s">
        <v>982</v>
      </c>
      <c r="Q534" t="s">
        <v>4528</v>
      </c>
      <c r="R534" t="s">
        <v>4721</v>
      </c>
      <c r="S534" t="s">
        <v>4717</v>
      </c>
      <c r="T534">
        <f t="shared" si="16"/>
        <v>7</v>
      </c>
      <c r="U534" s="21">
        <f t="shared" si="17"/>
        <v>45180</v>
      </c>
    </row>
    <row r="535" spans="1:21" x14ac:dyDescent="0.35">
      <c r="A535" t="s">
        <v>832</v>
      </c>
      <c r="B535" t="s">
        <v>833</v>
      </c>
      <c r="C535" t="s">
        <v>19</v>
      </c>
      <c r="D535" t="s">
        <v>212</v>
      </c>
      <c r="E535" s="1">
        <v>389.97</v>
      </c>
      <c r="F535" t="s">
        <v>206</v>
      </c>
      <c r="G535">
        <v>100</v>
      </c>
      <c r="H535" s="1">
        <v>389.97</v>
      </c>
      <c r="I535" s="21">
        <v>45173</v>
      </c>
      <c r="J535" s="21">
        <v>45177</v>
      </c>
      <c r="K535" s="21">
        <v>45177</v>
      </c>
      <c r="L535" t="s">
        <v>234</v>
      </c>
      <c r="M535" t="s">
        <v>40</v>
      </c>
      <c r="N535" t="s">
        <v>34</v>
      </c>
      <c r="O535">
        <v>1</v>
      </c>
      <c r="P535" t="s">
        <v>834</v>
      </c>
      <c r="Q535" t="s">
        <v>4601</v>
      </c>
      <c r="R535" t="s">
        <v>4714</v>
      </c>
      <c r="S535" t="s">
        <v>4718</v>
      </c>
      <c r="T535">
        <f t="shared" si="16"/>
        <v>4</v>
      </c>
      <c r="U535" s="21">
        <f t="shared" si="17"/>
        <v>45177</v>
      </c>
    </row>
    <row r="536" spans="1:21" x14ac:dyDescent="0.35">
      <c r="A536" t="s">
        <v>3257</v>
      </c>
      <c r="B536" t="s">
        <v>3258</v>
      </c>
      <c r="C536" t="s">
        <v>19</v>
      </c>
      <c r="D536" t="s">
        <v>212</v>
      </c>
      <c r="E536" s="1">
        <v>33.36</v>
      </c>
      <c r="F536" t="s">
        <v>206</v>
      </c>
      <c r="G536">
        <v>100</v>
      </c>
      <c r="H536" s="1">
        <v>33.36</v>
      </c>
      <c r="I536" s="21">
        <v>45173</v>
      </c>
      <c r="J536" s="21">
        <v>45176</v>
      </c>
      <c r="K536" s="21">
        <v>45176</v>
      </c>
      <c r="L536" t="s">
        <v>238</v>
      </c>
      <c r="M536" t="s">
        <v>40</v>
      </c>
      <c r="N536" t="s">
        <v>34</v>
      </c>
      <c r="O536">
        <v>1</v>
      </c>
      <c r="P536" t="s">
        <v>3259</v>
      </c>
      <c r="Q536" t="s">
        <v>4687</v>
      </c>
      <c r="R536" t="s">
        <v>4726</v>
      </c>
      <c r="S536" t="s">
        <v>4717</v>
      </c>
      <c r="T536">
        <f t="shared" si="16"/>
        <v>3</v>
      </c>
      <c r="U536" s="21">
        <f t="shared" si="17"/>
        <v>45176</v>
      </c>
    </row>
    <row r="537" spans="1:21" x14ac:dyDescent="0.35">
      <c r="A537" t="s">
        <v>4202</v>
      </c>
      <c r="B537" t="s">
        <v>4203</v>
      </c>
      <c r="C537" t="s">
        <v>30</v>
      </c>
      <c r="D537" t="s">
        <v>205</v>
      </c>
      <c r="E537" s="1">
        <v>32.543999999999997</v>
      </c>
      <c r="F537" t="s">
        <v>206</v>
      </c>
      <c r="G537">
        <v>80</v>
      </c>
      <c r="H537" s="1">
        <v>26.0352</v>
      </c>
      <c r="I537" s="21">
        <v>45173</v>
      </c>
      <c r="J537" s="21">
        <v>45179</v>
      </c>
      <c r="K537" s="21">
        <v>45179</v>
      </c>
      <c r="L537" t="s">
        <v>213</v>
      </c>
      <c r="M537" t="s">
        <v>146</v>
      </c>
      <c r="N537" t="s">
        <v>73</v>
      </c>
      <c r="O537">
        <v>1</v>
      </c>
      <c r="P537" t="s">
        <v>4204</v>
      </c>
      <c r="Q537" t="s">
        <v>4729</v>
      </c>
      <c r="R537" t="s">
        <v>4709</v>
      </c>
      <c r="S537" t="s">
        <v>4717</v>
      </c>
      <c r="T537">
        <f t="shared" si="16"/>
        <v>6</v>
      </c>
      <c r="U537" s="21">
        <f t="shared" si="17"/>
        <v>45179</v>
      </c>
    </row>
    <row r="538" spans="1:21" x14ac:dyDescent="0.35">
      <c r="A538" t="s">
        <v>2058</v>
      </c>
      <c r="B538" t="s">
        <v>2059</v>
      </c>
      <c r="C538" t="s">
        <v>19</v>
      </c>
      <c r="D538" t="s">
        <v>205</v>
      </c>
      <c r="E538" s="1">
        <v>31.56</v>
      </c>
      <c r="F538" t="s">
        <v>206</v>
      </c>
      <c r="G538">
        <v>80</v>
      </c>
      <c r="H538" s="1">
        <v>25.248000000000001</v>
      </c>
      <c r="I538" s="21">
        <v>45173</v>
      </c>
      <c r="J538" s="21">
        <v>45175</v>
      </c>
      <c r="K538" s="21">
        <v>45175</v>
      </c>
      <c r="L538" t="s">
        <v>213</v>
      </c>
      <c r="M538" t="s">
        <v>40</v>
      </c>
      <c r="N538" t="s">
        <v>34</v>
      </c>
      <c r="O538">
        <v>1</v>
      </c>
      <c r="P538" t="s">
        <v>2060</v>
      </c>
      <c r="Q538" t="s">
        <v>4729</v>
      </c>
      <c r="R538" t="s">
        <v>4721</v>
      </c>
      <c r="S538" t="s">
        <v>4718</v>
      </c>
      <c r="T538">
        <f t="shared" si="16"/>
        <v>2</v>
      </c>
      <c r="U538" s="21">
        <f t="shared" si="17"/>
        <v>45175</v>
      </c>
    </row>
    <row r="539" spans="1:21" x14ac:dyDescent="0.35">
      <c r="A539" t="s">
        <v>3251</v>
      </c>
      <c r="B539" t="s">
        <v>3252</v>
      </c>
      <c r="C539" t="s">
        <v>19</v>
      </c>
      <c r="D539" t="s">
        <v>212</v>
      </c>
      <c r="E539" s="1">
        <v>7.16</v>
      </c>
      <c r="F539" t="s">
        <v>206</v>
      </c>
      <c r="G539">
        <v>100</v>
      </c>
      <c r="H539" s="1">
        <v>7.16</v>
      </c>
      <c r="I539" s="21">
        <v>45172</v>
      </c>
      <c r="J539" s="21">
        <v>45174</v>
      </c>
      <c r="K539" s="21">
        <v>45174</v>
      </c>
      <c r="L539" t="s">
        <v>248</v>
      </c>
      <c r="M539" t="s">
        <v>40</v>
      </c>
      <c r="N539" t="s">
        <v>34</v>
      </c>
      <c r="O539">
        <v>1</v>
      </c>
      <c r="P539" t="s">
        <v>3253</v>
      </c>
      <c r="Q539" t="s">
        <v>4517</v>
      </c>
      <c r="R539" t="s">
        <v>4726</v>
      </c>
      <c r="S539" t="s">
        <v>4717</v>
      </c>
      <c r="T539">
        <f t="shared" si="16"/>
        <v>2</v>
      </c>
      <c r="U539" s="21">
        <f t="shared" si="17"/>
        <v>45174</v>
      </c>
    </row>
    <row r="540" spans="1:21" x14ac:dyDescent="0.35">
      <c r="A540" t="s">
        <v>3249</v>
      </c>
      <c r="B540" t="s">
        <v>3250</v>
      </c>
      <c r="C540" t="s">
        <v>30</v>
      </c>
      <c r="D540" t="s">
        <v>205</v>
      </c>
      <c r="E540" s="1">
        <v>39.808</v>
      </c>
      <c r="F540" t="s">
        <v>206</v>
      </c>
      <c r="G540">
        <v>80</v>
      </c>
      <c r="H540" s="1">
        <v>31.846400000000003</v>
      </c>
      <c r="I540" s="21">
        <v>45172</v>
      </c>
      <c r="J540" s="21">
        <v>45174</v>
      </c>
      <c r="K540" s="21">
        <v>45174</v>
      </c>
      <c r="L540" t="s">
        <v>248</v>
      </c>
      <c r="M540" t="s">
        <v>54</v>
      </c>
      <c r="N540" t="s">
        <v>26</v>
      </c>
      <c r="O540">
        <v>1</v>
      </c>
      <c r="P540" t="s">
        <v>1902</v>
      </c>
      <c r="Q540" t="s">
        <v>4533</v>
      </c>
      <c r="R540" t="s">
        <v>4709</v>
      </c>
      <c r="S540" t="s">
        <v>4717</v>
      </c>
      <c r="T540">
        <f t="shared" si="16"/>
        <v>2</v>
      </c>
      <c r="U540" s="21">
        <f t="shared" si="17"/>
        <v>45174</v>
      </c>
    </row>
    <row r="541" spans="1:21" x14ac:dyDescent="0.35">
      <c r="A541" t="s">
        <v>4197</v>
      </c>
      <c r="B541" t="s">
        <v>4198</v>
      </c>
      <c r="C541" t="s">
        <v>19</v>
      </c>
      <c r="D541" t="s">
        <v>205</v>
      </c>
      <c r="E541" s="1">
        <v>7.3120000000000003</v>
      </c>
      <c r="F541" t="s">
        <v>206</v>
      </c>
      <c r="G541">
        <v>80</v>
      </c>
      <c r="H541" s="1">
        <v>5.8496000000000006</v>
      </c>
      <c r="I541" s="21">
        <v>45172</v>
      </c>
      <c r="J541" s="21">
        <v>45178</v>
      </c>
      <c r="K541" s="21">
        <v>45178</v>
      </c>
      <c r="L541" t="s">
        <v>207</v>
      </c>
      <c r="M541" t="s">
        <v>33</v>
      </c>
      <c r="N541" t="s">
        <v>34</v>
      </c>
      <c r="O541">
        <v>1</v>
      </c>
      <c r="P541" t="s">
        <v>4199</v>
      </c>
      <c r="Q541" t="s">
        <v>4520</v>
      </c>
      <c r="R541" t="s">
        <v>4726</v>
      </c>
      <c r="S541" t="s">
        <v>4717</v>
      </c>
      <c r="T541">
        <f t="shared" si="16"/>
        <v>6</v>
      </c>
      <c r="U541" s="21">
        <f t="shared" si="17"/>
        <v>45178</v>
      </c>
    </row>
    <row r="542" spans="1:21" x14ac:dyDescent="0.35">
      <c r="A542" t="s">
        <v>4195</v>
      </c>
      <c r="B542" t="s">
        <v>4196</v>
      </c>
      <c r="C542" t="s">
        <v>19</v>
      </c>
      <c r="D542" t="s">
        <v>212</v>
      </c>
      <c r="E542" s="1">
        <v>82.26</v>
      </c>
      <c r="F542" t="s">
        <v>206</v>
      </c>
      <c r="G542">
        <v>100</v>
      </c>
      <c r="H542" s="1">
        <v>82.26</v>
      </c>
      <c r="I542" s="21">
        <v>45171</v>
      </c>
      <c r="J542" s="21">
        <v>45173</v>
      </c>
      <c r="K542" s="21">
        <v>45173</v>
      </c>
      <c r="L542" t="s">
        <v>213</v>
      </c>
      <c r="M542" t="s">
        <v>72</v>
      </c>
      <c r="N542" t="s">
        <v>73</v>
      </c>
      <c r="O542">
        <v>1</v>
      </c>
      <c r="P542" t="s">
        <v>3187</v>
      </c>
      <c r="Q542" t="s">
        <v>4553</v>
      </c>
      <c r="R542" t="s">
        <v>4722</v>
      </c>
      <c r="S542" t="s">
        <v>4718</v>
      </c>
      <c r="T542">
        <f t="shared" si="16"/>
        <v>2</v>
      </c>
      <c r="U542" s="21">
        <f t="shared" si="17"/>
        <v>45173</v>
      </c>
    </row>
    <row r="543" spans="1:21" x14ac:dyDescent="0.35">
      <c r="A543" t="s">
        <v>4191</v>
      </c>
      <c r="B543" t="s">
        <v>4192</v>
      </c>
      <c r="C543" t="s">
        <v>30</v>
      </c>
      <c r="D543" t="s">
        <v>212</v>
      </c>
      <c r="E543" s="1">
        <v>494.98200000000003</v>
      </c>
      <c r="F543" t="s">
        <v>206</v>
      </c>
      <c r="G543">
        <v>100</v>
      </c>
      <c r="H543" s="1">
        <v>494.98200000000003</v>
      </c>
      <c r="I543" s="21">
        <v>45171</v>
      </c>
      <c r="J543" s="21">
        <v>45174</v>
      </c>
      <c r="K543" s="21">
        <v>45174</v>
      </c>
      <c r="L543" t="s">
        <v>220</v>
      </c>
      <c r="M543" t="s">
        <v>67</v>
      </c>
      <c r="N543" t="s">
        <v>68</v>
      </c>
      <c r="O543">
        <v>1</v>
      </c>
      <c r="P543" t="s">
        <v>3868</v>
      </c>
      <c r="Q543" t="s">
        <v>4701</v>
      </c>
      <c r="R543" t="s">
        <v>4711</v>
      </c>
      <c r="S543" t="s">
        <v>4719</v>
      </c>
      <c r="T543">
        <f t="shared" si="16"/>
        <v>3</v>
      </c>
      <c r="U543" s="21">
        <f t="shared" si="17"/>
        <v>45174</v>
      </c>
    </row>
    <row r="544" spans="1:21" x14ac:dyDescent="0.35">
      <c r="A544" t="s">
        <v>4193</v>
      </c>
      <c r="B544" t="s">
        <v>4194</v>
      </c>
      <c r="C544" t="s">
        <v>30</v>
      </c>
      <c r="D544" t="s">
        <v>21</v>
      </c>
      <c r="E544" s="1">
        <v>4438.6859999999997</v>
      </c>
      <c r="F544" t="s">
        <v>22</v>
      </c>
      <c r="G544">
        <v>0</v>
      </c>
      <c r="H544" s="1">
        <v>0</v>
      </c>
      <c r="I544" s="21">
        <v>45171</v>
      </c>
      <c r="J544" s="21">
        <v>45173</v>
      </c>
      <c r="K544" s="21">
        <v>45173</v>
      </c>
      <c r="L544" t="s">
        <v>24</v>
      </c>
      <c r="M544" t="s">
        <v>82</v>
      </c>
      <c r="N544" t="s">
        <v>47</v>
      </c>
      <c r="O544">
        <v>1</v>
      </c>
      <c r="P544" t="s">
        <v>1635</v>
      </c>
      <c r="Q544" t="s">
        <v>4633</v>
      </c>
      <c r="R544" t="s">
        <v>4713</v>
      </c>
      <c r="S544" t="s">
        <v>4719</v>
      </c>
      <c r="T544">
        <f t="shared" si="16"/>
        <v>2</v>
      </c>
      <c r="U544" s="21">
        <f t="shared" si="17"/>
        <v>45173</v>
      </c>
    </row>
    <row r="545" spans="1:21" x14ac:dyDescent="0.35">
      <c r="A545" t="s">
        <v>4189</v>
      </c>
      <c r="B545" t="s">
        <v>4190</v>
      </c>
      <c r="C545" t="s">
        <v>19</v>
      </c>
      <c r="D545" t="s">
        <v>212</v>
      </c>
      <c r="E545" s="1">
        <v>9.94</v>
      </c>
      <c r="F545" t="s">
        <v>206</v>
      </c>
      <c r="G545">
        <v>100</v>
      </c>
      <c r="H545" s="1">
        <v>9.94</v>
      </c>
      <c r="I545" s="21">
        <v>45170</v>
      </c>
      <c r="J545" s="21">
        <v>45176</v>
      </c>
      <c r="K545" s="21">
        <v>45176</v>
      </c>
      <c r="L545" t="s">
        <v>213</v>
      </c>
      <c r="M545" t="s">
        <v>82</v>
      </c>
      <c r="N545" t="s">
        <v>47</v>
      </c>
      <c r="O545">
        <v>1</v>
      </c>
      <c r="P545" t="s">
        <v>2453</v>
      </c>
      <c r="Q545" t="s">
        <v>4603</v>
      </c>
      <c r="R545" t="s">
        <v>4721</v>
      </c>
      <c r="S545" t="s">
        <v>4718</v>
      </c>
      <c r="T545">
        <f t="shared" si="16"/>
        <v>6</v>
      </c>
      <c r="U545" s="21">
        <f t="shared" si="17"/>
        <v>45176</v>
      </c>
    </row>
    <row r="546" spans="1:21" x14ac:dyDescent="0.35">
      <c r="A546" t="s">
        <v>3246</v>
      </c>
      <c r="B546" t="s">
        <v>3247</v>
      </c>
      <c r="C546" t="s">
        <v>30</v>
      </c>
      <c r="D546" t="s">
        <v>21</v>
      </c>
      <c r="E546" s="1">
        <v>1269.8699999999999</v>
      </c>
      <c r="F546" t="s">
        <v>22</v>
      </c>
      <c r="G546">
        <v>0</v>
      </c>
      <c r="H546" s="1">
        <v>0</v>
      </c>
      <c r="I546" s="21">
        <v>45169</v>
      </c>
      <c r="J546" s="21">
        <v>45171</v>
      </c>
      <c r="K546" s="21">
        <v>45171</v>
      </c>
      <c r="L546" t="s">
        <v>32</v>
      </c>
      <c r="M546" t="s">
        <v>67</v>
      </c>
      <c r="N546" t="s">
        <v>68</v>
      </c>
      <c r="O546">
        <v>1</v>
      </c>
      <c r="P546" t="s">
        <v>3248</v>
      </c>
      <c r="Q546" t="s">
        <v>4685</v>
      </c>
      <c r="R546" t="s">
        <v>4711</v>
      </c>
      <c r="S546" t="s">
        <v>4719</v>
      </c>
      <c r="T546">
        <f t="shared" si="16"/>
        <v>2</v>
      </c>
      <c r="U546" s="21">
        <f t="shared" si="17"/>
        <v>45171</v>
      </c>
    </row>
    <row r="547" spans="1:21" x14ac:dyDescent="0.35">
      <c r="A547" t="s">
        <v>2055</v>
      </c>
      <c r="B547" t="s">
        <v>2056</v>
      </c>
      <c r="C547" t="s">
        <v>30</v>
      </c>
      <c r="D547" t="s">
        <v>212</v>
      </c>
      <c r="E547" s="1">
        <v>64.959999999999994</v>
      </c>
      <c r="F547" t="s">
        <v>206</v>
      </c>
      <c r="G547">
        <v>100</v>
      </c>
      <c r="H547" s="1">
        <v>64.959999999999994</v>
      </c>
      <c r="I547" s="21">
        <v>45168</v>
      </c>
      <c r="J547" s="21">
        <v>45174</v>
      </c>
      <c r="K547" s="21">
        <v>45174</v>
      </c>
      <c r="L547" t="s">
        <v>234</v>
      </c>
      <c r="M547" t="s">
        <v>67</v>
      </c>
      <c r="N547" t="s">
        <v>68</v>
      </c>
      <c r="O547">
        <v>1</v>
      </c>
      <c r="P547" t="s">
        <v>2057</v>
      </c>
      <c r="Q547" t="s">
        <v>4545</v>
      </c>
      <c r="R547" t="s">
        <v>4710</v>
      </c>
      <c r="S547" t="s">
        <v>4717</v>
      </c>
      <c r="T547">
        <f t="shared" si="16"/>
        <v>6</v>
      </c>
      <c r="U547" s="21">
        <f t="shared" si="17"/>
        <v>45174</v>
      </c>
    </row>
    <row r="548" spans="1:21" x14ac:dyDescent="0.35">
      <c r="A548" t="s">
        <v>4187</v>
      </c>
      <c r="B548" t="s">
        <v>4188</v>
      </c>
      <c r="C548" t="s">
        <v>30</v>
      </c>
      <c r="D548" t="s">
        <v>205</v>
      </c>
      <c r="E548" s="1">
        <v>33.520000000000003</v>
      </c>
      <c r="F548" t="s">
        <v>206</v>
      </c>
      <c r="G548">
        <v>80</v>
      </c>
      <c r="H548" s="1">
        <v>26.816000000000003</v>
      </c>
      <c r="I548" s="21">
        <v>45168</v>
      </c>
      <c r="J548" s="21">
        <v>45173</v>
      </c>
      <c r="K548" s="21">
        <v>45173</v>
      </c>
      <c r="L548" t="s">
        <v>238</v>
      </c>
      <c r="M548" t="s">
        <v>67</v>
      </c>
      <c r="N548" t="s">
        <v>68</v>
      </c>
      <c r="O548">
        <v>1</v>
      </c>
      <c r="P548" t="s">
        <v>2756</v>
      </c>
      <c r="Q548" t="s">
        <v>4729</v>
      </c>
      <c r="R548" t="s">
        <v>4711</v>
      </c>
      <c r="S548" t="s">
        <v>4719</v>
      </c>
      <c r="T548">
        <f t="shared" si="16"/>
        <v>5</v>
      </c>
      <c r="U548" s="21">
        <f t="shared" si="17"/>
        <v>45173</v>
      </c>
    </row>
    <row r="549" spans="1:21" x14ac:dyDescent="0.35">
      <c r="A549" t="s">
        <v>829</v>
      </c>
      <c r="B549" t="s">
        <v>830</v>
      </c>
      <c r="C549" t="s">
        <v>30</v>
      </c>
      <c r="D549" t="s">
        <v>21</v>
      </c>
      <c r="E549" s="1">
        <v>179.53679999999878</v>
      </c>
      <c r="F549" t="s">
        <v>22</v>
      </c>
      <c r="G549">
        <v>0</v>
      </c>
      <c r="H549" s="1">
        <v>0</v>
      </c>
      <c r="I549" s="21">
        <v>45167</v>
      </c>
      <c r="J549" s="21">
        <v>45170</v>
      </c>
      <c r="K549" s="21">
        <v>45170</v>
      </c>
      <c r="L549" t="s">
        <v>63</v>
      </c>
      <c r="M549" t="s">
        <v>82</v>
      </c>
      <c r="N549" t="s">
        <v>47</v>
      </c>
      <c r="O549">
        <v>1</v>
      </c>
      <c r="P549" t="s">
        <v>831</v>
      </c>
      <c r="Q549" t="s">
        <v>4600</v>
      </c>
      <c r="R549" t="s">
        <v>4726</v>
      </c>
      <c r="S549" t="s">
        <v>4717</v>
      </c>
      <c r="T549">
        <f t="shared" si="16"/>
        <v>3</v>
      </c>
      <c r="U549" s="21">
        <f t="shared" si="17"/>
        <v>45170</v>
      </c>
    </row>
    <row r="550" spans="1:21" x14ac:dyDescent="0.35">
      <c r="A550" t="s">
        <v>2052</v>
      </c>
      <c r="B550" t="s">
        <v>2053</v>
      </c>
      <c r="C550" t="s">
        <v>19</v>
      </c>
      <c r="D550" t="s">
        <v>205</v>
      </c>
      <c r="E550" s="1">
        <v>37.17</v>
      </c>
      <c r="F550" t="s">
        <v>206</v>
      </c>
      <c r="G550">
        <v>80</v>
      </c>
      <c r="H550" s="1">
        <v>29.736000000000004</v>
      </c>
      <c r="I550" s="21">
        <v>45167</v>
      </c>
      <c r="J550" s="21">
        <v>45169</v>
      </c>
      <c r="K550" s="21">
        <v>45169</v>
      </c>
      <c r="L550" t="s">
        <v>207</v>
      </c>
      <c r="M550" t="s">
        <v>72</v>
      </c>
      <c r="N550" t="s">
        <v>73</v>
      </c>
      <c r="O550">
        <v>1</v>
      </c>
      <c r="P550" t="s">
        <v>2054</v>
      </c>
      <c r="Q550" t="s">
        <v>4520</v>
      </c>
      <c r="R550" t="s">
        <v>4726</v>
      </c>
      <c r="S550" t="s">
        <v>4717</v>
      </c>
      <c r="T550">
        <f t="shared" si="16"/>
        <v>2</v>
      </c>
      <c r="U550" s="21">
        <f t="shared" si="17"/>
        <v>45169</v>
      </c>
    </row>
    <row r="551" spans="1:21" x14ac:dyDescent="0.35">
      <c r="A551" t="s">
        <v>3243</v>
      </c>
      <c r="B551" t="s">
        <v>3244</v>
      </c>
      <c r="C551" t="s">
        <v>19</v>
      </c>
      <c r="D551" t="s">
        <v>205</v>
      </c>
      <c r="E551" s="1">
        <v>1684.752</v>
      </c>
      <c r="F551" t="s">
        <v>206</v>
      </c>
      <c r="G551">
        <v>80</v>
      </c>
      <c r="H551" s="1">
        <v>1347.8016</v>
      </c>
      <c r="I551" s="21">
        <v>45166</v>
      </c>
      <c r="J551" s="21">
        <v>45172</v>
      </c>
      <c r="K551" s="21">
        <v>45172</v>
      </c>
      <c r="L551" t="s">
        <v>220</v>
      </c>
      <c r="M551" t="s">
        <v>82</v>
      </c>
      <c r="N551" t="s">
        <v>47</v>
      </c>
      <c r="O551">
        <v>1</v>
      </c>
      <c r="P551" t="s">
        <v>3245</v>
      </c>
      <c r="Q551" t="s">
        <v>4567</v>
      </c>
      <c r="R551" t="s">
        <v>4714</v>
      </c>
      <c r="S551" t="s">
        <v>4718</v>
      </c>
      <c r="T551">
        <f t="shared" si="16"/>
        <v>6</v>
      </c>
      <c r="U551" s="21">
        <f t="shared" si="17"/>
        <v>45172</v>
      </c>
    </row>
    <row r="552" spans="1:21" x14ac:dyDescent="0.35">
      <c r="A552" t="s">
        <v>2046</v>
      </c>
      <c r="B552" t="s">
        <v>2047</v>
      </c>
      <c r="C552" t="s">
        <v>19</v>
      </c>
      <c r="D552" t="s">
        <v>21</v>
      </c>
      <c r="E552" s="1">
        <v>165.13</v>
      </c>
      <c r="F552" t="s">
        <v>22</v>
      </c>
      <c r="G552">
        <v>0</v>
      </c>
      <c r="H552" s="1">
        <v>0</v>
      </c>
      <c r="I552" s="21">
        <v>45165</v>
      </c>
      <c r="J552" s="21">
        <v>45166</v>
      </c>
      <c r="K552" s="21">
        <v>45166</v>
      </c>
      <c r="L552" t="s">
        <v>24</v>
      </c>
      <c r="M552" t="s">
        <v>82</v>
      </c>
      <c r="N552" t="s">
        <v>47</v>
      </c>
      <c r="O552">
        <v>1</v>
      </c>
      <c r="P552" t="s">
        <v>2048</v>
      </c>
      <c r="Q552" t="s">
        <v>4518</v>
      </c>
      <c r="R552" t="s">
        <v>4726</v>
      </c>
      <c r="S552" t="s">
        <v>4717</v>
      </c>
      <c r="T552">
        <f t="shared" si="16"/>
        <v>1</v>
      </c>
      <c r="U552" s="21">
        <f t="shared" si="17"/>
        <v>45166</v>
      </c>
    </row>
    <row r="553" spans="1:21" x14ac:dyDescent="0.35">
      <c r="A553" t="s">
        <v>2049</v>
      </c>
      <c r="B553" t="s">
        <v>2050</v>
      </c>
      <c r="C553" t="s">
        <v>19</v>
      </c>
      <c r="D553" t="s">
        <v>212</v>
      </c>
      <c r="E553" s="1">
        <v>1568.61</v>
      </c>
      <c r="F553" t="s">
        <v>206</v>
      </c>
      <c r="G553">
        <v>100</v>
      </c>
      <c r="H553" s="1">
        <v>1568.61</v>
      </c>
      <c r="I553" s="21">
        <v>45165</v>
      </c>
      <c r="J553" s="21">
        <v>45169</v>
      </c>
      <c r="K553" s="21">
        <v>45169</v>
      </c>
      <c r="L553" t="s">
        <v>207</v>
      </c>
      <c r="M553" t="s">
        <v>40</v>
      </c>
      <c r="N553" t="s">
        <v>34</v>
      </c>
      <c r="O553">
        <v>1</v>
      </c>
      <c r="P553" t="s">
        <v>2051</v>
      </c>
      <c r="Q553" t="s">
        <v>4597</v>
      </c>
      <c r="R553" t="s">
        <v>4712</v>
      </c>
      <c r="S553" t="s">
        <v>4718</v>
      </c>
      <c r="T553">
        <f t="shared" si="16"/>
        <v>4</v>
      </c>
      <c r="U553" s="21">
        <f t="shared" si="17"/>
        <v>45169</v>
      </c>
    </row>
    <row r="554" spans="1:21" x14ac:dyDescent="0.35">
      <c r="A554" t="s">
        <v>4185</v>
      </c>
      <c r="B554" t="s">
        <v>4186</v>
      </c>
      <c r="C554" t="s">
        <v>30</v>
      </c>
      <c r="D554" t="s">
        <v>205</v>
      </c>
      <c r="E554" s="1">
        <v>7.0679999999999996</v>
      </c>
      <c r="F554" t="s">
        <v>206</v>
      </c>
      <c r="G554">
        <v>80</v>
      </c>
      <c r="H554" s="1">
        <v>5.6543999999999999</v>
      </c>
      <c r="I554" s="21">
        <v>45165</v>
      </c>
      <c r="J554" s="21">
        <v>45168</v>
      </c>
      <c r="K554" s="21">
        <v>45168</v>
      </c>
      <c r="L554" t="s">
        <v>213</v>
      </c>
      <c r="M554" t="s">
        <v>82</v>
      </c>
      <c r="N554" t="s">
        <v>47</v>
      </c>
      <c r="O554">
        <v>1</v>
      </c>
      <c r="P554" t="s">
        <v>1638</v>
      </c>
      <c r="Q554" t="s">
        <v>4533</v>
      </c>
      <c r="R554" t="s">
        <v>4724</v>
      </c>
      <c r="S554" t="s">
        <v>4718</v>
      </c>
      <c r="T554">
        <f t="shared" si="16"/>
        <v>3</v>
      </c>
      <c r="U554" s="21">
        <f t="shared" si="17"/>
        <v>45168</v>
      </c>
    </row>
    <row r="555" spans="1:21" x14ac:dyDescent="0.35">
      <c r="A555" t="s">
        <v>2044</v>
      </c>
      <c r="B555" t="s">
        <v>2045</v>
      </c>
      <c r="C555" t="s">
        <v>19</v>
      </c>
      <c r="D555" t="s">
        <v>212</v>
      </c>
      <c r="E555" s="1">
        <v>25.35</v>
      </c>
      <c r="F555" t="s">
        <v>206</v>
      </c>
      <c r="G555">
        <v>100</v>
      </c>
      <c r="H555" s="1">
        <v>25.35</v>
      </c>
      <c r="I555" s="21">
        <v>45165</v>
      </c>
      <c r="J555" s="21">
        <v>45167</v>
      </c>
      <c r="K555" s="21">
        <v>45167</v>
      </c>
      <c r="L555" t="s">
        <v>207</v>
      </c>
      <c r="M555" t="s">
        <v>146</v>
      </c>
      <c r="N555" t="s">
        <v>73</v>
      </c>
      <c r="O555">
        <v>1</v>
      </c>
      <c r="P555" t="s">
        <v>441</v>
      </c>
      <c r="Q555" t="s">
        <v>4564</v>
      </c>
      <c r="R555" t="s">
        <v>4726</v>
      </c>
      <c r="S555" t="s">
        <v>4717</v>
      </c>
      <c r="T555">
        <f t="shared" si="16"/>
        <v>2</v>
      </c>
      <c r="U555" s="21">
        <f t="shared" si="17"/>
        <v>45167</v>
      </c>
    </row>
    <row r="556" spans="1:21" x14ac:dyDescent="0.35">
      <c r="A556" t="s">
        <v>4183</v>
      </c>
      <c r="B556" t="s">
        <v>4184</v>
      </c>
      <c r="C556" t="s">
        <v>30</v>
      </c>
      <c r="D556" t="s">
        <v>212</v>
      </c>
      <c r="E556" s="1">
        <v>24.783999999999999</v>
      </c>
      <c r="F556" t="s">
        <v>206</v>
      </c>
      <c r="G556">
        <v>100</v>
      </c>
      <c r="H556" s="1">
        <v>24.783999999999999</v>
      </c>
      <c r="I556" s="21">
        <v>45165</v>
      </c>
      <c r="J556" s="21">
        <v>45170</v>
      </c>
      <c r="K556" s="21">
        <v>45170</v>
      </c>
      <c r="L556" t="s">
        <v>234</v>
      </c>
      <c r="M556" t="s">
        <v>33</v>
      </c>
      <c r="N556" t="s">
        <v>34</v>
      </c>
      <c r="O556">
        <v>1</v>
      </c>
      <c r="P556" t="s">
        <v>661</v>
      </c>
      <c r="Q556" t="s">
        <v>4584</v>
      </c>
      <c r="R556" t="s">
        <v>4726</v>
      </c>
      <c r="S556" t="s">
        <v>4717</v>
      </c>
      <c r="T556">
        <f t="shared" si="16"/>
        <v>5</v>
      </c>
      <c r="U556" s="21">
        <f t="shared" si="17"/>
        <v>45170</v>
      </c>
    </row>
    <row r="557" spans="1:21" x14ac:dyDescent="0.35">
      <c r="A557" t="s">
        <v>3240</v>
      </c>
      <c r="B557" t="s">
        <v>3241</v>
      </c>
      <c r="C557" t="s">
        <v>19</v>
      </c>
      <c r="D557" t="s">
        <v>205</v>
      </c>
      <c r="E557" s="1">
        <v>24.032</v>
      </c>
      <c r="F557" t="s">
        <v>206</v>
      </c>
      <c r="G557">
        <v>80</v>
      </c>
      <c r="H557" s="1">
        <v>19.2256</v>
      </c>
      <c r="I557" s="21">
        <v>45165</v>
      </c>
      <c r="J557" s="21">
        <v>45167</v>
      </c>
      <c r="K557" s="21">
        <v>45167</v>
      </c>
      <c r="L557" t="s">
        <v>238</v>
      </c>
      <c r="M557" t="s">
        <v>72</v>
      </c>
      <c r="N557" t="s">
        <v>73</v>
      </c>
      <c r="O557">
        <v>1</v>
      </c>
      <c r="P557" t="s">
        <v>3242</v>
      </c>
      <c r="Q557" t="s">
        <v>4779</v>
      </c>
      <c r="R557" t="s">
        <v>4713</v>
      </c>
      <c r="S557" t="s">
        <v>4719</v>
      </c>
      <c r="T557">
        <f t="shared" si="16"/>
        <v>2</v>
      </c>
      <c r="U557" s="21">
        <f t="shared" si="17"/>
        <v>45167</v>
      </c>
    </row>
    <row r="558" spans="1:21" x14ac:dyDescent="0.35">
      <c r="A558" t="s">
        <v>820</v>
      </c>
      <c r="B558" t="s">
        <v>821</v>
      </c>
      <c r="C558" t="s">
        <v>30</v>
      </c>
      <c r="D558" t="s">
        <v>21</v>
      </c>
      <c r="E558" s="1">
        <v>1184.6999999999998</v>
      </c>
      <c r="F558" t="s">
        <v>22</v>
      </c>
      <c r="G558">
        <v>0</v>
      </c>
      <c r="H558" s="1">
        <v>0</v>
      </c>
      <c r="I558" s="21">
        <v>45165</v>
      </c>
      <c r="J558" s="21">
        <v>45167</v>
      </c>
      <c r="K558" s="21">
        <v>45167</v>
      </c>
      <c r="L558" t="s">
        <v>45</v>
      </c>
      <c r="M558" t="s">
        <v>82</v>
      </c>
      <c r="N558" t="s">
        <v>47</v>
      </c>
      <c r="O558">
        <v>1</v>
      </c>
      <c r="P558" t="s">
        <v>822</v>
      </c>
      <c r="Q558" t="s">
        <v>4513</v>
      </c>
      <c r="R558" t="s">
        <v>4713</v>
      </c>
      <c r="S558" t="s">
        <v>4719</v>
      </c>
      <c r="T558">
        <f t="shared" si="16"/>
        <v>2</v>
      </c>
      <c r="U558" s="21">
        <f t="shared" si="17"/>
        <v>45167</v>
      </c>
    </row>
    <row r="559" spans="1:21" x14ac:dyDescent="0.35">
      <c r="A559" t="s">
        <v>823</v>
      </c>
      <c r="B559" t="s">
        <v>824</v>
      </c>
      <c r="C559" t="s">
        <v>30</v>
      </c>
      <c r="D559" t="s">
        <v>205</v>
      </c>
      <c r="E559" s="1">
        <v>23.616</v>
      </c>
      <c r="F559" t="s">
        <v>206</v>
      </c>
      <c r="G559">
        <v>80</v>
      </c>
      <c r="H559" s="1">
        <v>18.892800000000001</v>
      </c>
      <c r="I559" s="21">
        <v>45165</v>
      </c>
      <c r="J559" s="21">
        <v>45168</v>
      </c>
      <c r="K559" s="21">
        <v>45168</v>
      </c>
      <c r="L559" t="s">
        <v>207</v>
      </c>
      <c r="M559" t="s">
        <v>25</v>
      </c>
      <c r="N559" t="s">
        <v>26</v>
      </c>
      <c r="O559">
        <v>1</v>
      </c>
      <c r="P559" t="s">
        <v>825</v>
      </c>
      <c r="Q559" t="s">
        <v>4520</v>
      </c>
      <c r="R559" t="s">
        <v>4710</v>
      </c>
      <c r="S559" t="s">
        <v>4717</v>
      </c>
      <c r="T559">
        <f t="shared" si="16"/>
        <v>3</v>
      </c>
      <c r="U559" s="21">
        <f t="shared" si="17"/>
        <v>45168</v>
      </c>
    </row>
    <row r="560" spans="1:21" x14ac:dyDescent="0.35">
      <c r="A560" t="s">
        <v>826</v>
      </c>
      <c r="B560" t="s">
        <v>827</v>
      </c>
      <c r="C560" t="s">
        <v>19</v>
      </c>
      <c r="D560" t="s">
        <v>212</v>
      </c>
      <c r="E560" s="1">
        <v>12.96</v>
      </c>
      <c r="F560" t="s">
        <v>206</v>
      </c>
      <c r="G560">
        <v>100</v>
      </c>
      <c r="H560" s="1">
        <v>12.96</v>
      </c>
      <c r="I560" s="21">
        <v>45165</v>
      </c>
      <c r="J560" s="21">
        <v>45169</v>
      </c>
      <c r="K560" s="21">
        <v>45169</v>
      </c>
      <c r="L560" t="s">
        <v>213</v>
      </c>
      <c r="M560" t="s">
        <v>25</v>
      </c>
      <c r="N560" t="s">
        <v>26</v>
      </c>
      <c r="O560">
        <v>1</v>
      </c>
      <c r="P560" t="s">
        <v>828</v>
      </c>
      <c r="Q560" t="s">
        <v>4519</v>
      </c>
      <c r="R560" t="s">
        <v>4726</v>
      </c>
      <c r="S560" t="s">
        <v>4717</v>
      </c>
      <c r="T560">
        <f t="shared" si="16"/>
        <v>4</v>
      </c>
      <c r="U560" s="21">
        <f t="shared" si="17"/>
        <v>45169</v>
      </c>
    </row>
    <row r="561" spans="1:21" x14ac:dyDescent="0.35">
      <c r="A561" t="s">
        <v>3238</v>
      </c>
      <c r="B561" t="s">
        <v>3239</v>
      </c>
      <c r="C561" t="s">
        <v>19</v>
      </c>
      <c r="D561" t="s">
        <v>212</v>
      </c>
      <c r="E561" s="1">
        <v>318.43</v>
      </c>
      <c r="F561" t="s">
        <v>206</v>
      </c>
      <c r="G561">
        <v>100</v>
      </c>
      <c r="H561" s="1">
        <v>318.43</v>
      </c>
      <c r="I561" s="21">
        <v>45161</v>
      </c>
      <c r="J561" s="21">
        <v>45162</v>
      </c>
      <c r="K561" s="21">
        <v>45162</v>
      </c>
      <c r="L561" t="s">
        <v>220</v>
      </c>
      <c r="M561" t="s">
        <v>146</v>
      </c>
      <c r="N561" t="s">
        <v>73</v>
      </c>
      <c r="O561">
        <v>1</v>
      </c>
      <c r="P561" t="s">
        <v>2271</v>
      </c>
      <c r="Q561" t="s">
        <v>4567</v>
      </c>
      <c r="R561" t="s">
        <v>4714</v>
      </c>
      <c r="S561" t="s">
        <v>4718</v>
      </c>
      <c r="T561">
        <f t="shared" si="16"/>
        <v>1</v>
      </c>
      <c r="U561" s="21">
        <f t="shared" si="17"/>
        <v>45162</v>
      </c>
    </row>
    <row r="562" spans="1:21" x14ac:dyDescent="0.35">
      <c r="A562" t="s">
        <v>4181</v>
      </c>
      <c r="B562" t="s">
        <v>4182</v>
      </c>
      <c r="C562" t="s">
        <v>19</v>
      </c>
      <c r="D562" t="s">
        <v>212</v>
      </c>
      <c r="E562" s="1">
        <v>81.575999999999993</v>
      </c>
      <c r="F562" t="s">
        <v>206</v>
      </c>
      <c r="G562">
        <v>100</v>
      </c>
      <c r="H562" s="1">
        <v>81.575999999999993</v>
      </c>
      <c r="I562" s="21">
        <v>45161</v>
      </c>
      <c r="J562" s="21">
        <v>45168</v>
      </c>
      <c r="K562" s="21">
        <v>45168</v>
      </c>
      <c r="L562" t="s">
        <v>238</v>
      </c>
      <c r="M562" t="s">
        <v>97</v>
      </c>
      <c r="N562" t="s">
        <v>68</v>
      </c>
      <c r="O562">
        <v>1</v>
      </c>
      <c r="P562" t="s">
        <v>374</v>
      </c>
      <c r="Q562" t="s">
        <v>4558</v>
      </c>
      <c r="R562" t="s">
        <v>4713</v>
      </c>
      <c r="S562" t="s">
        <v>4719</v>
      </c>
      <c r="T562">
        <f t="shared" si="16"/>
        <v>7</v>
      </c>
      <c r="U562" s="21">
        <f t="shared" si="17"/>
        <v>45168</v>
      </c>
    </row>
    <row r="563" spans="1:21" x14ac:dyDescent="0.35">
      <c r="A563" t="s">
        <v>817</v>
      </c>
      <c r="B563" t="s">
        <v>818</v>
      </c>
      <c r="C563" t="s">
        <v>30</v>
      </c>
      <c r="D563" t="s">
        <v>205</v>
      </c>
      <c r="E563" s="1">
        <v>122.92</v>
      </c>
      <c r="F563" t="s">
        <v>206</v>
      </c>
      <c r="G563">
        <v>80</v>
      </c>
      <c r="H563" s="1">
        <v>98.336000000000013</v>
      </c>
      <c r="I563" s="21">
        <v>45161</v>
      </c>
      <c r="J563" s="21">
        <v>45165</v>
      </c>
      <c r="K563" s="21">
        <v>45165</v>
      </c>
      <c r="L563" t="s">
        <v>238</v>
      </c>
      <c r="M563" t="s">
        <v>40</v>
      </c>
      <c r="N563" t="s">
        <v>34</v>
      </c>
      <c r="O563">
        <v>1</v>
      </c>
      <c r="P563" t="s">
        <v>819</v>
      </c>
      <c r="Q563" t="s">
        <v>4565</v>
      </c>
      <c r="R563" t="s">
        <v>4713</v>
      </c>
      <c r="S563" t="s">
        <v>4719</v>
      </c>
      <c r="T563">
        <f t="shared" si="16"/>
        <v>4</v>
      </c>
      <c r="U563" s="21">
        <f t="shared" si="17"/>
        <v>45165</v>
      </c>
    </row>
    <row r="564" spans="1:21" x14ac:dyDescent="0.35">
      <c r="A564" t="s">
        <v>2041</v>
      </c>
      <c r="B564" t="s">
        <v>2042</v>
      </c>
      <c r="C564" t="s">
        <v>19</v>
      </c>
      <c r="D564" t="s">
        <v>205</v>
      </c>
      <c r="E564" s="1">
        <v>21.568000000000001</v>
      </c>
      <c r="F564" t="s">
        <v>206</v>
      </c>
      <c r="G564">
        <v>80</v>
      </c>
      <c r="H564" s="1">
        <v>17.2544</v>
      </c>
      <c r="I564" s="21">
        <v>45161</v>
      </c>
      <c r="J564" s="21">
        <v>45166</v>
      </c>
      <c r="K564" s="21">
        <v>45166</v>
      </c>
      <c r="L564" t="s">
        <v>238</v>
      </c>
      <c r="M564" t="s">
        <v>72</v>
      </c>
      <c r="N564" t="s">
        <v>73</v>
      </c>
      <c r="O564">
        <v>1</v>
      </c>
      <c r="P564" t="s">
        <v>2043</v>
      </c>
      <c r="Q564" t="s">
        <v>4729</v>
      </c>
      <c r="R564" t="s">
        <v>4709</v>
      </c>
      <c r="S564" t="s">
        <v>4717</v>
      </c>
      <c r="T564">
        <f t="shared" si="16"/>
        <v>5</v>
      </c>
      <c r="U564" s="21">
        <f t="shared" si="17"/>
        <v>45166</v>
      </c>
    </row>
    <row r="565" spans="1:21" x14ac:dyDescent="0.35">
      <c r="A565" t="s">
        <v>2039</v>
      </c>
      <c r="B565" t="s">
        <v>2040</v>
      </c>
      <c r="C565" t="s">
        <v>19</v>
      </c>
      <c r="D565" t="s">
        <v>205</v>
      </c>
      <c r="E565" s="1">
        <v>32.4</v>
      </c>
      <c r="F565" t="s">
        <v>206</v>
      </c>
      <c r="G565">
        <v>80</v>
      </c>
      <c r="H565" s="1">
        <v>25.92</v>
      </c>
      <c r="I565" s="21">
        <v>45161</v>
      </c>
      <c r="J565" s="21">
        <v>45165</v>
      </c>
      <c r="K565" s="21">
        <v>45165</v>
      </c>
      <c r="L565" t="s">
        <v>238</v>
      </c>
      <c r="M565" t="s">
        <v>67</v>
      </c>
      <c r="N565" t="s">
        <v>68</v>
      </c>
      <c r="O565">
        <v>1</v>
      </c>
      <c r="P565" t="s">
        <v>1091</v>
      </c>
      <c r="Q565" t="s">
        <v>4519</v>
      </c>
      <c r="R565" t="s">
        <v>4726</v>
      </c>
      <c r="S565" t="s">
        <v>4717</v>
      </c>
      <c r="T565">
        <f t="shared" si="16"/>
        <v>4</v>
      </c>
      <c r="U565" s="21">
        <f t="shared" si="17"/>
        <v>45165</v>
      </c>
    </row>
    <row r="566" spans="1:21" x14ac:dyDescent="0.35">
      <c r="A566" t="s">
        <v>3236</v>
      </c>
      <c r="B566" t="s">
        <v>3237</v>
      </c>
      <c r="C566" t="s">
        <v>19</v>
      </c>
      <c r="D566" t="s">
        <v>205</v>
      </c>
      <c r="E566" s="1">
        <v>77.951999999999998</v>
      </c>
      <c r="F566" t="s">
        <v>206</v>
      </c>
      <c r="G566">
        <v>80</v>
      </c>
      <c r="H566" s="1">
        <v>62.361600000000003</v>
      </c>
      <c r="I566" s="21">
        <v>45160</v>
      </c>
      <c r="J566" s="21">
        <v>45163</v>
      </c>
      <c r="K566" s="21">
        <v>45163</v>
      </c>
      <c r="L566" t="s">
        <v>220</v>
      </c>
      <c r="M566" t="s">
        <v>54</v>
      </c>
      <c r="N566" t="s">
        <v>26</v>
      </c>
      <c r="O566">
        <v>1</v>
      </c>
      <c r="P566" t="s">
        <v>130</v>
      </c>
      <c r="Q566" t="s">
        <v>4527</v>
      </c>
      <c r="R566" t="s">
        <v>4721</v>
      </c>
      <c r="S566" t="s">
        <v>4718</v>
      </c>
      <c r="T566">
        <f t="shared" si="16"/>
        <v>3</v>
      </c>
      <c r="U566" s="21">
        <f t="shared" si="17"/>
        <v>45163</v>
      </c>
    </row>
    <row r="567" spans="1:21" x14ac:dyDescent="0.35">
      <c r="A567" t="s">
        <v>4178</v>
      </c>
      <c r="B567" t="s">
        <v>4179</v>
      </c>
      <c r="C567" t="s">
        <v>19</v>
      </c>
      <c r="D567" t="s">
        <v>205</v>
      </c>
      <c r="E567" s="1">
        <v>127.554</v>
      </c>
      <c r="F567" t="s">
        <v>206</v>
      </c>
      <c r="G567">
        <v>80</v>
      </c>
      <c r="H567" s="1">
        <v>102.04320000000001</v>
      </c>
      <c r="I567" s="21">
        <v>45160</v>
      </c>
      <c r="J567" s="21">
        <v>45164</v>
      </c>
      <c r="K567" s="21">
        <v>45164</v>
      </c>
      <c r="L567" t="s">
        <v>238</v>
      </c>
      <c r="M567" t="s">
        <v>97</v>
      </c>
      <c r="N567" t="s">
        <v>68</v>
      </c>
      <c r="O567">
        <v>1</v>
      </c>
      <c r="P567" t="s">
        <v>4180</v>
      </c>
      <c r="Q567" t="s">
        <v>4567</v>
      </c>
      <c r="R567" t="s">
        <v>4714</v>
      </c>
      <c r="S567" t="s">
        <v>4718</v>
      </c>
      <c r="T567">
        <f t="shared" si="16"/>
        <v>4</v>
      </c>
      <c r="U567" s="21">
        <f t="shared" si="17"/>
        <v>45164</v>
      </c>
    </row>
    <row r="568" spans="1:21" x14ac:dyDescent="0.35">
      <c r="A568" t="s">
        <v>4176</v>
      </c>
      <c r="B568" t="s">
        <v>4177</v>
      </c>
      <c r="C568" t="s">
        <v>30</v>
      </c>
      <c r="D568" t="s">
        <v>212</v>
      </c>
      <c r="E568" s="1">
        <v>38.432000000000002</v>
      </c>
      <c r="F568" t="s">
        <v>206</v>
      </c>
      <c r="G568">
        <v>100</v>
      </c>
      <c r="H568" s="1">
        <v>38.432000000000002</v>
      </c>
      <c r="I568" s="21">
        <v>45160</v>
      </c>
      <c r="J568" s="21">
        <v>45162</v>
      </c>
      <c r="K568" s="21">
        <v>45162</v>
      </c>
      <c r="L568" t="s">
        <v>238</v>
      </c>
      <c r="M568" t="s">
        <v>82</v>
      </c>
      <c r="N568" t="s">
        <v>47</v>
      </c>
      <c r="O568">
        <v>1</v>
      </c>
      <c r="P568" t="s">
        <v>1729</v>
      </c>
      <c r="Q568" t="s">
        <v>4519</v>
      </c>
      <c r="R568" t="s">
        <v>4726</v>
      </c>
      <c r="S568" t="s">
        <v>4717</v>
      </c>
      <c r="T568">
        <f t="shared" si="16"/>
        <v>2</v>
      </c>
      <c r="U568" s="21">
        <f t="shared" si="17"/>
        <v>45162</v>
      </c>
    </row>
    <row r="569" spans="1:21" x14ac:dyDescent="0.35">
      <c r="A569" t="s">
        <v>3233</v>
      </c>
      <c r="B569" t="s">
        <v>3234</v>
      </c>
      <c r="C569" t="s">
        <v>19</v>
      </c>
      <c r="D569" t="s">
        <v>205</v>
      </c>
      <c r="E569" s="1">
        <v>30.344999999999999</v>
      </c>
      <c r="F569" t="s">
        <v>206</v>
      </c>
      <c r="G569">
        <v>80</v>
      </c>
      <c r="H569" s="1">
        <v>24.276</v>
      </c>
      <c r="I569" s="21">
        <v>45159</v>
      </c>
      <c r="J569" s="21">
        <v>45162</v>
      </c>
      <c r="K569" s="21">
        <v>45162</v>
      </c>
      <c r="L569" t="s">
        <v>248</v>
      </c>
      <c r="M569" t="s">
        <v>97</v>
      </c>
      <c r="N569" t="s">
        <v>68</v>
      </c>
      <c r="O569">
        <v>1</v>
      </c>
      <c r="P569" t="s">
        <v>3235</v>
      </c>
      <c r="Q569" t="s">
        <v>4729</v>
      </c>
      <c r="R569" t="s">
        <v>4713</v>
      </c>
      <c r="S569" t="s">
        <v>4719</v>
      </c>
      <c r="T569">
        <f t="shared" si="16"/>
        <v>3</v>
      </c>
      <c r="U569" s="21">
        <f t="shared" si="17"/>
        <v>45162</v>
      </c>
    </row>
    <row r="570" spans="1:21" x14ac:dyDescent="0.35">
      <c r="A570" t="s">
        <v>3231</v>
      </c>
      <c r="B570" t="s">
        <v>3232</v>
      </c>
      <c r="C570" t="s">
        <v>19</v>
      </c>
      <c r="D570" t="s">
        <v>21</v>
      </c>
      <c r="E570" s="1">
        <v>448.79199999999997</v>
      </c>
      <c r="F570" t="s">
        <v>22</v>
      </c>
      <c r="G570">
        <v>0</v>
      </c>
      <c r="H570" s="1">
        <v>0</v>
      </c>
      <c r="I570" s="21">
        <v>45158</v>
      </c>
      <c r="J570" s="21">
        <v>45159</v>
      </c>
      <c r="K570" s="21">
        <v>45159</v>
      </c>
      <c r="L570" t="s">
        <v>32</v>
      </c>
      <c r="M570" t="s">
        <v>25</v>
      </c>
      <c r="N570" t="s">
        <v>26</v>
      </c>
      <c r="O570">
        <v>1</v>
      </c>
      <c r="P570" t="s">
        <v>2652</v>
      </c>
      <c r="Q570" t="s">
        <v>4729</v>
      </c>
      <c r="R570" t="s">
        <v>4726</v>
      </c>
      <c r="S570" t="s">
        <v>4717</v>
      </c>
      <c r="T570">
        <f t="shared" si="16"/>
        <v>1</v>
      </c>
      <c r="U570" s="21">
        <f t="shared" si="17"/>
        <v>45159</v>
      </c>
    </row>
    <row r="571" spans="1:21" x14ac:dyDescent="0.35">
      <c r="A571" t="s">
        <v>812</v>
      </c>
      <c r="B571" t="s">
        <v>813</v>
      </c>
      <c r="C571" t="s">
        <v>30</v>
      </c>
      <c r="D571" t="s">
        <v>205</v>
      </c>
      <c r="E571" s="1">
        <v>20.82</v>
      </c>
      <c r="F571" t="s">
        <v>206</v>
      </c>
      <c r="G571">
        <v>80</v>
      </c>
      <c r="H571" s="1">
        <v>16.656000000000002</v>
      </c>
      <c r="I571" s="21">
        <v>45157</v>
      </c>
      <c r="J571" s="21">
        <v>45163</v>
      </c>
      <c r="K571" s="21">
        <v>45163</v>
      </c>
      <c r="L571" t="s">
        <v>238</v>
      </c>
      <c r="M571" t="s">
        <v>82</v>
      </c>
      <c r="N571" t="s">
        <v>47</v>
      </c>
      <c r="O571">
        <v>1</v>
      </c>
      <c r="P571" t="s">
        <v>632</v>
      </c>
      <c r="Q571" t="s">
        <v>4549</v>
      </c>
      <c r="R571" t="s">
        <v>4726</v>
      </c>
      <c r="S571" t="s">
        <v>4717</v>
      </c>
      <c r="T571">
        <f t="shared" si="16"/>
        <v>6</v>
      </c>
      <c r="U571" s="21">
        <f t="shared" si="17"/>
        <v>45163</v>
      </c>
    </row>
    <row r="572" spans="1:21" x14ac:dyDescent="0.35">
      <c r="A572" t="s">
        <v>814</v>
      </c>
      <c r="B572" t="s">
        <v>815</v>
      </c>
      <c r="C572" t="s">
        <v>19</v>
      </c>
      <c r="D572" t="s">
        <v>21</v>
      </c>
      <c r="E572" s="1">
        <v>85.908000000000001</v>
      </c>
      <c r="F572" t="s">
        <v>22</v>
      </c>
      <c r="G572">
        <v>0</v>
      </c>
      <c r="H572" s="1">
        <v>0</v>
      </c>
      <c r="I572" s="21">
        <v>45157</v>
      </c>
      <c r="J572" s="21">
        <v>45159</v>
      </c>
      <c r="K572" s="21">
        <v>45159</v>
      </c>
      <c r="L572" t="s">
        <v>53</v>
      </c>
      <c r="M572" t="s">
        <v>40</v>
      </c>
      <c r="N572" t="s">
        <v>34</v>
      </c>
      <c r="O572">
        <v>1</v>
      </c>
      <c r="P572" t="s">
        <v>816</v>
      </c>
      <c r="Q572" t="s">
        <v>4528</v>
      </c>
      <c r="R572" t="s">
        <v>4726</v>
      </c>
      <c r="S572" t="s">
        <v>4717</v>
      </c>
      <c r="T572">
        <f t="shared" si="16"/>
        <v>2</v>
      </c>
      <c r="U572" s="21">
        <f t="shared" si="17"/>
        <v>45159</v>
      </c>
    </row>
    <row r="573" spans="1:21" x14ac:dyDescent="0.35">
      <c r="A573" t="s">
        <v>2036</v>
      </c>
      <c r="B573" t="s">
        <v>2037</v>
      </c>
      <c r="C573" t="s">
        <v>19</v>
      </c>
      <c r="D573" t="s">
        <v>212</v>
      </c>
      <c r="E573" s="1">
        <v>289.56799999999998</v>
      </c>
      <c r="F573" t="s">
        <v>206</v>
      </c>
      <c r="G573">
        <v>100</v>
      </c>
      <c r="H573" s="1">
        <v>289.56799999999998</v>
      </c>
      <c r="I573" s="21">
        <v>45157</v>
      </c>
      <c r="J573" s="21">
        <v>45162</v>
      </c>
      <c r="K573" s="21">
        <v>45162</v>
      </c>
      <c r="L573" t="s">
        <v>207</v>
      </c>
      <c r="M573" t="s">
        <v>67</v>
      </c>
      <c r="N573" t="s">
        <v>68</v>
      </c>
      <c r="O573">
        <v>1</v>
      </c>
      <c r="P573" t="s">
        <v>2038</v>
      </c>
      <c r="Q573" t="s">
        <v>4606</v>
      </c>
      <c r="R573" t="s">
        <v>4723</v>
      </c>
      <c r="S573" t="s">
        <v>4718</v>
      </c>
      <c r="T573">
        <f t="shared" si="16"/>
        <v>5</v>
      </c>
      <c r="U573" s="21">
        <f t="shared" si="17"/>
        <v>45162</v>
      </c>
    </row>
    <row r="574" spans="1:21" x14ac:dyDescent="0.35">
      <c r="A574" t="s">
        <v>3228</v>
      </c>
      <c r="B574" t="s">
        <v>3229</v>
      </c>
      <c r="C574" t="s">
        <v>30</v>
      </c>
      <c r="D574" t="s">
        <v>205</v>
      </c>
      <c r="E574" s="1">
        <v>9.08</v>
      </c>
      <c r="F574" t="s">
        <v>206</v>
      </c>
      <c r="G574">
        <v>80</v>
      </c>
      <c r="H574" s="1">
        <v>7.2640000000000002</v>
      </c>
      <c r="I574" s="21">
        <v>45156</v>
      </c>
      <c r="J574" s="21">
        <v>45160</v>
      </c>
      <c r="K574" s="21">
        <v>45160</v>
      </c>
      <c r="L574" t="s">
        <v>234</v>
      </c>
      <c r="M574" t="s">
        <v>146</v>
      </c>
      <c r="N574" t="s">
        <v>73</v>
      </c>
      <c r="O574">
        <v>1</v>
      </c>
      <c r="P574" t="s">
        <v>3230</v>
      </c>
      <c r="Q574" t="s">
        <v>4646</v>
      </c>
      <c r="R574" t="s">
        <v>4726</v>
      </c>
      <c r="S574" t="s">
        <v>4717</v>
      </c>
      <c r="T574">
        <f t="shared" si="16"/>
        <v>4</v>
      </c>
      <c r="U574" s="21">
        <f t="shared" si="17"/>
        <v>45160</v>
      </c>
    </row>
    <row r="575" spans="1:21" x14ac:dyDescent="0.35">
      <c r="A575" t="s">
        <v>4174</v>
      </c>
      <c r="B575" t="s">
        <v>4175</v>
      </c>
      <c r="C575" t="s">
        <v>30</v>
      </c>
      <c r="D575" t="s">
        <v>212</v>
      </c>
      <c r="E575" s="1">
        <v>10.7799999999999</v>
      </c>
      <c r="F575" t="s">
        <v>206</v>
      </c>
      <c r="G575">
        <v>100</v>
      </c>
      <c r="H575" s="1">
        <v>10.7799999999999</v>
      </c>
      <c r="I575" s="21">
        <v>45155</v>
      </c>
      <c r="J575" s="21">
        <v>45158</v>
      </c>
      <c r="K575" s="21">
        <v>45158</v>
      </c>
      <c r="L575" t="s">
        <v>213</v>
      </c>
      <c r="M575" t="s">
        <v>82</v>
      </c>
      <c r="N575" t="s">
        <v>47</v>
      </c>
      <c r="O575">
        <v>1</v>
      </c>
      <c r="P575" t="s">
        <v>2350</v>
      </c>
      <c r="Q575" t="s">
        <v>4528</v>
      </c>
      <c r="R575" t="s">
        <v>4726</v>
      </c>
      <c r="S575" t="s">
        <v>4717</v>
      </c>
      <c r="T575">
        <f t="shared" si="16"/>
        <v>3</v>
      </c>
      <c r="U575" s="21">
        <f t="shared" si="17"/>
        <v>45158</v>
      </c>
    </row>
    <row r="576" spans="1:21" x14ac:dyDescent="0.35">
      <c r="A576" t="s">
        <v>2033</v>
      </c>
      <c r="B576" t="s">
        <v>2034</v>
      </c>
      <c r="C576" t="s">
        <v>30</v>
      </c>
      <c r="D576" t="s">
        <v>205</v>
      </c>
      <c r="E576" s="1">
        <v>2.3279999999999998</v>
      </c>
      <c r="F576" t="s">
        <v>206</v>
      </c>
      <c r="G576">
        <v>80</v>
      </c>
      <c r="H576" s="1">
        <v>1.8624000000000001</v>
      </c>
      <c r="I576" s="21">
        <v>45155</v>
      </c>
      <c r="J576" s="21">
        <v>45161</v>
      </c>
      <c r="K576" s="21">
        <v>45161</v>
      </c>
      <c r="L576" t="s">
        <v>248</v>
      </c>
      <c r="M576" t="s">
        <v>82</v>
      </c>
      <c r="N576" t="s">
        <v>47</v>
      </c>
      <c r="O576">
        <v>1</v>
      </c>
      <c r="P576" t="s">
        <v>2035</v>
      </c>
      <c r="Q576" t="s">
        <v>4586</v>
      </c>
      <c r="R576" t="s">
        <v>4721</v>
      </c>
      <c r="S576" t="s">
        <v>4718</v>
      </c>
      <c r="T576">
        <f t="shared" si="16"/>
        <v>6</v>
      </c>
      <c r="U576" s="21">
        <f t="shared" si="17"/>
        <v>45161</v>
      </c>
    </row>
    <row r="577" spans="1:21" x14ac:dyDescent="0.35">
      <c r="A577" t="s">
        <v>3225</v>
      </c>
      <c r="B577" t="s">
        <v>3226</v>
      </c>
      <c r="C577" t="s">
        <v>19</v>
      </c>
      <c r="D577" t="s">
        <v>205</v>
      </c>
      <c r="E577" s="1">
        <v>71.959999999999994</v>
      </c>
      <c r="F577" t="s">
        <v>206</v>
      </c>
      <c r="G577">
        <v>80</v>
      </c>
      <c r="H577" s="1">
        <v>57.567999999999998</v>
      </c>
      <c r="I577" s="21">
        <v>45155</v>
      </c>
      <c r="J577" s="21">
        <v>45159</v>
      </c>
      <c r="K577" s="21">
        <v>45159</v>
      </c>
      <c r="L577" t="s">
        <v>220</v>
      </c>
      <c r="M577" t="s">
        <v>40</v>
      </c>
      <c r="N577" t="s">
        <v>34</v>
      </c>
      <c r="O577">
        <v>1</v>
      </c>
      <c r="P577" t="s">
        <v>3227</v>
      </c>
      <c r="Q577" t="s">
        <v>4684</v>
      </c>
      <c r="R577" t="s">
        <v>4711</v>
      </c>
      <c r="S577" t="s">
        <v>4719</v>
      </c>
      <c r="T577">
        <f t="shared" si="16"/>
        <v>4</v>
      </c>
      <c r="U577" s="21">
        <f t="shared" si="17"/>
        <v>45159</v>
      </c>
    </row>
    <row r="578" spans="1:21" x14ac:dyDescent="0.35">
      <c r="A578" t="s">
        <v>3221</v>
      </c>
      <c r="B578" t="s">
        <v>3222</v>
      </c>
      <c r="C578" t="s">
        <v>30</v>
      </c>
      <c r="D578" t="s">
        <v>212</v>
      </c>
      <c r="E578" s="1">
        <v>14.352</v>
      </c>
      <c r="F578" t="s">
        <v>206</v>
      </c>
      <c r="G578">
        <v>100</v>
      </c>
      <c r="H578" s="1">
        <v>14.352</v>
      </c>
      <c r="I578" s="21">
        <v>45154</v>
      </c>
      <c r="J578" s="21">
        <v>45159</v>
      </c>
      <c r="K578" s="21">
        <v>45159</v>
      </c>
      <c r="L578" t="s">
        <v>207</v>
      </c>
      <c r="M578" t="s">
        <v>97</v>
      </c>
      <c r="N578" t="s">
        <v>68</v>
      </c>
      <c r="O578">
        <v>1</v>
      </c>
      <c r="P578" t="s">
        <v>1709</v>
      </c>
      <c r="Q578" t="s">
        <v>4517</v>
      </c>
      <c r="R578" t="s">
        <v>4726</v>
      </c>
      <c r="S578" t="s">
        <v>4717</v>
      </c>
      <c r="T578">
        <f t="shared" ref="T578:T641" si="18">J578-I578</f>
        <v>5</v>
      </c>
      <c r="U578" s="21">
        <f t="shared" si="17"/>
        <v>45159</v>
      </c>
    </row>
    <row r="579" spans="1:21" x14ac:dyDescent="0.35">
      <c r="A579" t="s">
        <v>3223</v>
      </c>
      <c r="B579" t="s">
        <v>3224</v>
      </c>
      <c r="C579" t="s">
        <v>19</v>
      </c>
      <c r="D579" t="s">
        <v>205</v>
      </c>
      <c r="E579" s="1">
        <v>64.959999999999994</v>
      </c>
      <c r="F579" t="s">
        <v>206</v>
      </c>
      <c r="G579">
        <v>80</v>
      </c>
      <c r="H579" s="1">
        <v>51.967999999999996</v>
      </c>
      <c r="I579" s="21">
        <v>45154</v>
      </c>
      <c r="J579" s="21">
        <v>45156</v>
      </c>
      <c r="K579" s="21">
        <v>45156</v>
      </c>
      <c r="L579" t="s">
        <v>234</v>
      </c>
      <c r="M579" t="s">
        <v>82</v>
      </c>
      <c r="N579" t="s">
        <v>47</v>
      </c>
      <c r="O579">
        <v>1</v>
      </c>
      <c r="P579" t="s">
        <v>1849</v>
      </c>
      <c r="Q579" t="s">
        <v>4560</v>
      </c>
      <c r="R579" t="s">
        <v>4709</v>
      </c>
      <c r="S579" t="s">
        <v>4717</v>
      </c>
      <c r="T579">
        <f t="shared" si="18"/>
        <v>2</v>
      </c>
      <c r="U579" s="21">
        <f t="shared" ref="U579:U642" si="19">J579</f>
        <v>45156</v>
      </c>
    </row>
    <row r="580" spans="1:21" x14ac:dyDescent="0.35">
      <c r="A580" t="s">
        <v>4171</v>
      </c>
      <c r="B580" t="s">
        <v>4172</v>
      </c>
      <c r="C580" t="s">
        <v>19</v>
      </c>
      <c r="D580" t="s">
        <v>205</v>
      </c>
      <c r="E580" s="1">
        <v>61.192</v>
      </c>
      <c r="F580" t="s">
        <v>206</v>
      </c>
      <c r="G580">
        <v>80</v>
      </c>
      <c r="H580" s="1">
        <v>48.953600000000002</v>
      </c>
      <c r="I580" s="21">
        <v>45153</v>
      </c>
      <c r="J580" s="21">
        <v>45155</v>
      </c>
      <c r="K580" s="21">
        <v>45155</v>
      </c>
      <c r="L580" t="s">
        <v>248</v>
      </c>
      <c r="M580" t="s">
        <v>40</v>
      </c>
      <c r="N580" t="s">
        <v>34</v>
      </c>
      <c r="O580">
        <v>1</v>
      </c>
      <c r="P580" t="s">
        <v>4173</v>
      </c>
      <c r="Q580" t="s">
        <v>4605</v>
      </c>
      <c r="R580" t="s">
        <v>4711</v>
      </c>
      <c r="S580" t="s">
        <v>4719</v>
      </c>
      <c r="T580">
        <f t="shared" si="18"/>
        <v>2</v>
      </c>
      <c r="U580" s="21">
        <f t="shared" si="19"/>
        <v>45155</v>
      </c>
    </row>
    <row r="581" spans="1:21" x14ac:dyDescent="0.35">
      <c r="A581" t="s">
        <v>809</v>
      </c>
      <c r="B581" t="s">
        <v>810</v>
      </c>
      <c r="C581" t="s">
        <v>30</v>
      </c>
      <c r="D581" t="s">
        <v>21</v>
      </c>
      <c r="E581" s="1">
        <v>125.91999999999999</v>
      </c>
      <c r="F581" t="s">
        <v>22</v>
      </c>
      <c r="G581">
        <v>0</v>
      </c>
      <c r="H581" s="1">
        <v>0</v>
      </c>
      <c r="I581" s="21">
        <v>45152</v>
      </c>
      <c r="J581" s="21">
        <v>45155</v>
      </c>
      <c r="K581" s="21">
        <v>45155</v>
      </c>
      <c r="L581" t="s">
        <v>24</v>
      </c>
      <c r="M581" t="s">
        <v>97</v>
      </c>
      <c r="N581" t="s">
        <v>68</v>
      </c>
      <c r="O581">
        <v>1</v>
      </c>
      <c r="P581" t="s">
        <v>811</v>
      </c>
      <c r="Q581" t="s">
        <v>4517</v>
      </c>
      <c r="R581" t="s">
        <v>4726</v>
      </c>
      <c r="S581" t="s">
        <v>4717</v>
      </c>
      <c r="T581">
        <f t="shared" si="18"/>
        <v>3</v>
      </c>
      <c r="U581" s="21">
        <f t="shared" si="19"/>
        <v>45155</v>
      </c>
    </row>
    <row r="582" spans="1:21" x14ac:dyDescent="0.35">
      <c r="A582" t="s">
        <v>2030</v>
      </c>
      <c r="B582" t="s">
        <v>2031</v>
      </c>
      <c r="C582" t="s">
        <v>30</v>
      </c>
      <c r="D582" t="s">
        <v>212</v>
      </c>
      <c r="E582" s="1">
        <v>14.94</v>
      </c>
      <c r="F582" t="s">
        <v>206</v>
      </c>
      <c r="G582">
        <v>100</v>
      </c>
      <c r="H582" s="1">
        <v>14.94</v>
      </c>
      <c r="I582" s="21">
        <v>45151</v>
      </c>
      <c r="J582" s="21">
        <v>45151</v>
      </c>
      <c r="K582" s="21">
        <v>45151</v>
      </c>
      <c r="L582" t="s">
        <v>220</v>
      </c>
      <c r="M582" t="s">
        <v>33</v>
      </c>
      <c r="N582" t="s">
        <v>34</v>
      </c>
      <c r="O582">
        <v>1</v>
      </c>
      <c r="P582" t="s">
        <v>2032</v>
      </c>
      <c r="Q582" t="s">
        <v>4517</v>
      </c>
      <c r="R582" t="s">
        <v>4726</v>
      </c>
      <c r="S582" t="s">
        <v>4717</v>
      </c>
      <c r="T582">
        <f t="shared" si="18"/>
        <v>0</v>
      </c>
      <c r="U582" s="21">
        <f t="shared" si="19"/>
        <v>45151</v>
      </c>
    </row>
    <row r="583" spans="1:21" x14ac:dyDescent="0.35">
      <c r="A583" t="s">
        <v>807</v>
      </c>
      <c r="B583" t="s">
        <v>808</v>
      </c>
      <c r="C583" t="s">
        <v>30</v>
      </c>
      <c r="D583" t="s">
        <v>212</v>
      </c>
      <c r="E583" s="1">
        <v>451.15199999999902</v>
      </c>
      <c r="F583" t="s">
        <v>206</v>
      </c>
      <c r="G583">
        <v>100</v>
      </c>
      <c r="H583" s="1">
        <v>451.15199999999902</v>
      </c>
      <c r="I583" s="21">
        <v>45151</v>
      </c>
      <c r="J583" s="21">
        <v>45155</v>
      </c>
      <c r="K583" s="21">
        <v>45155</v>
      </c>
      <c r="L583" t="s">
        <v>238</v>
      </c>
      <c r="M583" t="s">
        <v>97</v>
      </c>
      <c r="N583" t="s">
        <v>68</v>
      </c>
      <c r="O583">
        <v>1</v>
      </c>
      <c r="P583" t="s">
        <v>270</v>
      </c>
      <c r="Q583" t="s">
        <v>4729</v>
      </c>
      <c r="R583" t="s">
        <v>4714</v>
      </c>
      <c r="S583" t="s">
        <v>4718</v>
      </c>
      <c r="T583">
        <f t="shared" si="18"/>
        <v>4</v>
      </c>
      <c r="U583" s="21">
        <f t="shared" si="19"/>
        <v>45155</v>
      </c>
    </row>
    <row r="584" spans="1:21" x14ac:dyDescent="0.35">
      <c r="A584" t="s">
        <v>4169</v>
      </c>
      <c r="B584" t="s">
        <v>4170</v>
      </c>
      <c r="C584" t="s">
        <v>19</v>
      </c>
      <c r="D584" t="s">
        <v>205</v>
      </c>
      <c r="E584" s="1">
        <v>30.36</v>
      </c>
      <c r="F584" t="s">
        <v>206</v>
      </c>
      <c r="G584">
        <v>80</v>
      </c>
      <c r="H584" s="1">
        <v>24.288</v>
      </c>
      <c r="I584" s="21">
        <v>45151</v>
      </c>
      <c r="J584" s="21">
        <v>45155</v>
      </c>
      <c r="K584" s="21">
        <v>45155</v>
      </c>
      <c r="L584" t="s">
        <v>234</v>
      </c>
      <c r="M584" t="s">
        <v>40</v>
      </c>
      <c r="N584" t="s">
        <v>34</v>
      </c>
      <c r="O584">
        <v>1</v>
      </c>
      <c r="P584" t="s">
        <v>133</v>
      </c>
      <c r="Q584" t="s">
        <v>4729</v>
      </c>
      <c r="R584" t="s">
        <v>4721</v>
      </c>
      <c r="S584" t="s">
        <v>4718</v>
      </c>
      <c r="T584">
        <f t="shared" si="18"/>
        <v>4</v>
      </c>
      <c r="U584" s="21">
        <f t="shared" si="19"/>
        <v>45155</v>
      </c>
    </row>
    <row r="585" spans="1:21" x14ac:dyDescent="0.35">
      <c r="A585" t="s">
        <v>2027</v>
      </c>
      <c r="B585" t="s">
        <v>2028</v>
      </c>
      <c r="C585" t="s">
        <v>19</v>
      </c>
      <c r="D585" t="s">
        <v>205</v>
      </c>
      <c r="E585" s="1">
        <v>28.4</v>
      </c>
      <c r="F585" t="s">
        <v>206</v>
      </c>
      <c r="G585">
        <v>80</v>
      </c>
      <c r="H585" s="1">
        <v>22.72</v>
      </c>
      <c r="I585" s="21">
        <v>45151</v>
      </c>
      <c r="J585" s="21">
        <v>45153</v>
      </c>
      <c r="K585" s="21">
        <v>45153</v>
      </c>
      <c r="L585" t="s">
        <v>207</v>
      </c>
      <c r="M585" t="s">
        <v>67</v>
      </c>
      <c r="N585" t="s">
        <v>68</v>
      </c>
      <c r="O585">
        <v>1</v>
      </c>
      <c r="P585" t="s">
        <v>2029</v>
      </c>
      <c r="Q585" t="s">
        <v>4729</v>
      </c>
      <c r="R585" t="s">
        <v>4512</v>
      </c>
      <c r="S585" t="s">
        <v>4717</v>
      </c>
      <c r="T585">
        <f t="shared" si="18"/>
        <v>2</v>
      </c>
      <c r="U585" s="21">
        <f t="shared" si="19"/>
        <v>45153</v>
      </c>
    </row>
    <row r="586" spans="1:21" x14ac:dyDescent="0.35">
      <c r="A586" t="s">
        <v>3218</v>
      </c>
      <c r="B586" t="s">
        <v>3219</v>
      </c>
      <c r="C586" t="s">
        <v>30</v>
      </c>
      <c r="D586" t="s">
        <v>205</v>
      </c>
      <c r="E586" s="1">
        <v>2279.96</v>
      </c>
      <c r="F586" t="s">
        <v>206</v>
      </c>
      <c r="G586">
        <v>80</v>
      </c>
      <c r="H586" s="1">
        <v>1823.9680000000001</v>
      </c>
      <c r="I586" s="21">
        <v>45151</v>
      </c>
      <c r="J586" s="21">
        <v>45154</v>
      </c>
      <c r="K586" s="21">
        <v>45154</v>
      </c>
      <c r="L586" t="s">
        <v>213</v>
      </c>
      <c r="M586" t="s">
        <v>72</v>
      </c>
      <c r="N586" t="s">
        <v>73</v>
      </c>
      <c r="O586">
        <v>1</v>
      </c>
      <c r="P586" t="s">
        <v>3220</v>
      </c>
      <c r="Q586" t="s">
        <v>4683</v>
      </c>
      <c r="R586" t="s">
        <v>4711</v>
      </c>
      <c r="S586" t="s">
        <v>4719</v>
      </c>
      <c r="T586">
        <f t="shared" si="18"/>
        <v>3</v>
      </c>
      <c r="U586" s="21">
        <f t="shared" si="19"/>
        <v>45154</v>
      </c>
    </row>
    <row r="587" spans="1:21" x14ac:dyDescent="0.35">
      <c r="A587" t="s">
        <v>4166</v>
      </c>
      <c r="B587" t="s">
        <v>4167</v>
      </c>
      <c r="C587" t="s">
        <v>19</v>
      </c>
      <c r="D587" t="s">
        <v>21</v>
      </c>
      <c r="E587" s="1">
        <v>645.13599999999997</v>
      </c>
      <c r="F587" t="s">
        <v>22</v>
      </c>
      <c r="G587">
        <v>0</v>
      </c>
      <c r="H587" s="1">
        <v>0</v>
      </c>
      <c r="I587" s="21">
        <v>45148</v>
      </c>
      <c r="J587" s="21">
        <v>45151</v>
      </c>
      <c r="K587" s="21">
        <v>45151</v>
      </c>
      <c r="L587" t="s">
        <v>32</v>
      </c>
      <c r="M587" t="s">
        <v>54</v>
      </c>
      <c r="N587" t="s">
        <v>26</v>
      </c>
      <c r="O587">
        <v>1</v>
      </c>
      <c r="P587" t="s">
        <v>4168</v>
      </c>
      <c r="Q587" t="s">
        <v>4519</v>
      </c>
      <c r="R587" t="s">
        <v>4726</v>
      </c>
      <c r="S587" t="s">
        <v>4717</v>
      </c>
      <c r="T587">
        <f t="shared" si="18"/>
        <v>3</v>
      </c>
      <c r="U587" s="21">
        <f t="shared" si="19"/>
        <v>45151</v>
      </c>
    </row>
    <row r="588" spans="1:21" x14ac:dyDescent="0.35">
      <c r="A588" t="s">
        <v>3215</v>
      </c>
      <c r="B588" t="s">
        <v>3216</v>
      </c>
      <c r="C588" t="s">
        <v>19</v>
      </c>
      <c r="D588" t="s">
        <v>212</v>
      </c>
      <c r="E588" s="1">
        <v>59.97</v>
      </c>
      <c r="F588" t="s">
        <v>206</v>
      </c>
      <c r="G588">
        <v>100</v>
      </c>
      <c r="H588" s="1">
        <v>59.97</v>
      </c>
      <c r="I588" s="21">
        <v>45147</v>
      </c>
      <c r="J588" s="21">
        <v>45153</v>
      </c>
      <c r="K588" s="21">
        <v>45153</v>
      </c>
      <c r="L588" t="s">
        <v>213</v>
      </c>
      <c r="M588" t="s">
        <v>54</v>
      </c>
      <c r="N588" t="s">
        <v>26</v>
      </c>
      <c r="O588">
        <v>1</v>
      </c>
      <c r="P588" t="s">
        <v>3217</v>
      </c>
      <c r="Q588" t="s">
        <v>4729</v>
      </c>
      <c r="R588" t="s">
        <v>4713</v>
      </c>
      <c r="S588" t="s">
        <v>4719</v>
      </c>
      <c r="T588">
        <f t="shared" si="18"/>
        <v>6</v>
      </c>
      <c r="U588" s="21">
        <f t="shared" si="19"/>
        <v>45153</v>
      </c>
    </row>
    <row r="589" spans="1:21" x14ac:dyDescent="0.35">
      <c r="A589" t="s">
        <v>804</v>
      </c>
      <c r="B589" t="s">
        <v>805</v>
      </c>
      <c r="C589" t="s">
        <v>30</v>
      </c>
      <c r="D589" t="s">
        <v>205</v>
      </c>
      <c r="E589" s="1">
        <v>83.36</v>
      </c>
      <c r="F589" t="s">
        <v>206</v>
      </c>
      <c r="G589">
        <v>80</v>
      </c>
      <c r="H589" s="1">
        <v>66.688000000000002</v>
      </c>
      <c r="I589" s="21">
        <v>45147</v>
      </c>
      <c r="J589" s="21">
        <v>45152</v>
      </c>
      <c r="K589" s="21">
        <v>45152</v>
      </c>
      <c r="L589" t="s">
        <v>207</v>
      </c>
      <c r="M589" t="s">
        <v>46</v>
      </c>
      <c r="N589" t="s">
        <v>47</v>
      </c>
      <c r="O589">
        <v>1</v>
      </c>
      <c r="P589" t="s">
        <v>806</v>
      </c>
      <c r="Q589" t="s">
        <v>4581</v>
      </c>
      <c r="R589" t="s">
        <v>4721</v>
      </c>
      <c r="S589" t="s">
        <v>4717</v>
      </c>
      <c r="T589">
        <f t="shared" si="18"/>
        <v>5</v>
      </c>
      <c r="U589" s="21">
        <f t="shared" si="19"/>
        <v>45152</v>
      </c>
    </row>
    <row r="590" spans="1:21" x14ac:dyDescent="0.35">
      <c r="A590" t="s">
        <v>801</v>
      </c>
      <c r="B590" t="s">
        <v>802</v>
      </c>
      <c r="C590" t="s">
        <v>19</v>
      </c>
      <c r="D590" t="s">
        <v>205</v>
      </c>
      <c r="E590" s="1">
        <v>81.959999999999894</v>
      </c>
      <c r="F590" t="s">
        <v>206</v>
      </c>
      <c r="G590">
        <v>80</v>
      </c>
      <c r="H590" s="1">
        <v>65.567999999999913</v>
      </c>
      <c r="I590" s="21">
        <v>45146</v>
      </c>
      <c r="J590" s="21">
        <v>45150</v>
      </c>
      <c r="K590" s="21">
        <v>45150</v>
      </c>
      <c r="L590" t="s">
        <v>238</v>
      </c>
      <c r="M590" t="s">
        <v>67</v>
      </c>
      <c r="N590" t="s">
        <v>68</v>
      </c>
      <c r="O590">
        <v>1</v>
      </c>
      <c r="P590" t="s">
        <v>803</v>
      </c>
      <c r="Q590" t="s">
        <v>4515</v>
      </c>
      <c r="R590" t="s">
        <v>4726</v>
      </c>
      <c r="S590" t="s">
        <v>4717</v>
      </c>
      <c r="T590">
        <f t="shared" si="18"/>
        <v>4</v>
      </c>
      <c r="U590" s="21">
        <f t="shared" si="19"/>
        <v>45150</v>
      </c>
    </row>
    <row r="591" spans="1:21" x14ac:dyDescent="0.35">
      <c r="A591" t="s">
        <v>798</v>
      </c>
      <c r="B591" t="s">
        <v>799</v>
      </c>
      <c r="C591" t="s">
        <v>19</v>
      </c>
      <c r="D591" t="s">
        <v>205</v>
      </c>
      <c r="E591" s="1">
        <v>37.299999999999997</v>
      </c>
      <c r="F591" t="s">
        <v>206</v>
      </c>
      <c r="G591">
        <v>80</v>
      </c>
      <c r="H591" s="1">
        <v>29.84</v>
      </c>
      <c r="I591" s="21">
        <v>45145</v>
      </c>
      <c r="J591" s="21">
        <v>45146</v>
      </c>
      <c r="K591" s="21">
        <v>45146</v>
      </c>
      <c r="L591" t="s">
        <v>248</v>
      </c>
      <c r="M591" t="s">
        <v>97</v>
      </c>
      <c r="N591" t="s">
        <v>68</v>
      </c>
      <c r="O591">
        <v>1</v>
      </c>
      <c r="P591" t="s">
        <v>800</v>
      </c>
      <c r="Q591" t="s">
        <v>4599</v>
      </c>
      <c r="R591" t="s">
        <v>4721</v>
      </c>
      <c r="S591" t="s">
        <v>4718</v>
      </c>
      <c r="T591">
        <f t="shared" si="18"/>
        <v>1</v>
      </c>
      <c r="U591" s="21">
        <f t="shared" si="19"/>
        <v>45146</v>
      </c>
    </row>
    <row r="592" spans="1:21" x14ac:dyDescent="0.35">
      <c r="A592" t="s">
        <v>2024</v>
      </c>
      <c r="B592" t="s">
        <v>2025</v>
      </c>
      <c r="C592" t="s">
        <v>19</v>
      </c>
      <c r="D592" t="s">
        <v>205</v>
      </c>
      <c r="E592" s="1">
        <v>57.584000000000003</v>
      </c>
      <c r="F592" t="s">
        <v>206</v>
      </c>
      <c r="G592">
        <v>80</v>
      </c>
      <c r="H592" s="1">
        <v>46.067200000000007</v>
      </c>
      <c r="I592" s="21">
        <v>45145</v>
      </c>
      <c r="J592" s="21">
        <v>45152</v>
      </c>
      <c r="K592" s="21">
        <v>45152</v>
      </c>
      <c r="L592" t="s">
        <v>207</v>
      </c>
      <c r="M592" t="s">
        <v>46</v>
      </c>
      <c r="N592" t="s">
        <v>47</v>
      </c>
      <c r="O592">
        <v>1</v>
      </c>
      <c r="P592" t="s">
        <v>2026</v>
      </c>
      <c r="Q592" t="s">
        <v>4528</v>
      </c>
      <c r="R592" t="s">
        <v>4726</v>
      </c>
      <c r="S592" t="s">
        <v>4717</v>
      </c>
      <c r="T592">
        <f t="shared" si="18"/>
        <v>7</v>
      </c>
      <c r="U592" s="21">
        <f t="shared" si="19"/>
        <v>45152</v>
      </c>
    </row>
    <row r="593" spans="1:21" x14ac:dyDescent="0.35">
      <c r="A593" t="s">
        <v>3212</v>
      </c>
      <c r="B593" t="s">
        <v>3213</v>
      </c>
      <c r="C593" t="s">
        <v>19</v>
      </c>
      <c r="D593" t="s">
        <v>205</v>
      </c>
      <c r="E593" s="1">
        <v>314.08800000000002</v>
      </c>
      <c r="F593" t="s">
        <v>206</v>
      </c>
      <c r="G593">
        <v>80</v>
      </c>
      <c r="H593" s="1">
        <v>251.27040000000002</v>
      </c>
      <c r="I593" s="21">
        <v>45145</v>
      </c>
      <c r="J593" s="21">
        <v>45150</v>
      </c>
      <c r="K593" s="21">
        <v>45150</v>
      </c>
      <c r="L593" t="s">
        <v>207</v>
      </c>
      <c r="M593" t="s">
        <v>54</v>
      </c>
      <c r="N593" t="s">
        <v>26</v>
      </c>
      <c r="O593">
        <v>1</v>
      </c>
      <c r="P593" t="s">
        <v>3214</v>
      </c>
      <c r="Q593" t="s">
        <v>4729</v>
      </c>
      <c r="R593" t="s">
        <v>4726</v>
      </c>
      <c r="S593" t="s">
        <v>4717</v>
      </c>
      <c r="T593">
        <f t="shared" si="18"/>
        <v>5</v>
      </c>
      <c r="U593" s="21">
        <f t="shared" si="19"/>
        <v>45150</v>
      </c>
    </row>
    <row r="594" spans="1:21" x14ac:dyDescent="0.35">
      <c r="A594" t="s">
        <v>2021</v>
      </c>
      <c r="B594" t="s">
        <v>2022</v>
      </c>
      <c r="C594" t="s">
        <v>30</v>
      </c>
      <c r="D594" t="s">
        <v>212</v>
      </c>
      <c r="E594" s="1">
        <v>12.9</v>
      </c>
      <c r="F594" t="s">
        <v>206</v>
      </c>
      <c r="G594">
        <v>100</v>
      </c>
      <c r="H594" s="1">
        <v>12.9</v>
      </c>
      <c r="I594" s="21">
        <v>45144</v>
      </c>
      <c r="J594" s="21">
        <v>45150</v>
      </c>
      <c r="K594" s="21">
        <v>45150</v>
      </c>
      <c r="L594" t="s">
        <v>213</v>
      </c>
      <c r="M594" t="s">
        <v>40</v>
      </c>
      <c r="N594" t="s">
        <v>34</v>
      </c>
      <c r="O594">
        <v>1</v>
      </c>
      <c r="P594" t="s">
        <v>2023</v>
      </c>
      <c r="Q594" t="s">
        <v>4729</v>
      </c>
      <c r="R594" t="s">
        <v>4726</v>
      </c>
      <c r="S594" t="s">
        <v>4717</v>
      </c>
      <c r="T594">
        <f t="shared" si="18"/>
        <v>6</v>
      </c>
      <c r="U594" s="21">
        <f t="shared" si="19"/>
        <v>45150</v>
      </c>
    </row>
    <row r="595" spans="1:21" x14ac:dyDescent="0.35">
      <c r="A595" t="s">
        <v>795</v>
      </c>
      <c r="B595" t="s">
        <v>796</v>
      </c>
      <c r="C595" t="s">
        <v>30</v>
      </c>
      <c r="D595" t="s">
        <v>205</v>
      </c>
      <c r="E595" s="1">
        <v>119.976</v>
      </c>
      <c r="F595" t="s">
        <v>206</v>
      </c>
      <c r="G595">
        <v>80</v>
      </c>
      <c r="H595" s="1">
        <v>95.980800000000002</v>
      </c>
      <c r="I595" s="21">
        <v>45143</v>
      </c>
      <c r="J595" s="21">
        <v>45144</v>
      </c>
      <c r="K595" s="21">
        <v>45144</v>
      </c>
      <c r="L595" t="s">
        <v>234</v>
      </c>
      <c r="M595" t="s">
        <v>33</v>
      </c>
      <c r="N595" t="s">
        <v>34</v>
      </c>
      <c r="O595">
        <v>1</v>
      </c>
      <c r="P595" t="s">
        <v>797</v>
      </c>
      <c r="Q595" t="s">
        <v>4552</v>
      </c>
      <c r="R595" t="s">
        <v>4713</v>
      </c>
      <c r="S595" t="s">
        <v>4719</v>
      </c>
      <c r="T595">
        <f t="shared" si="18"/>
        <v>1</v>
      </c>
      <c r="U595" s="21">
        <f t="shared" si="19"/>
        <v>45144</v>
      </c>
    </row>
    <row r="596" spans="1:21" x14ac:dyDescent="0.35">
      <c r="A596" t="s">
        <v>3210</v>
      </c>
      <c r="B596" t="s">
        <v>3211</v>
      </c>
      <c r="C596" t="s">
        <v>19</v>
      </c>
      <c r="D596" t="s">
        <v>212</v>
      </c>
      <c r="E596" s="1">
        <v>23.988</v>
      </c>
      <c r="F596" t="s">
        <v>206</v>
      </c>
      <c r="G596">
        <v>100</v>
      </c>
      <c r="H596" s="1">
        <v>23.988</v>
      </c>
      <c r="I596" s="21">
        <v>45140</v>
      </c>
      <c r="J596" s="21">
        <v>45144</v>
      </c>
      <c r="K596" s="21">
        <v>45144</v>
      </c>
      <c r="L596" t="s">
        <v>238</v>
      </c>
      <c r="M596" t="s">
        <v>25</v>
      </c>
      <c r="N596" t="s">
        <v>26</v>
      </c>
      <c r="O596">
        <v>1</v>
      </c>
      <c r="P596" t="s">
        <v>2329</v>
      </c>
      <c r="Q596" t="s">
        <v>4729</v>
      </c>
      <c r="R596" t="s">
        <v>4711</v>
      </c>
      <c r="S596" t="s">
        <v>4719</v>
      </c>
      <c r="T596">
        <f t="shared" si="18"/>
        <v>4</v>
      </c>
      <c r="U596" s="21">
        <f t="shared" si="19"/>
        <v>45144</v>
      </c>
    </row>
    <row r="597" spans="1:21" x14ac:dyDescent="0.35">
      <c r="A597" t="s">
        <v>4163</v>
      </c>
      <c r="B597" t="s">
        <v>4164</v>
      </c>
      <c r="C597" t="s">
        <v>30</v>
      </c>
      <c r="D597" t="s">
        <v>212</v>
      </c>
      <c r="E597" s="1">
        <v>29.12</v>
      </c>
      <c r="F597" t="s">
        <v>206</v>
      </c>
      <c r="G597">
        <v>100</v>
      </c>
      <c r="H597" s="1">
        <v>29.12</v>
      </c>
      <c r="I597" s="21">
        <v>45140</v>
      </c>
      <c r="J597" s="21">
        <v>45142</v>
      </c>
      <c r="K597" s="21">
        <v>45142</v>
      </c>
      <c r="L597" t="s">
        <v>213</v>
      </c>
      <c r="M597" t="s">
        <v>33</v>
      </c>
      <c r="N597" t="s">
        <v>34</v>
      </c>
      <c r="O597">
        <v>1</v>
      </c>
      <c r="P597" t="s">
        <v>4165</v>
      </c>
      <c r="Q597" t="s">
        <v>4596</v>
      </c>
      <c r="R597" t="s">
        <v>4726</v>
      </c>
      <c r="S597" t="s">
        <v>4717</v>
      </c>
      <c r="T597">
        <f t="shared" si="18"/>
        <v>2</v>
      </c>
      <c r="U597" s="21">
        <f t="shared" si="19"/>
        <v>45142</v>
      </c>
    </row>
    <row r="598" spans="1:21" x14ac:dyDescent="0.35">
      <c r="A598" t="s">
        <v>2018</v>
      </c>
      <c r="B598" t="s">
        <v>2019</v>
      </c>
      <c r="C598" t="s">
        <v>19</v>
      </c>
      <c r="D598" t="s">
        <v>205</v>
      </c>
      <c r="E598" s="1">
        <v>27.24</v>
      </c>
      <c r="F598" t="s">
        <v>206</v>
      </c>
      <c r="G598">
        <v>80</v>
      </c>
      <c r="H598" s="1">
        <v>21.792000000000002</v>
      </c>
      <c r="I598" s="21">
        <v>45139</v>
      </c>
      <c r="J598" s="21">
        <v>45144</v>
      </c>
      <c r="K598" s="21">
        <v>45144</v>
      </c>
      <c r="L598" t="s">
        <v>248</v>
      </c>
      <c r="M598" t="s">
        <v>82</v>
      </c>
      <c r="N598" t="s">
        <v>47</v>
      </c>
      <c r="O598">
        <v>1</v>
      </c>
      <c r="P598" t="s">
        <v>2020</v>
      </c>
      <c r="Q598" t="s">
        <v>4517</v>
      </c>
      <c r="R598" t="s">
        <v>4726</v>
      </c>
      <c r="S598" t="s">
        <v>4717</v>
      </c>
      <c r="T598">
        <f t="shared" si="18"/>
        <v>5</v>
      </c>
      <c r="U598" s="21">
        <f t="shared" si="19"/>
        <v>45144</v>
      </c>
    </row>
    <row r="599" spans="1:21" x14ac:dyDescent="0.35">
      <c r="A599" t="s">
        <v>789</v>
      </c>
      <c r="B599" t="s">
        <v>790</v>
      </c>
      <c r="C599" t="s">
        <v>30</v>
      </c>
      <c r="D599" t="s">
        <v>212</v>
      </c>
      <c r="E599" s="1">
        <v>479.72</v>
      </c>
      <c r="F599" t="s">
        <v>206</v>
      </c>
      <c r="G599">
        <v>100</v>
      </c>
      <c r="H599" s="1">
        <v>479.72</v>
      </c>
      <c r="I599" s="21">
        <v>45138</v>
      </c>
      <c r="J599" s="21">
        <v>45141</v>
      </c>
      <c r="K599" s="21">
        <v>45141</v>
      </c>
      <c r="L599" t="s">
        <v>234</v>
      </c>
      <c r="M599" t="s">
        <v>146</v>
      </c>
      <c r="N599" t="s">
        <v>73</v>
      </c>
      <c r="O599">
        <v>1</v>
      </c>
      <c r="P599" t="s">
        <v>791</v>
      </c>
      <c r="Q599" t="s">
        <v>4598</v>
      </c>
      <c r="R599" t="s">
        <v>4713</v>
      </c>
      <c r="S599" t="s">
        <v>4719</v>
      </c>
      <c r="T599">
        <f t="shared" si="18"/>
        <v>3</v>
      </c>
      <c r="U599" s="21">
        <f t="shared" si="19"/>
        <v>45141</v>
      </c>
    </row>
    <row r="600" spans="1:21" x14ac:dyDescent="0.35">
      <c r="A600" t="s">
        <v>792</v>
      </c>
      <c r="B600" t="s">
        <v>793</v>
      </c>
      <c r="C600" t="s">
        <v>19</v>
      </c>
      <c r="D600" t="s">
        <v>212</v>
      </c>
      <c r="E600" s="1">
        <v>3.5639999999999898</v>
      </c>
      <c r="F600" t="s">
        <v>206</v>
      </c>
      <c r="G600">
        <v>100</v>
      </c>
      <c r="H600" s="1">
        <v>3.5639999999999898</v>
      </c>
      <c r="I600" s="21">
        <v>45138</v>
      </c>
      <c r="J600" s="21">
        <v>45143</v>
      </c>
      <c r="K600" s="21">
        <v>45143</v>
      </c>
      <c r="L600" t="s">
        <v>207</v>
      </c>
      <c r="M600" t="s">
        <v>146</v>
      </c>
      <c r="N600" t="s">
        <v>73</v>
      </c>
      <c r="O600">
        <v>1</v>
      </c>
      <c r="P600" t="s">
        <v>794</v>
      </c>
      <c r="Q600" t="s">
        <v>4729</v>
      </c>
      <c r="R600" t="s">
        <v>4726</v>
      </c>
      <c r="S600" t="s">
        <v>4717</v>
      </c>
      <c r="T600">
        <f t="shared" si="18"/>
        <v>5</v>
      </c>
      <c r="U600" s="21">
        <f t="shared" si="19"/>
        <v>45143</v>
      </c>
    </row>
    <row r="601" spans="1:21" x14ac:dyDescent="0.35">
      <c r="A601" t="s">
        <v>3208</v>
      </c>
      <c r="B601" t="s">
        <v>3209</v>
      </c>
      <c r="C601" t="s">
        <v>30</v>
      </c>
      <c r="D601" t="s">
        <v>205</v>
      </c>
      <c r="E601" s="1">
        <v>11.375999999999999</v>
      </c>
      <c r="F601" t="s">
        <v>206</v>
      </c>
      <c r="G601">
        <v>80</v>
      </c>
      <c r="H601" s="1">
        <v>9.1007999999999996</v>
      </c>
      <c r="I601" s="21">
        <v>45137</v>
      </c>
      <c r="J601" s="21">
        <v>45139</v>
      </c>
      <c r="K601" s="21">
        <v>45139</v>
      </c>
      <c r="L601" t="s">
        <v>220</v>
      </c>
      <c r="M601" t="s">
        <v>97</v>
      </c>
      <c r="N601" t="s">
        <v>68</v>
      </c>
      <c r="O601">
        <v>1</v>
      </c>
      <c r="P601" t="s">
        <v>1227</v>
      </c>
      <c r="Q601" t="s">
        <v>4603</v>
      </c>
      <c r="R601" t="s">
        <v>4721</v>
      </c>
      <c r="S601" t="s">
        <v>4717</v>
      </c>
      <c r="T601">
        <f t="shared" si="18"/>
        <v>2</v>
      </c>
      <c r="U601" s="21">
        <f t="shared" si="19"/>
        <v>45139</v>
      </c>
    </row>
    <row r="602" spans="1:21" x14ac:dyDescent="0.35">
      <c r="A602" t="s">
        <v>3205</v>
      </c>
      <c r="B602" t="s">
        <v>3206</v>
      </c>
      <c r="C602" t="s">
        <v>30</v>
      </c>
      <c r="D602" t="s">
        <v>205</v>
      </c>
      <c r="E602" s="1">
        <v>686.4</v>
      </c>
      <c r="F602" t="s">
        <v>206</v>
      </c>
      <c r="G602">
        <v>80</v>
      </c>
      <c r="H602" s="1">
        <v>549.12</v>
      </c>
      <c r="I602" s="21">
        <v>45137</v>
      </c>
      <c r="J602" s="21">
        <v>45141</v>
      </c>
      <c r="K602" s="21">
        <v>45141</v>
      </c>
      <c r="L602" t="s">
        <v>220</v>
      </c>
      <c r="M602" t="s">
        <v>46</v>
      </c>
      <c r="N602" t="s">
        <v>47</v>
      </c>
      <c r="O602">
        <v>1</v>
      </c>
      <c r="P602" t="s">
        <v>3207</v>
      </c>
      <c r="Q602" t="s">
        <v>4729</v>
      </c>
      <c r="R602" t="s">
        <v>4720</v>
      </c>
      <c r="S602" t="s">
        <v>4719</v>
      </c>
      <c r="T602">
        <f t="shared" si="18"/>
        <v>4</v>
      </c>
      <c r="U602" s="21">
        <f t="shared" si="19"/>
        <v>45141</v>
      </c>
    </row>
    <row r="603" spans="1:21" x14ac:dyDescent="0.35">
      <c r="A603" t="s">
        <v>4161</v>
      </c>
      <c r="B603" t="s">
        <v>4162</v>
      </c>
      <c r="C603" t="s">
        <v>19</v>
      </c>
      <c r="D603" t="s">
        <v>205</v>
      </c>
      <c r="E603" s="1">
        <v>43.32</v>
      </c>
      <c r="F603" t="s">
        <v>206</v>
      </c>
      <c r="G603">
        <v>80</v>
      </c>
      <c r="H603" s="1">
        <v>34.655999999999999</v>
      </c>
      <c r="I603" s="21">
        <v>45136</v>
      </c>
      <c r="J603" s="21">
        <v>45142</v>
      </c>
      <c r="K603" s="21">
        <v>45142</v>
      </c>
      <c r="L603" t="s">
        <v>234</v>
      </c>
      <c r="M603" t="s">
        <v>25</v>
      </c>
      <c r="N603" t="s">
        <v>26</v>
      </c>
      <c r="O603">
        <v>1</v>
      </c>
      <c r="P603" t="s">
        <v>1929</v>
      </c>
      <c r="Q603" t="s">
        <v>4535</v>
      </c>
      <c r="R603" t="s">
        <v>4710</v>
      </c>
      <c r="S603" t="s">
        <v>4717</v>
      </c>
      <c r="T603">
        <f t="shared" si="18"/>
        <v>6</v>
      </c>
      <c r="U603" s="21">
        <f t="shared" si="19"/>
        <v>45142</v>
      </c>
    </row>
    <row r="604" spans="1:21" x14ac:dyDescent="0.35">
      <c r="A604" t="s">
        <v>2016</v>
      </c>
      <c r="B604" t="s">
        <v>2017</v>
      </c>
      <c r="C604" t="s">
        <v>19</v>
      </c>
      <c r="D604" t="s">
        <v>21</v>
      </c>
      <c r="E604" s="1">
        <v>1556.694</v>
      </c>
      <c r="F604" t="s">
        <v>22</v>
      </c>
      <c r="G604">
        <v>0</v>
      </c>
      <c r="H604" s="1">
        <v>0</v>
      </c>
      <c r="I604" s="21">
        <v>45136</v>
      </c>
      <c r="J604" s="21">
        <v>45137</v>
      </c>
      <c r="K604" s="21">
        <v>45137</v>
      </c>
      <c r="L604" t="s">
        <v>45</v>
      </c>
      <c r="M604" t="s">
        <v>40</v>
      </c>
      <c r="N604" t="s">
        <v>34</v>
      </c>
      <c r="O604">
        <v>1</v>
      </c>
      <c r="P604" t="s">
        <v>624</v>
      </c>
      <c r="Q604" t="s">
        <v>4581</v>
      </c>
      <c r="R604" t="s">
        <v>4723</v>
      </c>
      <c r="S604" t="s">
        <v>4718</v>
      </c>
      <c r="T604">
        <f t="shared" si="18"/>
        <v>1</v>
      </c>
      <c r="U604" s="21">
        <f t="shared" si="19"/>
        <v>45137</v>
      </c>
    </row>
    <row r="605" spans="1:21" x14ac:dyDescent="0.35">
      <c r="A605" t="s">
        <v>2013</v>
      </c>
      <c r="B605" t="s">
        <v>2014</v>
      </c>
      <c r="C605" t="s">
        <v>30</v>
      </c>
      <c r="D605" t="s">
        <v>212</v>
      </c>
      <c r="E605" s="1">
        <v>25.032</v>
      </c>
      <c r="F605" t="s">
        <v>206</v>
      </c>
      <c r="G605">
        <v>100</v>
      </c>
      <c r="H605" s="1">
        <v>25.032</v>
      </c>
      <c r="I605" s="21">
        <v>45133</v>
      </c>
      <c r="J605" s="21">
        <v>45135</v>
      </c>
      <c r="K605" s="21">
        <v>45135</v>
      </c>
      <c r="L605" t="s">
        <v>213</v>
      </c>
      <c r="M605" t="s">
        <v>97</v>
      </c>
      <c r="N605" t="s">
        <v>68</v>
      </c>
      <c r="O605">
        <v>1</v>
      </c>
      <c r="P605" t="s">
        <v>2015</v>
      </c>
      <c r="Q605" t="s">
        <v>4526</v>
      </c>
      <c r="R605" t="s">
        <v>4726</v>
      </c>
      <c r="S605" t="s">
        <v>4717</v>
      </c>
      <c r="T605">
        <f t="shared" si="18"/>
        <v>2</v>
      </c>
      <c r="U605" s="21">
        <f t="shared" si="19"/>
        <v>45135</v>
      </c>
    </row>
    <row r="606" spans="1:21" x14ac:dyDescent="0.35">
      <c r="A606" t="s">
        <v>3199</v>
      </c>
      <c r="B606" t="s">
        <v>3200</v>
      </c>
      <c r="C606" t="s">
        <v>30</v>
      </c>
      <c r="D606" t="s">
        <v>205</v>
      </c>
      <c r="E606" s="1">
        <v>251.79</v>
      </c>
      <c r="F606" t="s">
        <v>206</v>
      </c>
      <c r="G606">
        <v>80</v>
      </c>
      <c r="H606" s="1">
        <v>201.43200000000002</v>
      </c>
      <c r="I606" s="21">
        <v>45133</v>
      </c>
      <c r="J606" s="21">
        <v>45135</v>
      </c>
      <c r="K606" s="21">
        <v>45135</v>
      </c>
      <c r="L606" t="s">
        <v>220</v>
      </c>
      <c r="M606" t="s">
        <v>72</v>
      </c>
      <c r="N606" t="s">
        <v>73</v>
      </c>
      <c r="O606">
        <v>1</v>
      </c>
      <c r="P606" t="s">
        <v>3201</v>
      </c>
      <c r="Q606" t="s">
        <v>4729</v>
      </c>
      <c r="R606" t="s">
        <v>4512</v>
      </c>
      <c r="S606" t="s">
        <v>4717</v>
      </c>
      <c r="T606">
        <f t="shared" si="18"/>
        <v>2</v>
      </c>
      <c r="U606" s="21">
        <f t="shared" si="19"/>
        <v>45135</v>
      </c>
    </row>
    <row r="607" spans="1:21" x14ac:dyDescent="0.35">
      <c r="A607" t="s">
        <v>3202</v>
      </c>
      <c r="B607" t="s">
        <v>3203</v>
      </c>
      <c r="C607" t="s">
        <v>30</v>
      </c>
      <c r="D607" t="s">
        <v>205</v>
      </c>
      <c r="E607" s="1">
        <v>332.94</v>
      </c>
      <c r="F607" t="s">
        <v>206</v>
      </c>
      <c r="G607">
        <v>80</v>
      </c>
      <c r="H607" s="1">
        <v>266.35200000000003</v>
      </c>
      <c r="I607" s="21">
        <v>45133</v>
      </c>
      <c r="J607" s="21">
        <v>45133</v>
      </c>
      <c r="K607" s="21">
        <v>45133</v>
      </c>
      <c r="L607" t="s">
        <v>220</v>
      </c>
      <c r="M607" t="s">
        <v>82</v>
      </c>
      <c r="N607" t="s">
        <v>47</v>
      </c>
      <c r="O607">
        <v>1</v>
      </c>
      <c r="P607" t="s">
        <v>3204</v>
      </c>
      <c r="Q607" t="s">
        <v>4577</v>
      </c>
      <c r="R607" t="s">
        <v>4713</v>
      </c>
      <c r="S607" t="s">
        <v>4719</v>
      </c>
      <c r="T607">
        <f t="shared" si="18"/>
        <v>0</v>
      </c>
      <c r="U607" s="21">
        <f t="shared" si="19"/>
        <v>45133</v>
      </c>
    </row>
    <row r="608" spans="1:21" x14ac:dyDescent="0.35">
      <c r="A608" t="s">
        <v>3196</v>
      </c>
      <c r="B608" t="s">
        <v>3197</v>
      </c>
      <c r="C608" t="s">
        <v>30</v>
      </c>
      <c r="D608" t="s">
        <v>205</v>
      </c>
      <c r="E608" s="1">
        <v>1085.42</v>
      </c>
      <c r="F608" t="s">
        <v>206</v>
      </c>
      <c r="G608">
        <v>80</v>
      </c>
      <c r="H608" s="1">
        <v>868.33600000000013</v>
      </c>
      <c r="I608" s="21">
        <v>45133</v>
      </c>
      <c r="J608" s="21">
        <v>45137</v>
      </c>
      <c r="K608" s="21">
        <v>45137</v>
      </c>
      <c r="L608" t="s">
        <v>234</v>
      </c>
      <c r="M608" t="s">
        <v>54</v>
      </c>
      <c r="N608" t="s">
        <v>26</v>
      </c>
      <c r="O608">
        <v>1</v>
      </c>
      <c r="P608" t="s">
        <v>3198</v>
      </c>
      <c r="Q608" t="s">
        <v>4682</v>
      </c>
      <c r="R608" t="s">
        <v>4709</v>
      </c>
      <c r="S608" t="s">
        <v>4717</v>
      </c>
      <c r="T608">
        <f t="shared" si="18"/>
        <v>4</v>
      </c>
      <c r="U608" s="21">
        <f t="shared" si="19"/>
        <v>45137</v>
      </c>
    </row>
    <row r="609" spans="1:21" x14ac:dyDescent="0.35">
      <c r="A609" t="s">
        <v>3194</v>
      </c>
      <c r="B609" t="s">
        <v>3195</v>
      </c>
      <c r="C609" t="s">
        <v>19</v>
      </c>
      <c r="D609" t="s">
        <v>205</v>
      </c>
      <c r="E609" s="1">
        <v>72</v>
      </c>
      <c r="F609" t="s">
        <v>206</v>
      </c>
      <c r="G609">
        <v>80</v>
      </c>
      <c r="H609" s="1">
        <v>57.6</v>
      </c>
      <c r="I609" s="21">
        <v>45133</v>
      </c>
      <c r="J609" s="21">
        <v>45134</v>
      </c>
      <c r="K609" s="21">
        <v>45134</v>
      </c>
      <c r="L609" t="s">
        <v>248</v>
      </c>
      <c r="M609" t="s">
        <v>40</v>
      </c>
      <c r="N609" t="s">
        <v>34</v>
      </c>
      <c r="O609">
        <v>1</v>
      </c>
      <c r="P609" t="s">
        <v>472</v>
      </c>
      <c r="Q609" t="s">
        <v>4568</v>
      </c>
      <c r="R609" t="s">
        <v>4713</v>
      </c>
      <c r="S609" t="s">
        <v>4719</v>
      </c>
      <c r="T609">
        <f t="shared" si="18"/>
        <v>1</v>
      </c>
      <c r="U609" s="21">
        <f t="shared" si="19"/>
        <v>45134</v>
      </c>
    </row>
    <row r="610" spans="1:21" x14ac:dyDescent="0.35">
      <c r="A610" t="s">
        <v>4159</v>
      </c>
      <c r="B610" t="s">
        <v>4160</v>
      </c>
      <c r="C610" t="s">
        <v>30</v>
      </c>
      <c r="D610" t="s">
        <v>212</v>
      </c>
      <c r="E610" s="1">
        <v>11.68</v>
      </c>
      <c r="F610" t="s">
        <v>206</v>
      </c>
      <c r="G610">
        <v>100</v>
      </c>
      <c r="H610" s="1">
        <v>11.68</v>
      </c>
      <c r="I610" s="21">
        <v>45133</v>
      </c>
      <c r="J610" s="21">
        <v>45137</v>
      </c>
      <c r="K610" s="21">
        <v>45137</v>
      </c>
      <c r="L610" t="s">
        <v>220</v>
      </c>
      <c r="M610" t="s">
        <v>25</v>
      </c>
      <c r="N610" t="s">
        <v>26</v>
      </c>
      <c r="O610">
        <v>1</v>
      </c>
      <c r="P610" t="s">
        <v>1771</v>
      </c>
      <c r="Q610" t="s">
        <v>4520</v>
      </c>
      <c r="R610" t="s">
        <v>4710</v>
      </c>
      <c r="S610" t="s">
        <v>4717</v>
      </c>
      <c r="T610">
        <f t="shared" si="18"/>
        <v>4</v>
      </c>
      <c r="U610" s="21">
        <f t="shared" si="19"/>
        <v>45137</v>
      </c>
    </row>
    <row r="611" spans="1:21" x14ac:dyDescent="0.35">
      <c r="A611" t="s">
        <v>2011</v>
      </c>
      <c r="B611" t="s">
        <v>2012</v>
      </c>
      <c r="C611" t="s">
        <v>19</v>
      </c>
      <c r="D611" t="s">
        <v>205</v>
      </c>
      <c r="E611" s="1">
        <v>43.92</v>
      </c>
      <c r="F611" t="s">
        <v>206</v>
      </c>
      <c r="G611">
        <v>80</v>
      </c>
      <c r="H611" s="1">
        <v>35.136000000000003</v>
      </c>
      <c r="I611" s="21">
        <v>45133</v>
      </c>
      <c r="J611" s="21">
        <v>45137</v>
      </c>
      <c r="K611" s="21">
        <v>45137</v>
      </c>
      <c r="L611" t="s">
        <v>207</v>
      </c>
      <c r="M611" t="s">
        <v>82</v>
      </c>
      <c r="N611" t="s">
        <v>47</v>
      </c>
      <c r="O611">
        <v>1</v>
      </c>
      <c r="P611" t="s">
        <v>1874</v>
      </c>
      <c r="Q611" t="s">
        <v>4729</v>
      </c>
      <c r="R611" t="s">
        <v>4726</v>
      </c>
      <c r="S611" t="s">
        <v>4717</v>
      </c>
      <c r="T611">
        <f t="shared" si="18"/>
        <v>4</v>
      </c>
      <c r="U611" s="21">
        <f t="shared" si="19"/>
        <v>45137</v>
      </c>
    </row>
    <row r="612" spans="1:21" x14ac:dyDescent="0.35">
      <c r="A612" t="s">
        <v>4156</v>
      </c>
      <c r="B612" t="s">
        <v>4157</v>
      </c>
      <c r="C612" t="s">
        <v>30</v>
      </c>
      <c r="D612" t="s">
        <v>212</v>
      </c>
      <c r="E612" s="1">
        <v>661.17600000000004</v>
      </c>
      <c r="F612" t="s">
        <v>206</v>
      </c>
      <c r="G612">
        <v>100</v>
      </c>
      <c r="H612" s="1">
        <v>661.17600000000004</v>
      </c>
      <c r="I612" s="21">
        <v>45132</v>
      </c>
      <c r="J612" s="21">
        <v>45134</v>
      </c>
      <c r="K612" s="21">
        <v>45134</v>
      </c>
      <c r="L612" t="s">
        <v>234</v>
      </c>
      <c r="M612" t="s">
        <v>146</v>
      </c>
      <c r="N612" t="s">
        <v>73</v>
      </c>
      <c r="O612">
        <v>1</v>
      </c>
      <c r="P612" t="s">
        <v>4158</v>
      </c>
      <c r="Q612" t="s">
        <v>4597</v>
      </c>
      <c r="R612" t="s">
        <v>4712</v>
      </c>
      <c r="S612" t="s">
        <v>4718</v>
      </c>
      <c r="T612">
        <f t="shared" si="18"/>
        <v>2</v>
      </c>
      <c r="U612" s="21">
        <f t="shared" si="19"/>
        <v>45134</v>
      </c>
    </row>
    <row r="613" spans="1:21" x14ac:dyDescent="0.35">
      <c r="A613" t="s">
        <v>4154</v>
      </c>
      <c r="B613" t="s">
        <v>4155</v>
      </c>
      <c r="C613" t="s">
        <v>19</v>
      </c>
      <c r="D613" t="s">
        <v>212</v>
      </c>
      <c r="E613" s="1">
        <v>20.86</v>
      </c>
      <c r="F613" t="s">
        <v>206</v>
      </c>
      <c r="G613">
        <v>100</v>
      </c>
      <c r="H613" s="1">
        <v>20.86</v>
      </c>
      <c r="I613" s="21">
        <v>45132</v>
      </c>
      <c r="J613" s="21">
        <v>45133</v>
      </c>
      <c r="K613" s="21">
        <v>45133</v>
      </c>
      <c r="L613" t="s">
        <v>234</v>
      </c>
      <c r="M613" t="s">
        <v>33</v>
      </c>
      <c r="N613" t="s">
        <v>34</v>
      </c>
      <c r="O613">
        <v>1</v>
      </c>
      <c r="P613" t="s">
        <v>2823</v>
      </c>
      <c r="Q613" t="s">
        <v>4669</v>
      </c>
      <c r="R613" t="s">
        <v>4721</v>
      </c>
      <c r="S613" t="s">
        <v>4717</v>
      </c>
      <c r="T613">
        <f t="shared" si="18"/>
        <v>1</v>
      </c>
      <c r="U613" s="21">
        <f t="shared" si="19"/>
        <v>45133</v>
      </c>
    </row>
    <row r="614" spans="1:21" x14ac:dyDescent="0.35">
      <c r="A614" t="s">
        <v>2006</v>
      </c>
      <c r="B614" t="s">
        <v>2007</v>
      </c>
      <c r="C614" t="s">
        <v>30</v>
      </c>
      <c r="D614" t="s">
        <v>212</v>
      </c>
      <c r="E614" s="1">
        <v>29.46</v>
      </c>
      <c r="F614" t="s">
        <v>206</v>
      </c>
      <c r="G614">
        <v>100</v>
      </c>
      <c r="H614" s="1">
        <v>29.46</v>
      </c>
      <c r="I614" s="21">
        <v>45131</v>
      </c>
      <c r="J614" s="21">
        <v>45134</v>
      </c>
      <c r="K614" s="21">
        <v>45134</v>
      </c>
      <c r="L614" t="s">
        <v>238</v>
      </c>
      <c r="M614" t="s">
        <v>97</v>
      </c>
      <c r="N614" t="s">
        <v>68</v>
      </c>
      <c r="O614">
        <v>1</v>
      </c>
      <c r="P614" t="s">
        <v>2008</v>
      </c>
      <c r="Q614" t="s">
        <v>4517</v>
      </c>
      <c r="R614" t="s">
        <v>4726</v>
      </c>
      <c r="S614" t="s">
        <v>4717</v>
      </c>
      <c r="T614">
        <f t="shared" si="18"/>
        <v>3</v>
      </c>
      <c r="U614" s="21">
        <f t="shared" si="19"/>
        <v>45134</v>
      </c>
    </row>
    <row r="615" spans="1:21" x14ac:dyDescent="0.35">
      <c r="A615" t="s">
        <v>2009</v>
      </c>
      <c r="B615" t="s">
        <v>2010</v>
      </c>
      <c r="C615" t="s">
        <v>19</v>
      </c>
      <c r="D615" t="s">
        <v>212</v>
      </c>
      <c r="E615" s="1">
        <v>5.5</v>
      </c>
      <c r="F615" t="s">
        <v>206</v>
      </c>
      <c r="G615">
        <v>100</v>
      </c>
      <c r="H615" s="1">
        <v>5.5</v>
      </c>
      <c r="I615" s="21">
        <v>45131</v>
      </c>
      <c r="J615" s="21">
        <v>45135</v>
      </c>
      <c r="K615" s="21">
        <v>45135</v>
      </c>
      <c r="L615" t="s">
        <v>238</v>
      </c>
      <c r="M615" t="s">
        <v>33</v>
      </c>
      <c r="N615" t="s">
        <v>34</v>
      </c>
      <c r="O615">
        <v>1</v>
      </c>
      <c r="P615" t="s">
        <v>711</v>
      </c>
      <c r="Q615" t="s">
        <v>4565</v>
      </c>
      <c r="R615" t="s">
        <v>4711</v>
      </c>
      <c r="S615" t="s">
        <v>4719</v>
      </c>
      <c r="T615">
        <f t="shared" si="18"/>
        <v>4</v>
      </c>
      <c r="U615" s="21">
        <f t="shared" si="19"/>
        <v>45135</v>
      </c>
    </row>
    <row r="616" spans="1:21" x14ac:dyDescent="0.35">
      <c r="A616" t="s">
        <v>2003</v>
      </c>
      <c r="B616" t="s">
        <v>2004</v>
      </c>
      <c r="C616" t="s">
        <v>30</v>
      </c>
      <c r="D616" t="s">
        <v>212</v>
      </c>
      <c r="E616" s="1">
        <v>20.16</v>
      </c>
      <c r="F616" t="s">
        <v>206</v>
      </c>
      <c r="G616">
        <v>100</v>
      </c>
      <c r="H616" s="1">
        <v>20.16</v>
      </c>
      <c r="I616" s="21">
        <v>45130</v>
      </c>
      <c r="J616" s="21">
        <v>45132</v>
      </c>
      <c r="K616" s="21">
        <v>45132</v>
      </c>
      <c r="L616" t="s">
        <v>248</v>
      </c>
      <c r="M616" t="s">
        <v>46</v>
      </c>
      <c r="N616" t="s">
        <v>47</v>
      </c>
      <c r="O616">
        <v>1</v>
      </c>
      <c r="P616" t="s">
        <v>2005</v>
      </c>
      <c r="Q616" t="s">
        <v>4517</v>
      </c>
      <c r="R616" t="s">
        <v>4726</v>
      </c>
      <c r="S616" t="s">
        <v>4717</v>
      </c>
      <c r="T616">
        <f t="shared" si="18"/>
        <v>2</v>
      </c>
      <c r="U616" s="21">
        <f t="shared" si="19"/>
        <v>45132</v>
      </c>
    </row>
    <row r="617" spans="1:21" x14ac:dyDescent="0.35">
      <c r="A617" t="s">
        <v>3191</v>
      </c>
      <c r="B617" t="s">
        <v>3192</v>
      </c>
      <c r="C617" t="s">
        <v>19</v>
      </c>
      <c r="D617" t="s">
        <v>205</v>
      </c>
      <c r="E617" s="1">
        <v>60.12</v>
      </c>
      <c r="F617" t="s">
        <v>206</v>
      </c>
      <c r="G617">
        <v>80</v>
      </c>
      <c r="H617" s="1">
        <v>48.096000000000004</v>
      </c>
      <c r="I617" s="21">
        <v>45130</v>
      </c>
      <c r="J617" s="21">
        <v>45137</v>
      </c>
      <c r="K617" s="21">
        <v>45137</v>
      </c>
      <c r="L617" t="s">
        <v>248</v>
      </c>
      <c r="M617" t="s">
        <v>72</v>
      </c>
      <c r="N617" t="s">
        <v>73</v>
      </c>
      <c r="O617">
        <v>1</v>
      </c>
      <c r="P617" t="s">
        <v>3193</v>
      </c>
      <c r="Q617" t="s">
        <v>4519</v>
      </c>
      <c r="R617" t="s">
        <v>4726</v>
      </c>
      <c r="S617" t="s">
        <v>4717</v>
      </c>
      <c r="T617">
        <f t="shared" si="18"/>
        <v>7</v>
      </c>
      <c r="U617" s="21">
        <f t="shared" si="19"/>
        <v>45137</v>
      </c>
    </row>
    <row r="618" spans="1:21" x14ac:dyDescent="0.35">
      <c r="A618" t="s">
        <v>786</v>
      </c>
      <c r="B618" t="s">
        <v>787</v>
      </c>
      <c r="C618" t="s">
        <v>19</v>
      </c>
      <c r="D618" t="s">
        <v>212</v>
      </c>
      <c r="E618" s="1">
        <v>45.68</v>
      </c>
      <c r="F618" t="s">
        <v>206</v>
      </c>
      <c r="G618">
        <v>100</v>
      </c>
      <c r="H618" s="1">
        <v>45.68</v>
      </c>
      <c r="I618" s="21">
        <v>45129</v>
      </c>
      <c r="J618" s="21">
        <v>45131</v>
      </c>
      <c r="K618" s="21">
        <v>45131</v>
      </c>
      <c r="L618" t="s">
        <v>207</v>
      </c>
      <c r="M618" t="s">
        <v>82</v>
      </c>
      <c r="N618" t="s">
        <v>47</v>
      </c>
      <c r="O618">
        <v>1</v>
      </c>
      <c r="P618" t="s">
        <v>788</v>
      </c>
      <c r="Q618" t="s">
        <v>4519</v>
      </c>
      <c r="R618" t="s">
        <v>4726</v>
      </c>
      <c r="S618" t="s">
        <v>4717</v>
      </c>
      <c r="T618">
        <f t="shared" si="18"/>
        <v>2</v>
      </c>
      <c r="U618" s="21">
        <f t="shared" si="19"/>
        <v>45131</v>
      </c>
    </row>
    <row r="619" spans="1:21" x14ac:dyDescent="0.35">
      <c r="A619" t="s">
        <v>783</v>
      </c>
      <c r="B619" t="s">
        <v>784</v>
      </c>
      <c r="C619" t="s">
        <v>19</v>
      </c>
      <c r="D619" t="s">
        <v>205</v>
      </c>
      <c r="E619" s="1">
        <v>142.18199999999999</v>
      </c>
      <c r="F619" t="s">
        <v>206</v>
      </c>
      <c r="G619">
        <v>80</v>
      </c>
      <c r="H619" s="1">
        <v>113.7456</v>
      </c>
      <c r="I619" s="21">
        <v>45128</v>
      </c>
      <c r="J619" s="21">
        <v>45131</v>
      </c>
      <c r="K619" s="21">
        <v>45131</v>
      </c>
      <c r="L619" t="s">
        <v>234</v>
      </c>
      <c r="M619" t="s">
        <v>67</v>
      </c>
      <c r="N619" t="s">
        <v>68</v>
      </c>
      <c r="O619">
        <v>1</v>
      </c>
      <c r="P619" t="s">
        <v>785</v>
      </c>
      <c r="Q619" t="s">
        <v>4597</v>
      </c>
      <c r="R619" t="s">
        <v>4712</v>
      </c>
      <c r="S619" t="s">
        <v>4718</v>
      </c>
      <c r="T619">
        <f t="shared" si="18"/>
        <v>3</v>
      </c>
      <c r="U619" s="21">
        <f t="shared" si="19"/>
        <v>45131</v>
      </c>
    </row>
    <row r="620" spans="1:21" x14ac:dyDescent="0.35">
      <c r="A620" t="s">
        <v>3188</v>
      </c>
      <c r="B620" t="s">
        <v>3189</v>
      </c>
      <c r="C620" t="s">
        <v>19</v>
      </c>
      <c r="D620" t="s">
        <v>21</v>
      </c>
      <c r="E620" s="1">
        <v>425.95400000000001</v>
      </c>
      <c r="F620" t="s">
        <v>22</v>
      </c>
      <c r="G620">
        <v>0</v>
      </c>
      <c r="H620" s="1">
        <v>0</v>
      </c>
      <c r="I620" s="21">
        <v>45127</v>
      </c>
      <c r="J620" s="21">
        <v>45129</v>
      </c>
      <c r="K620" s="21">
        <v>45129</v>
      </c>
      <c r="L620" t="s">
        <v>45</v>
      </c>
      <c r="M620" t="s">
        <v>97</v>
      </c>
      <c r="N620" t="s">
        <v>68</v>
      </c>
      <c r="O620">
        <v>1</v>
      </c>
      <c r="P620" t="s">
        <v>3190</v>
      </c>
      <c r="Q620" t="s">
        <v>4681</v>
      </c>
      <c r="R620" t="s">
        <v>4711</v>
      </c>
      <c r="S620" t="s">
        <v>4719</v>
      </c>
      <c r="T620">
        <f t="shared" si="18"/>
        <v>2</v>
      </c>
      <c r="U620" s="21">
        <f t="shared" si="19"/>
        <v>45129</v>
      </c>
    </row>
    <row r="621" spans="1:21" x14ac:dyDescent="0.35">
      <c r="A621" t="s">
        <v>2000</v>
      </c>
      <c r="B621" t="s">
        <v>2001</v>
      </c>
      <c r="C621" t="s">
        <v>19</v>
      </c>
      <c r="D621" t="s">
        <v>212</v>
      </c>
      <c r="E621" s="1">
        <v>24.9</v>
      </c>
      <c r="F621" t="s">
        <v>206</v>
      </c>
      <c r="G621">
        <v>100</v>
      </c>
      <c r="H621" s="1">
        <v>24.9</v>
      </c>
      <c r="I621" s="21">
        <v>45126</v>
      </c>
      <c r="J621" s="21">
        <v>45131</v>
      </c>
      <c r="K621" s="21">
        <v>45131</v>
      </c>
      <c r="L621" t="s">
        <v>207</v>
      </c>
      <c r="M621" t="s">
        <v>33</v>
      </c>
      <c r="N621" t="s">
        <v>34</v>
      </c>
      <c r="O621">
        <v>1</v>
      </c>
      <c r="P621" t="s">
        <v>2002</v>
      </c>
      <c r="Q621" t="s">
        <v>4517</v>
      </c>
      <c r="R621" t="s">
        <v>4721</v>
      </c>
      <c r="S621" t="s">
        <v>4717</v>
      </c>
      <c r="T621">
        <f t="shared" si="18"/>
        <v>5</v>
      </c>
      <c r="U621" s="21">
        <f t="shared" si="19"/>
        <v>45131</v>
      </c>
    </row>
    <row r="622" spans="1:21" x14ac:dyDescent="0.35">
      <c r="A622" t="s">
        <v>1997</v>
      </c>
      <c r="B622" t="s">
        <v>1998</v>
      </c>
      <c r="C622" t="s">
        <v>19</v>
      </c>
      <c r="D622" t="s">
        <v>205</v>
      </c>
      <c r="E622" s="1">
        <v>37.94</v>
      </c>
      <c r="F622" t="s">
        <v>206</v>
      </c>
      <c r="G622">
        <v>80</v>
      </c>
      <c r="H622" s="1">
        <v>30.352</v>
      </c>
      <c r="I622" s="21">
        <v>45126</v>
      </c>
      <c r="J622" s="21">
        <v>45131</v>
      </c>
      <c r="K622" s="21">
        <v>45131</v>
      </c>
      <c r="L622" t="s">
        <v>220</v>
      </c>
      <c r="M622" t="s">
        <v>72</v>
      </c>
      <c r="N622" t="s">
        <v>73</v>
      </c>
      <c r="O622">
        <v>1</v>
      </c>
      <c r="P622" t="s">
        <v>1999</v>
      </c>
      <c r="Q622" t="s">
        <v>4527</v>
      </c>
      <c r="R622" t="s">
        <v>4726</v>
      </c>
      <c r="S622" t="s">
        <v>4717</v>
      </c>
      <c r="T622">
        <f t="shared" si="18"/>
        <v>5</v>
      </c>
      <c r="U622" s="21">
        <f t="shared" si="19"/>
        <v>45131</v>
      </c>
    </row>
    <row r="623" spans="1:21" x14ac:dyDescent="0.35">
      <c r="A623" t="s">
        <v>3185</v>
      </c>
      <c r="B623" t="s">
        <v>3186</v>
      </c>
      <c r="C623" t="s">
        <v>19</v>
      </c>
      <c r="D623" t="s">
        <v>205</v>
      </c>
      <c r="E623" s="1">
        <v>82.26</v>
      </c>
      <c r="F623" t="s">
        <v>206</v>
      </c>
      <c r="G623">
        <v>80</v>
      </c>
      <c r="H623" s="1">
        <v>65.808000000000007</v>
      </c>
      <c r="I623" s="21">
        <v>45126</v>
      </c>
      <c r="J623" s="21">
        <v>45130</v>
      </c>
      <c r="K623" s="21">
        <v>45130</v>
      </c>
      <c r="L623" t="s">
        <v>213</v>
      </c>
      <c r="M623" t="s">
        <v>33</v>
      </c>
      <c r="N623" t="s">
        <v>34</v>
      </c>
      <c r="O623">
        <v>1</v>
      </c>
      <c r="P623" t="s">
        <v>3187</v>
      </c>
      <c r="Q623" t="s">
        <v>4553</v>
      </c>
      <c r="R623" t="s">
        <v>4722</v>
      </c>
      <c r="S623" t="s">
        <v>4718</v>
      </c>
      <c r="T623">
        <f t="shared" si="18"/>
        <v>4</v>
      </c>
      <c r="U623" s="21">
        <f t="shared" si="19"/>
        <v>45130</v>
      </c>
    </row>
    <row r="624" spans="1:21" x14ac:dyDescent="0.35">
      <c r="A624" t="s">
        <v>3183</v>
      </c>
      <c r="B624" t="s">
        <v>3184</v>
      </c>
      <c r="C624" t="s">
        <v>30</v>
      </c>
      <c r="D624" t="s">
        <v>212</v>
      </c>
      <c r="E624" s="1">
        <v>39.152000000000001</v>
      </c>
      <c r="F624" t="s">
        <v>206</v>
      </c>
      <c r="G624">
        <v>100</v>
      </c>
      <c r="H624" s="1">
        <v>39.152000000000001</v>
      </c>
      <c r="I624" s="21">
        <v>45126</v>
      </c>
      <c r="J624" s="21">
        <v>45131</v>
      </c>
      <c r="K624" s="21">
        <v>45131</v>
      </c>
      <c r="L624" t="s">
        <v>213</v>
      </c>
      <c r="M624" t="s">
        <v>46</v>
      </c>
      <c r="N624" t="s">
        <v>47</v>
      </c>
      <c r="O624">
        <v>1</v>
      </c>
      <c r="P624" t="s">
        <v>1193</v>
      </c>
      <c r="Q624" t="s">
        <v>4519</v>
      </c>
      <c r="R624" t="s">
        <v>4726</v>
      </c>
      <c r="S624" t="s">
        <v>4717</v>
      </c>
      <c r="T624">
        <f t="shared" si="18"/>
        <v>5</v>
      </c>
      <c r="U624" s="21">
        <f t="shared" si="19"/>
        <v>45131</v>
      </c>
    </row>
    <row r="625" spans="1:21" x14ac:dyDescent="0.35">
      <c r="A625" t="s">
        <v>780</v>
      </c>
      <c r="B625" t="s">
        <v>781</v>
      </c>
      <c r="C625" t="s">
        <v>30</v>
      </c>
      <c r="D625" t="s">
        <v>205</v>
      </c>
      <c r="E625" s="1">
        <v>66.539999999999907</v>
      </c>
      <c r="F625" t="s">
        <v>206</v>
      </c>
      <c r="G625">
        <v>80</v>
      </c>
      <c r="H625" s="1">
        <v>53.231999999999928</v>
      </c>
      <c r="I625" s="21">
        <v>45125</v>
      </c>
      <c r="J625" s="21">
        <v>45130</v>
      </c>
      <c r="K625" s="21">
        <v>45130</v>
      </c>
      <c r="L625" t="s">
        <v>207</v>
      </c>
      <c r="M625" t="s">
        <v>97</v>
      </c>
      <c r="N625" t="s">
        <v>68</v>
      </c>
      <c r="O625">
        <v>1</v>
      </c>
      <c r="P625" t="s">
        <v>782</v>
      </c>
      <c r="Q625" t="s">
        <v>4729</v>
      </c>
      <c r="R625" t="s">
        <v>4512</v>
      </c>
      <c r="S625" t="s">
        <v>4717</v>
      </c>
      <c r="T625">
        <f t="shared" si="18"/>
        <v>5</v>
      </c>
      <c r="U625" s="21">
        <f t="shared" si="19"/>
        <v>45130</v>
      </c>
    </row>
    <row r="626" spans="1:21" x14ac:dyDescent="0.35">
      <c r="A626" t="s">
        <v>3181</v>
      </c>
      <c r="B626" t="s">
        <v>3182</v>
      </c>
      <c r="C626" t="s">
        <v>30</v>
      </c>
      <c r="D626" t="s">
        <v>205</v>
      </c>
      <c r="E626" s="1">
        <v>35.008000000000003</v>
      </c>
      <c r="F626" t="s">
        <v>206</v>
      </c>
      <c r="G626">
        <v>80</v>
      </c>
      <c r="H626" s="1">
        <v>28.006400000000003</v>
      </c>
      <c r="I626" s="21">
        <v>45125</v>
      </c>
      <c r="J626" s="21">
        <v>45130</v>
      </c>
      <c r="K626" s="21">
        <v>45130</v>
      </c>
      <c r="L626" t="s">
        <v>207</v>
      </c>
      <c r="M626" t="s">
        <v>33</v>
      </c>
      <c r="N626" t="s">
        <v>34</v>
      </c>
      <c r="O626">
        <v>1</v>
      </c>
      <c r="P626" t="s">
        <v>1603</v>
      </c>
      <c r="Q626" t="s">
        <v>4729</v>
      </c>
      <c r="R626" t="s">
        <v>4512</v>
      </c>
      <c r="S626" t="s">
        <v>4717</v>
      </c>
      <c r="T626">
        <f t="shared" si="18"/>
        <v>5</v>
      </c>
      <c r="U626" s="21">
        <f t="shared" si="19"/>
        <v>45130</v>
      </c>
    </row>
    <row r="627" spans="1:21" x14ac:dyDescent="0.35">
      <c r="A627" t="s">
        <v>1994</v>
      </c>
      <c r="B627" t="s">
        <v>1995</v>
      </c>
      <c r="C627" t="s">
        <v>19</v>
      </c>
      <c r="D627" t="s">
        <v>205</v>
      </c>
      <c r="E627" s="1">
        <v>191.976</v>
      </c>
      <c r="F627" t="s">
        <v>206</v>
      </c>
      <c r="G627">
        <v>80</v>
      </c>
      <c r="H627" s="1">
        <v>153.58080000000001</v>
      </c>
      <c r="I627" s="21">
        <v>45124</v>
      </c>
      <c r="J627" s="21">
        <v>45126</v>
      </c>
      <c r="K627" s="21">
        <v>45126</v>
      </c>
      <c r="L627" t="s">
        <v>248</v>
      </c>
      <c r="M627" t="s">
        <v>82</v>
      </c>
      <c r="N627" t="s">
        <v>47</v>
      </c>
      <c r="O627">
        <v>1</v>
      </c>
      <c r="P627" t="s">
        <v>1996</v>
      </c>
      <c r="Q627" t="s">
        <v>4644</v>
      </c>
      <c r="R627" t="s">
        <v>4713</v>
      </c>
      <c r="S627" t="s">
        <v>4719</v>
      </c>
      <c r="T627">
        <f t="shared" si="18"/>
        <v>2</v>
      </c>
      <c r="U627" s="21">
        <f t="shared" si="19"/>
        <v>45126</v>
      </c>
    </row>
    <row r="628" spans="1:21" x14ac:dyDescent="0.35">
      <c r="A628" t="s">
        <v>3178</v>
      </c>
      <c r="B628" t="s">
        <v>3179</v>
      </c>
      <c r="C628" t="s">
        <v>19</v>
      </c>
      <c r="D628" t="s">
        <v>205</v>
      </c>
      <c r="E628" s="1">
        <v>43.12</v>
      </c>
      <c r="F628" t="s">
        <v>206</v>
      </c>
      <c r="G628">
        <v>80</v>
      </c>
      <c r="H628" s="1">
        <v>34.496000000000002</v>
      </c>
      <c r="I628" s="21">
        <v>45123</v>
      </c>
      <c r="J628" s="21">
        <v>45129</v>
      </c>
      <c r="K628" s="21">
        <v>45129</v>
      </c>
      <c r="L628" t="s">
        <v>234</v>
      </c>
      <c r="M628" t="s">
        <v>33</v>
      </c>
      <c r="N628" t="s">
        <v>34</v>
      </c>
      <c r="O628">
        <v>1</v>
      </c>
      <c r="P628" t="s">
        <v>3180</v>
      </c>
      <c r="Q628" t="s">
        <v>4680</v>
      </c>
      <c r="R628" t="s">
        <v>4721</v>
      </c>
      <c r="S628" t="s">
        <v>4718</v>
      </c>
      <c r="T628">
        <f t="shared" si="18"/>
        <v>6</v>
      </c>
      <c r="U628" s="21">
        <f t="shared" si="19"/>
        <v>45129</v>
      </c>
    </row>
    <row r="629" spans="1:21" x14ac:dyDescent="0.35">
      <c r="A629" t="s">
        <v>777</v>
      </c>
      <c r="B629" t="s">
        <v>778</v>
      </c>
      <c r="C629" t="s">
        <v>19</v>
      </c>
      <c r="D629" t="s">
        <v>205</v>
      </c>
      <c r="E629" s="1">
        <v>60.143999999999998</v>
      </c>
      <c r="F629" t="s">
        <v>206</v>
      </c>
      <c r="G629">
        <v>80</v>
      </c>
      <c r="H629" s="1">
        <v>48.115200000000002</v>
      </c>
      <c r="I629" s="21">
        <v>45122</v>
      </c>
      <c r="J629" s="21">
        <v>45124</v>
      </c>
      <c r="K629" s="21">
        <v>45124</v>
      </c>
      <c r="L629" t="s">
        <v>234</v>
      </c>
      <c r="M629" t="s">
        <v>25</v>
      </c>
      <c r="N629" t="s">
        <v>26</v>
      </c>
      <c r="O629">
        <v>1</v>
      </c>
      <c r="P629" t="s">
        <v>779</v>
      </c>
      <c r="Q629" t="s">
        <v>4517</v>
      </c>
      <c r="R629" t="s">
        <v>4726</v>
      </c>
      <c r="S629" t="s">
        <v>4717</v>
      </c>
      <c r="T629">
        <f t="shared" si="18"/>
        <v>2</v>
      </c>
      <c r="U629" s="21">
        <f t="shared" si="19"/>
        <v>45124</v>
      </c>
    </row>
    <row r="630" spans="1:21" x14ac:dyDescent="0.35">
      <c r="A630" t="s">
        <v>4146</v>
      </c>
      <c r="B630" t="s">
        <v>4147</v>
      </c>
      <c r="C630" t="s">
        <v>30</v>
      </c>
      <c r="D630" t="s">
        <v>205</v>
      </c>
      <c r="E630" s="1">
        <v>51.712000000000003</v>
      </c>
      <c r="F630" t="s">
        <v>206</v>
      </c>
      <c r="G630">
        <v>80</v>
      </c>
      <c r="H630" s="1">
        <v>41.369600000000005</v>
      </c>
      <c r="I630" s="21">
        <v>45122</v>
      </c>
      <c r="J630" s="21">
        <v>45122</v>
      </c>
      <c r="K630" s="21">
        <v>45122</v>
      </c>
      <c r="L630" t="s">
        <v>207</v>
      </c>
      <c r="M630" t="s">
        <v>25</v>
      </c>
      <c r="N630" t="s">
        <v>26</v>
      </c>
      <c r="O630">
        <v>1</v>
      </c>
      <c r="P630" t="s">
        <v>2873</v>
      </c>
      <c r="Q630" t="s">
        <v>4671</v>
      </c>
      <c r="R630" t="s">
        <v>4721</v>
      </c>
      <c r="S630" t="s">
        <v>4717</v>
      </c>
      <c r="T630">
        <f t="shared" si="18"/>
        <v>0</v>
      </c>
      <c r="U630" s="21">
        <f t="shared" si="19"/>
        <v>45122</v>
      </c>
    </row>
    <row r="631" spans="1:21" x14ac:dyDescent="0.35">
      <c r="A631" t="s">
        <v>3172</v>
      </c>
      <c r="B631" t="s">
        <v>3173</v>
      </c>
      <c r="C631" t="s">
        <v>19</v>
      </c>
      <c r="D631" t="s">
        <v>212</v>
      </c>
      <c r="E631" s="1">
        <v>24.96</v>
      </c>
      <c r="F631" t="s">
        <v>206</v>
      </c>
      <c r="G631">
        <v>100</v>
      </c>
      <c r="H631" s="1">
        <v>24.96</v>
      </c>
      <c r="I631" s="21">
        <v>45122</v>
      </c>
      <c r="J631" s="21">
        <v>45125</v>
      </c>
      <c r="K631" s="21">
        <v>45125</v>
      </c>
      <c r="L631" t="s">
        <v>213</v>
      </c>
      <c r="M631" t="s">
        <v>40</v>
      </c>
      <c r="N631" t="s">
        <v>34</v>
      </c>
      <c r="O631">
        <v>1</v>
      </c>
      <c r="P631" t="s">
        <v>3174</v>
      </c>
      <c r="Q631" t="s">
        <v>4729</v>
      </c>
      <c r="R631" t="s">
        <v>4722</v>
      </c>
      <c r="S631" t="s">
        <v>4718</v>
      </c>
      <c r="T631">
        <f t="shared" si="18"/>
        <v>3</v>
      </c>
      <c r="U631" s="21">
        <f t="shared" si="19"/>
        <v>45125</v>
      </c>
    </row>
    <row r="632" spans="1:21" x14ac:dyDescent="0.35">
      <c r="A632" t="s">
        <v>4152</v>
      </c>
      <c r="B632" t="s">
        <v>4153</v>
      </c>
      <c r="C632" t="s">
        <v>30</v>
      </c>
      <c r="D632" t="s">
        <v>212</v>
      </c>
      <c r="E632" s="1">
        <v>65.88</v>
      </c>
      <c r="F632" t="s">
        <v>206</v>
      </c>
      <c r="G632">
        <v>100</v>
      </c>
      <c r="H632" s="1">
        <v>65.88</v>
      </c>
      <c r="I632" s="21">
        <v>45122</v>
      </c>
      <c r="J632" s="21">
        <v>45126</v>
      </c>
      <c r="K632" s="21">
        <v>45126</v>
      </c>
      <c r="L632" t="s">
        <v>207</v>
      </c>
      <c r="M632" t="s">
        <v>40</v>
      </c>
      <c r="N632" t="s">
        <v>34</v>
      </c>
      <c r="O632">
        <v>1</v>
      </c>
      <c r="P632" t="s">
        <v>3437</v>
      </c>
      <c r="Q632" t="s">
        <v>4532</v>
      </c>
      <c r="R632" t="s">
        <v>4726</v>
      </c>
      <c r="S632" t="s">
        <v>4717</v>
      </c>
      <c r="T632">
        <f t="shared" si="18"/>
        <v>4</v>
      </c>
      <c r="U632" s="21">
        <f t="shared" si="19"/>
        <v>45126</v>
      </c>
    </row>
    <row r="633" spans="1:21" x14ac:dyDescent="0.35">
      <c r="A633" t="s">
        <v>4148</v>
      </c>
      <c r="B633" t="s">
        <v>4149</v>
      </c>
      <c r="C633" t="s">
        <v>30</v>
      </c>
      <c r="D633" t="s">
        <v>212</v>
      </c>
      <c r="E633" s="1">
        <v>20.608000000000001</v>
      </c>
      <c r="F633" t="s">
        <v>206</v>
      </c>
      <c r="G633">
        <v>100</v>
      </c>
      <c r="H633" s="1">
        <v>20.608000000000001</v>
      </c>
      <c r="I633" s="21">
        <v>45122</v>
      </c>
      <c r="J633" s="21">
        <v>45124</v>
      </c>
      <c r="K633" s="21">
        <v>45124</v>
      </c>
      <c r="L633" t="s">
        <v>234</v>
      </c>
      <c r="M633" t="s">
        <v>82</v>
      </c>
      <c r="N633" t="s">
        <v>47</v>
      </c>
      <c r="O633">
        <v>1</v>
      </c>
      <c r="P633" t="s">
        <v>3598</v>
      </c>
      <c r="Q633" t="s">
        <v>4693</v>
      </c>
      <c r="R633" t="s">
        <v>4726</v>
      </c>
      <c r="S633" t="s">
        <v>4717</v>
      </c>
      <c r="T633">
        <f t="shared" si="18"/>
        <v>2</v>
      </c>
      <c r="U633" s="21">
        <f t="shared" si="19"/>
        <v>45124</v>
      </c>
    </row>
    <row r="634" spans="1:21" x14ac:dyDescent="0.35">
      <c r="A634" t="s">
        <v>4150</v>
      </c>
      <c r="B634" t="s">
        <v>4151</v>
      </c>
      <c r="C634" t="s">
        <v>30</v>
      </c>
      <c r="D634" t="s">
        <v>205</v>
      </c>
      <c r="E634" s="1">
        <v>1.4079999999999999</v>
      </c>
      <c r="F634" t="s">
        <v>206</v>
      </c>
      <c r="G634">
        <v>80</v>
      </c>
      <c r="H634" s="1">
        <v>1.1264000000000001</v>
      </c>
      <c r="I634" s="21">
        <v>45122</v>
      </c>
      <c r="J634" s="21">
        <v>45126</v>
      </c>
      <c r="K634" s="21">
        <v>45126</v>
      </c>
      <c r="L634" t="s">
        <v>248</v>
      </c>
      <c r="M634" t="s">
        <v>25</v>
      </c>
      <c r="N634" t="s">
        <v>26</v>
      </c>
      <c r="O634">
        <v>1</v>
      </c>
      <c r="P634" t="s">
        <v>446</v>
      </c>
      <c r="Q634" t="s">
        <v>4520</v>
      </c>
      <c r="R634" t="s">
        <v>4726</v>
      </c>
      <c r="S634" t="s">
        <v>4717</v>
      </c>
      <c r="T634">
        <f t="shared" si="18"/>
        <v>4</v>
      </c>
      <c r="U634" s="21">
        <f t="shared" si="19"/>
        <v>45126</v>
      </c>
    </row>
    <row r="635" spans="1:21" x14ac:dyDescent="0.35">
      <c r="A635" t="s">
        <v>3175</v>
      </c>
      <c r="B635" t="s">
        <v>3176</v>
      </c>
      <c r="C635" t="s">
        <v>19</v>
      </c>
      <c r="D635" t="s">
        <v>205</v>
      </c>
      <c r="E635" s="1">
        <v>4.0949999999999998</v>
      </c>
      <c r="F635" t="s">
        <v>206</v>
      </c>
      <c r="G635">
        <v>80</v>
      </c>
      <c r="H635" s="1">
        <v>3.2759999999999998</v>
      </c>
      <c r="I635" s="21">
        <v>45122</v>
      </c>
      <c r="J635" s="21">
        <v>45126</v>
      </c>
      <c r="K635" s="21">
        <v>45126</v>
      </c>
      <c r="L635" t="s">
        <v>220</v>
      </c>
      <c r="M635" t="s">
        <v>54</v>
      </c>
      <c r="N635" t="s">
        <v>26</v>
      </c>
      <c r="O635">
        <v>1</v>
      </c>
      <c r="P635" t="s">
        <v>3177</v>
      </c>
      <c r="Q635" t="s">
        <v>4729</v>
      </c>
      <c r="R635" t="s">
        <v>4726</v>
      </c>
      <c r="S635" t="s">
        <v>4717</v>
      </c>
      <c r="T635">
        <f t="shared" si="18"/>
        <v>4</v>
      </c>
      <c r="U635" s="21">
        <f t="shared" si="19"/>
        <v>45126</v>
      </c>
    </row>
    <row r="636" spans="1:21" x14ac:dyDescent="0.35">
      <c r="A636" t="s">
        <v>3169</v>
      </c>
      <c r="B636" t="s">
        <v>3170</v>
      </c>
      <c r="C636" t="s">
        <v>30</v>
      </c>
      <c r="D636" t="s">
        <v>212</v>
      </c>
      <c r="E636" s="1">
        <v>10.56</v>
      </c>
      <c r="F636" t="s">
        <v>206</v>
      </c>
      <c r="G636">
        <v>100</v>
      </c>
      <c r="H636" s="1">
        <v>10.56</v>
      </c>
      <c r="I636" s="21">
        <v>45120</v>
      </c>
      <c r="J636" s="21">
        <v>45127</v>
      </c>
      <c r="K636" s="21">
        <v>45127</v>
      </c>
      <c r="L636" t="s">
        <v>213</v>
      </c>
      <c r="M636" t="s">
        <v>82</v>
      </c>
      <c r="N636" t="s">
        <v>47</v>
      </c>
      <c r="O636">
        <v>1</v>
      </c>
      <c r="P636" t="s">
        <v>3171</v>
      </c>
      <c r="Q636" t="s">
        <v>4679</v>
      </c>
      <c r="R636" t="s">
        <v>4726</v>
      </c>
      <c r="S636" t="s">
        <v>4717</v>
      </c>
      <c r="T636">
        <f t="shared" si="18"/>
        <v>7</v>
      </c>
      <c r="U636" s="21">
        <f t="shared" si="19"/>
        <v>45127</v>
      </c>
    </row>
    <row r="637" spans="1:21" x14ac:dyDescent="0.35">
      <c r="A637" t="s">
        <v>1989</v>
      </c>
      <c r="B637" t="s">
        <v>1990</v>
      </c>
      <c r="C637" t="s">
        <v>30</v>
      </c>
      <c r="D637" t="s">
        <v>212</v>
      </c>
      <c r="E637" s="1">
        <v>93.36</v>
      </c>
      <c r="F637" t="s">
        <v>206</v>
      </c>
      <c r="G637">
        <v>100</v>
      </c>
      <c r="H637" s="1">
        <v>93.36</v>
      </c>
      <c r="I637" s="21">
        <v>45118</v>
      </c>
      <c r="J637" s="21">
        <v>45118</v>
      </c>
      <c r="K637" s="21">
        <v>45118</v>
      </c>
      <c r="L637" t="s">
        <v>220</v>
      </c>
      <c r="M637" t="s">
        <v>40</v>
      </c>
      <c r="N637" t="s">
        <v>34</v>
      </c>
      <c r="O637">
        <v>1</v>
      </c>
      <c r="P637" t="s">
        <v>702</v>
      </c>
      <c r="Q637" t="s">
        <v>4588</v>
      </c>
      <c r="R637" t="s">
        <v>4721</v>
      </c>
      <c r="S637" t="s">
        <v>4717</v>
      </c>
      <c r="T637">
        <f t="shared" si="18"/>
        <v>0</v>
      </c>
      <c r="U637" s="21">
        <f t="shared" si="19"/>
        <v>45118</v>
      </c>
    </row>
    <row r="638" spans="1:21" x14ac:dyDescent="0.35">
      <c r="A638" t="s">
        <v>774</v>
      </c>
      <c r="B638" t="s">
        <v>775</v>
      </c>
      <c r="C638" t="s">
        <v>19</v>
      </c>
      <c r="D638" t="s">
        <v>212</v>
      </c>
      <c r="E638" s="1">
        <v>239.37200000000001</v>
      </c>
      <c r="F638" t="s">
        <v>206</v>
      </c>
      <c r="G638">
        <v>100</v>
      </c>
      <c r="H638" s="1">
        <v>239.37200000000001</v>
      </c>
      <c r="I638" s="21">
        <v>45118</v>
      </c>
      <c r="J638" s="21">
        <v>45119</v>
      </c>
      <c r="K638" s="21">
        <v>45119</v>
      </c>
      <c r="L638" t="s">
        <v>213</v>
      </c>
      <c r="M638" t="s">
        <v>97</v>
      </c>
      <c r="N638" t="s">
        <v>68</v>
      </c>
      <c r="O638">
        <v>1</v>
      </c>
      <c r="P638" t="s">
        <v>776</v>
      </c>
      <c r="Q638" t="s">
        <v>4566</v>
      </c>
      <c r="R638" t="s">
        <v>4712</v>
      </c>
      <c r="S638" t="s">
        <v>4718</v>
      </c>
      <c r="T638">
        <f t="shared" si="18"/>
        <v>1</v>
      </c>
      <c r="U638" s="21">
        <f t="shared" si="19"/>
        <v>45119</v>
      </c>
    </row>
    <row r="639" spans="1:21" x14ac:dyDescent="0.35">
      <c r="A639" t="s">
        <v>1991</v>
      </c>
      <c r="B639" t="s">
        <v>1992</v>
      </c>
      <c r="C639" t="s">
        <v>30</v>
      </c>
      <c r="D639" t="s">
        <v>212</v>
      </c>
      <c r="E639" s="1">
        <v>97.82</v>
      </c>
      <c r="F639" t="s">
        <v>206</v>
      </c>
      <c r="G639">
        <v>100</v>
      </c>
      <c r="H639" s="1">
        <v>97.82</v>
      </c>
      <c r="I639" s="21">
        <v>45118</v>
      </c>
      <c r="J639" s="21">
        <v>45124</v>
      </c>
      <c r="K639" s="21">
        <v>45124</v>
      </c>
      <c r="L639" t="s">
        <v>234</v>
      </c>
      <c r="M639" t="s">
        <v>46</v>
      </c>
      <c r="N639" t="s">
        <v>47</v>
      </c>
      <c r="O639">
        <v>1</v>
      </c>
      <c r="P639" t="s">
        <v>1993</v>
      </c>
      <c r="Q639" t="s">
        <v>4519</v>
      </c>
      <c r="R639" t="s">
        <v>4726</v>
      </c>
      <c r="S639" t="s">
        <v>4717</v>
      </c>
      <c r="T639">
        <f t="shared" si="18"/>
        <v>6</v>
      </c>
      <c r="U639" s="21">
        <f t="shared" si="19"/>
        <v>45124</v>
      </c>
    </row>
    <row r="640" spans="1:21" x14ac:dyDescent="0.35">
      <c r="A640" t="s">
        <v>1986</v>
      </c>
      <c r="B640" t="s">
        <v>1987</v>
      </c>
      <c r="C640" t="s">
        <v>19</v>
      </c>
      <c r="D640" t="s">
        <v>212</v>
      </c>
      <c r="E640" s="1">
        <v>523.91999999999996</v>
      </c>
      <c r="F640" t="s">
        <v>206</v>
      </c>
      <c r="G640">
        <v>100</v>
      </c>
      <c r="H640" s="1">
        <v>523.91999999999996</v>
      </c>
      <c r="I640" s="21">
        <v>45116</v>
      </c>
      <c r="J640" s="21">
        <v>45120</v>
      </c>
      <c r="K640" s="21">
        <v>45120</v>
      </c>
      <c r="L640" t="s">
        <v>238</v>
      </c>
      <c r="M640" t="s">
        <v>25</v>
      </c>
      <c r="N640" t="s">
        <v>26</v>
      </c>
      <c r="O640">
        <v>1</v>
      </c>
      <c r="P640" t="s">
        <v>1988</v>
      </c>
      <c r="Q640" t="s">
        <v>4606</v>
      </c>
      <c r="R640" t="s">
        <v>4723</v>
      </c>
      <c r="S640" t="s">
        <v>4718</v>
      </c>
      <c r="T640">
        <f t="shared" si="18"/>
        <v>4</v>
      </c>
      <c r="U640" s="21">
        <f t="shared" si="19"/>
        <v>45120</v>
      </c>
    </row>
    <row r="641" spans="1:21" x14ac:dyDescent="0.35">
      <c r="A641" t="s">
        <v>771</v>
      </c>
      <c r="B641" t="s">
        <v>772</v>
      </c>
      <c r="C641" t="s">
        <v>30</v>
      </c>
      <c r="D641" t="s">
        <v>205</v>
      </c>
      <c r="E641" s="1">
        <v>27.24</v>
      </c>
      <c r="F641" t="s">
        <v>206</v>
      </c>
      <c r="G641">
        <v>80</v>
      </c>
      <c r="H641" s="1">
        <v>21.792000000000002</v>
      </c>
      <c r="I641" s="21">
        <v>45115</v>
      </c>
      <c r="J641" s="21">
        <v>45119</v>
      </c>
      <c r="K641" s="21">
        <v>45119</v>
      </c>
      <c r="L641" t="s">
        <v>213</v>
      </c>
      <c r="M641" t="s">
        <v>146</v>
      </c>
      <c r="N641" t="s">
        <v>73</v>
      </c>
      <c r="O641">
        <v>1</v>
      </c>
      <c r="P641" t="s">
        <v>773</v>
      </c>
      <c r="Q641" t="s">
        <v>4517</v>
      </c>
      <c r="R641" t="s">
        <v>4726</v>
      </c>
      <c r="S641" t="s">
        <v>4717</v>
      </c>
      <c r="T641">
        <f t="shared" si="18"/>
        <v>4</v>
      </c>
      <c r="U641" s="21">
        <f t="shared" si="19"/>
        <v>45119</v>
      </c>
    </row>
    <row r="642" spans="1:21" x14ac:dyDescent="0.35">
      <c r="A642" t="s">
        <v>4144</v>
      </c>
      <c r="B642" t="s">
        <v>4145</v>
      </c>
      <c r="C642" t="s">
        <v>30</v>
      </c>
      <c r="D642" t="s">
        <v>212</v>
      </c>
      <c r="E642" s="1">
        <v>1001.5839999999999</v>
      </c>
      <c r="F642" t="s">
        <v>206</v>
      </c>
      <c r="G642">
        <v>100</v>
      </c>
      <c r="H642" s="1">
        <v>1001.5839999999999</v>
      </c>
      <c r="I642" s="21">
        <v>45115</v>
      </c>
      <c r="J642" s="21">
        <v>45120</v>
      </c>
      <c r="K642" s="21">
        <v>45120</v>
      </c>
      <c r="L642" t="s">
        <v>220</v>
      </c>
      <c r="M642" t="s">
        <v>97</v>
      </c>
      <c r="N642" t="s">
        <v>68</v>
      </c>
      <c r="O642">
        <v>1</v>
      </c>
      <c r="P642" t="s">
        <v>1476</v>
      </c>
      <c r="Q642" t="s">
        <v>4565</v>
      </c>
      <c r="R642" t="s">
        <v>4711</v>
      </c>
      <c r="S642" t="s">
        <v>4719</v>
      </c>
      <c r="T642">
        <f t="shared" ref="T642:T705" si="20">J642-I642</f>
        <v>5</v>
      </c>
      <c r="U642" s="21">
        <f t="shared" si="19"/>
        <v>45120</v>
      </c>
    </row>
    <row r="643" spans="1:21" x14ac:dyDescent="0.35">
      <c r="A643" t="s">
        <v>4141</v>
      </c>
      <c r="B643" t="s">
        <v>4142</v>
      </c>
      <c r="C643" t="s">
        <v>30</v>
      </c>
      <c r="D643" t="s">
        <v>21</v>
      </c>
      <c r="E643" s="1">
        <v>1376.4449999999999</v>
      </c>
      <c r="F643" t="s">
        <v>22</v>
      </c>
      <c r="G643">
        <v>0</v>
      </c>
      <c r="H643" s="1">
        <v>0</v>
      </c>
      <c r="I643" s="21">
        <v>45112</v>
      </c>
      <c r="J643" s="21">
        <v>45114</v>
      </c>
      <c r="K643" s="21">
        <v>45114</v>
      </c>
      <c r="L643" t="s">
        <v>63</v>
      </c>
      <c r="M643" t="s">
        <v>40</v>
      </c>
      <c r="N643" t="s">
        <v>34</v>
      </c>
      <c r="O643">
        <v>1</v>
      </c>
      <c r="P643" t="s">
        <v>4143</v>
      </c>
      <c r="Q643" t="s">
        <v>4729</v>
      </c>
      <c r="R643" t="s">
        <v>4721</v>
      </c>
      <c r="S643" t="s">
        <v>4718</v>
      </c>
      <c r="T643">
        <f t="shared" si="20"/>
        <v>2</v>
      </c>
      <c r="U643" s="21">
        <f t="shared" ref="U643:U706" si="21">J643</f>
        <v>45114</v>
      </c>
    </row>
    <row r="644" spans="1:21" x14ac:dyDescent="0.35">
      <c r="A644" t="s">
        <v>3167</v>
      </c>
      <c r="B644" t="s">
        <v>3168</v>
      </c>
      <c r="C644" t="s">
        <v>30</v>
      </c>
      <c r="D644" t="s">
        <v>212</v>
      </c>
      <c r="E644" s="1">
        <v>62.94</v>
      </c>
      <c r="F644" t="s">
        <v>206</v>
      </c>
      <c r="G644">
        <v>100</v>
      </c>
      <c r="H644" s="1">
        <v>62.94</v>
      </c>
      <c r="I644" s="21">
        <v>45111</v>
      </c>
      <c r="J644" s="21">
        <v>45111</v>
      </c>
      <c r="K644" s="21">
        <v>45111</v>
      </c>
      <c r="L644" t="s">
        <v>220</v>
      </c>
      <c r="M644" t="s">
        <v>72</v>
      </c>
      <c r="N644" t="s">
        <v>73</v>
      </c>
      <c r="O644">
        <v>1</v>
      </c>
      <c r="P644" t="s">
        <v>1304</v>
      </c>
      <c r="Q644" t="s">
        <v>4729</v>
      </c>
      <c r="R644" t="s">
        <v>4726</v>
      </c>
      <c r="S644" t="s">
        <v>4717</v>
      </c>
      <c r="T644">
        <f t="shared" si="20"/>
        <v>0</v>
      </c>
      <c r="U644" s="21">
        <f t="shared" si="21"/>
        <v>45111</v>
      </c>
    </row>
    <row r="645" spans="1:21" x14ac:dyDescent="0.35">
      <c r="A645" t="s">
        <v>1983</v>
      </c>
      <c r="B645" t="s">
        <v>1984</v>
      </c>
      <c r="C645" t="s">
        <v>19</v>
      </c>
      <c r="D645" t="s">
        <v>212</v>
      </c>
      <c r="E645" s="1">
        <v>25.92</v>
      </c>
      <c r="F645" t="s">
        <v>206</v>
      </c>
      <c r="G645">
        <v>100</v>
      </c>
      <c r="H645" s="1">
        <v>25.92</v>
      </c>
      <c r="I645" s="21">
        <v>45111</v>
      </c>
      <c r="J645" s="21">
        <v>45115</v>
      </c>
      <c r="K645" s="21">
        <v>45115</v>
      </c>
      <c r="L645" t="s">
        <v>220</v>
      </c>
      <c r="M645" t="s">
        <v>46</v>
      </c>
      <c r="N645" t="s">
        <v>47</v>
      </c>
      <c r="O645">
        <v>1</v>
      </c>
      <c r="P645" t="s">
        <v>1985</v>
      </c>
      <c r="Q645" t="s">
        <v>4626</v>
      </c>
      <c r="R645" t="s">
        <v>4726</v>
      </c>
      <c r="S645" t="s">
        <v>4717</v>
      </c>
      <c r="T645">
        <f t="shared" si="20"/>
        <v>4</v>
      </c>
      <c r="U645" s="21">
        <f t="shared" si="21"/>
        <v>45115</v>
      </c>
    </row>
    <row r="646" spans="1:21" x14ac:dyDescent="0.35">
      <c r="A646" t="s">
        <v>3165</v>
      </c>
      <c r="B646" t="s">
        <v>3166</v>
      </c>
      <c r="C646" t="s">
        <v>30</v>
      </c>
      <c r="D646" t="s">
        <v>21</v>
      </c>
      <c r="E646" s="1">
        <v>16.920000000000002</v>
      </c>
      <c r="F646" t="s">
        <v>22</v>
      </c>
      <c r="G646">
        <v>0</v>
      </c>
      <c r="H646" s="1">
        <v>0</v>
      </c>
      <c r="I646" s="21">
        <v>45111</v>
      </c>
      <c r="J646" s="21">
        <v>45114</v>
      </c>
      <c r="K646" s="21">
        <v>45114</v>
      </c>
      <c r="L646" t="s">
        <v>39</v>
      </c>
      <c r="M646" t="s">
        <v>146</v>
      </c>
      <c r="N646" t="s">
        <v>73</v>
      </c>
      <c r="O646">
        <v>1</v>
      </c>
      <c r="P646" t="s">
        <v>1580</v>
      </c>
      <c r="Q646" t="s">
        <v>4519</v>
      </c>
      <c r="R646" t="s">
        <v>4726</v>
      </c>
      <c r="S646" t="s">
        <v>4717</v>
      </c>
      <c r="T646">
        <f t="shared" si="20"/>
        <v>3</v>
      </c>
      <c r="U646" s="21">
        <f t="shared" si="21"/>
        <v>45114</v>
      </c>
    </row>
    <row r="647" spans="1:21" x14ac:dyDescent="0.35">
      <c r="A647" t="s">
        <v>4139</v>
      </c>
      <c r="B647" t="s">
        <v>4140</v>
      </c>
      <c r="C647" t="s">
        <v>30</v>
      </c>
      <c r="D647" t="s">
        <v>212</v>
      </c>
      <c r="E647" s="1">
        <v>29.6</v>
      </c>
      <c r="F647" t="s">
        <v>206</v>
      </c>
      <c r="G647">
        <v>100</v>
      </c>
      <c r="H647" s="1">
        <v>29.6</v>
      </c>
      <c r="I647" s="21">
        <v>45110</v>
      </c>
      <c r="J647" s="21">
        <v>45116</v>
      </c>
      <c r="K647" s="21">
        <v>45116</v>
      </c>
      <c r="L647" t="s">
        <v>207</v>
      </c>
      <c r="M647" t="s">
        <v>25</v>
      </c>
      <c r="N647" t="s">
        <v>26</v>
      </c>
      <c r="O647">
        <v>1</v>
      </c>
      <c r="P647" t="s">
        <v>1507</v>
      </c>
      <c r="Q647" t="s">
        <v>4729</v>
      </c>
      <c r="R647" t="s">
        <v>4726</v>
      </c>
      <c r="S647" t="s">
        <v>4717</v>
      </c>
      <c r="T647">
        <f t="shared" si="20"/>
        <v>6</v>
      </c>
      <c r="U647" s="21">
        <f t="shared" si="21"/>
        <v>45116</v>
      </c>
    </row>
    <row r="648" spans="1:21" x14ac:dyDescent="0.35">
      <c r="A648" t="s">
        <v>765</v>
      </c>
      <c r="B648" t="s">
        <v>766</v>
      </c>
      <c r="C648" t="s">
        <v>30</v>
      </c>
      <c r="D648" t="s">
        <v>205</v>
      </c>
      <c r="E648" s="1">
        <v>4.9800000000000004</v>
      </c>
      <c r="F648" t="s">
        <v>206</v>
      </c>
      <c r="G648">
        <v>80</v>
      </c>
      <c r="H648" s="1">
        <v>3.9840000000000004</v>
      </c>
      <c r="I648" s="21">
        <v>45110</v>
      </c>
      <c r="J648" s="21">
        <v>45115</v>
      </c>
      <c r="K648" s="21">
        <v>45115</v>
      </c>
      <c r="L648" t="s">
        <v>220</v>
      </c>
      <c r="M648" t="s">
        <v>25</v>
      </c>
      <c r="N648" t="s">
        <v>26</v>
      </c>
      <c r="O648">
        <v>1</v>
      </c>
      <c r="P648" t="s">
        <v>767</v>
      </c>
      <c r="Q648" t="s">
        <v>4517</v>
      </c>
      <c r="R648" t="s">
        <v>4726</v>
      </c>
      <c r="S648" t="s">
        <v>4717</v>
      </c>
      <c r="T648">
        <f t="shared" si="20"/>
        <v>5</v>
      </c>
      <c r="U648" s="21">
        <f t="shared" si="21"/>
        <v>45115</v>
      </c>
    </row>
    <row r="649" spans="1:21" x14ac:dyDescent="0.35">
      <c r="A649" t="s">
        <v>768</v>
      </c>
      <c r="B649" t="s">
        <v>769</v>
      </c>
      <c r="C649" t="s">
        <v>19</v>
      </c>
      <c r="D649" t="s">
        <v>21</v>
      </c>
      <c r="E649" s="1">
        <v>569.90199999999993</v>
      </c>
      <c r="F649" t="s">
        <v>22</v>
      </c>
      <c r="G649">
        <v>0</v>
      </c>
      <c r="H649" s="1">
        <v>0</v>
      </c>
      <c r="I649" s="21">
        <v>45110</v>
      </c>
      <c r="J649" s="21">
        <v>45111</v>
      </c>
      <c r="K649" s="21">
        <v>45111</v>
      </c>
      <c r="L649" t="s">
        <v>32</v>
      </c>
      <c r="M649" t="s">
        <v>46</v>
      </c>
      <c r="N649" t="s">
        <v>47</v>
      </c>
      <c r="O649">
        <v>1</v>
      </c>
      <c r="P649" t="s">
        <v>770</v>
      </c>
      <c r="Q649" t="s">
        <v>4567</v>
      </c>
      <c r="R649" t="s">
        <v>4714</v>
      </c>
      <c r="S649" t="s">
        <v>4718</v>
      </c>
      <c r="T649">
        <f t="shared" si="20"/>
        <v>1</v>
      </c>
      <c r="U649" s="21">
        <f t="shared" si="21"/>
        <v>45111</v>
      </c>
    </row>
    <row r="650" spans="1:21" x14ac:dyDescent="0.35">
      <c r="A650" t="s">
        <v>3163</v>
      </c>
      <c r="B650" t="s">
        <v>3164</v>
      </c>
      <c r="C650" t="s">
        <v>30</v>
      </c>
      <c r="D650" t="s">
        <v>205</v>
      </c>
      <c r="E650" s="1">
        <v>10.9</v>
      </c>
      <c r="F650" t="s">
        <v>206</v>
      </c>
      <c r="G650">
        <v>80</v>
      </c>
      <c r="H650" s="1">
        <v>8.7200000000000006</v>
      </c>
      <c r="I650" s="21">
        <v>45109</v>
      </c>
      <c r="J650" s="21">
        <v>45110</v>
      </c>
      <c r="K650" s="21">
        <v>45110</v>
      </c>
      <c r="L650" t="s">
        <v>234</v>
      </c>
      <c r="M650" t="s">
        <v>67</v>
      </c>
      <c r="N650" t="s">
        <v>68</v>
      </c>
      <c r="O650">
        <v>1</v>
      </c>
      <c r="P650" t="s">
        <v>2801</v>
      </c>
      <c r="Q650" t="s">
        <v>4646</v>
      </c>
      <c r="R650" t="s">
        <v>4726</v>
      </c>
      <c r="S650" t="s">
        <v>4717</v>
      </c>
      <c r="T650">
        <f t="shared" si="20"/>
        <v>1</v>
      </c>
      <c r="U650" s="21">
        <f t="shared" si="21"/>
        <v>45110</v>
      </c>
    </row>
    <row r="651" spans="1:21" x14ac:dyDescent="0.35">
      <c r="A651" t="s">
        <v>3160</v>
      </c>
      <c r="B651" t="s">
        <v>3161</v>
      </c>
      <c r="C651" t="s">
        <v>19</v>
      </c>
      <c r="D651" t="s">
        <v>212</v>
      </c>
      <c r="E651" s="1">
        <v>15.623999999999899</v>
      </c>
      <c r="F651" t="s">
        <v>206</v>
      </c>
      <c r="G651">
        <v>100</v>
      </c>
      <c r="H651" s="1">
        <v>15.623999999999899</v>
      </c>
      <c r="I651" s="21">
        <v>45109</v>
      </c>
      <c r="J651" s="21">
        <v>45111</v>
      </c>
      <c r="K651" s="21">
        <v>45111</v>
      </c>
      <c r="L651" t="s">
        <v>213</v>
      </c>
      <c r="M651" t="s">
        <v>33</v>
      </c>
      <c r="N651" t="s">
        <v>34</v>
      </c>
      <c r="O651">
        <v>1</v>
      </c>
      <c r="P651" t="s">
        <v>3162</v>
      </c>
      <c r="Q651" t="s">
        <v>4729</v>
      </c>
      <c r="R651" t="s">
        <v>4726</v>
      </c>
      <c r="S651" t="s">
        <v>4717</v>
      </c>
      <c r="T651">
        <f t="shared" si="20"/>
        <v>2</v>
      </c>
      <c r="U651" s="21">
        <f t="shared" si="21"/>
        <v>45111</v>
      </c>
    </row>
    <row r="652" spans="1:21" x14ac:dyDescent="0.35">
      <c r="A652" t="s">
        <v>4137</v>
      </c>
      <c r="B652" t="s">
        <v>4138</v>
      </c>
      <c r="C652" t="s">
        <v>30</v>
      </c>
      <c r="D652" t="s">
        <v>205</v>
      </c>
      <c r="E652" s="1">
        <v>431.976</v>
      </c>
      <c r="F652" t="s">
        <v>206</v>
      </c>
      <c r="G652">
        <v>80</v>
      </c>
      <c r="H652" s="1">
        <v>345.58080000000001</v>
      </c>
      <c r="I652" s="21">
        <v>45108</v>
      </c>
      <c r="J652" s="21">
        <v>45111</v>
      </c>
      <c r="K652" s="21">
        <v>45111</v>
      </c>
      <c r="L652" t="s">
        <v>238</v>
      </c>
      <c r="M652" t="s">
        <v>25</v>
      </c>
      <c r="N652" t="s">
        <v>26</v>
      </c>
      <c r="O652">
        <v>1</v>
      </c>
      <c r="P652" t="s">
        <v>2927</v>
      </c>
      <c r="Q652" t="s">
        <v>4513</v>
      </c>
      <c r="R652" t="s">
        <v>4713</v>
      </c>
      <c r="S652" t="s">
        <v>4719</v>
      </c>
      <c r="T652">
        <f t="shared" si="20"/>
        <v>3</v>
      </c>
      <c r="U652" s="21">
        <f t="shared" si="21"/>
        <v>45111</v>
      </c>
    </row>
    <row r="653" spans="1:21" x14ac:dyDescent="0.35">
      <c r="A653" t="s">
        <v>3157</v>
      </c>
      <c r="B653" t="s">
        <v>3158</v>
      </c>
      <c r="C653" t="s">
        <v>19</v>
      </c>
      <c r="D653" t="s">
        <v>205</v>
      </c>
      <c r="E653" s="1">
        <v>155.37200000000001</v>
      </c>
      <c r="F653" t="s">
        <v>206</v>
      </c>
      <c r="G653">
        <v>80</v>
      </c>
      <c r="H653" s="1">
        <v>124.29760000000002</v>
      </c>
      <c r="I653" s="21">
        <v>45107</v>
      </c>
      <c r="J653" s="21">
        <v>45111</v>
      </c>
      <c r="K653" s="21">
        <v>45111</v>
      </c>
      <c r="L653" t="s">
        <v>248</v>
      </c>
      <c r="M653" t="s">
        <v>72</v>
      </c>
      <c r="N653" t="s">
        <v>73</v>
      </c>
      <c r="O653">
        <v>1</v>
      </c>
      <c r="P653" t="s">
        <v>3159</v>
      </c>
      <c r="Q653" t="s">
        <v>4729</v>
      </c>
      <c r="R653" t="s">
        <v>4714</v>
      </c>
      <c r="S653" t="s">
        <v>4718</v>
      </c>
      <c r="T653">
        <f t="shared" si="20"/>
        <v>4</v>
      </c>
      <c r="U653" s="21">
        <f t="shared" si="21"/>
        <v>45111</v>
      </c>
    </row>
    <row r="654" spans="1:21" x14ac:dyDescent="0.35">
      <c r="A654" t="s">
        <v>3155</v>
      </c>
      <c r="B654" t="s">
        <v>3156</v>
      </c>
      <c r="C654" t="s">
        <v>19</v>
      </c>
      <c r="D654" t="s">
        <v>205</v>
      </c>
      <c r="E654" s="1">
        <v>454.96499999999997</v>
      </c>
      <c r="F654" t="s">
        <v>206</v>
      </c>
      <c r="G654">
        <v>80</v>
      </c>
      <c r="H654" s="1">
        <v>363.97199999999998</v>
      </c>
      <c r="I654" s="21">
        <v>45106</v>
      </c>
      <c r="J654" s="21">
        <v>45110</v>
      </c>
      <c r="K654" s="21">
        <v>45110</v>
      </c>
      <c r="L654" t="s">
        <v>207</v>
      </c>
      <c r="M654" t="s">
        <v>67</v>
      </c>
      <c r="N654" t="s">
        <v>68</v>
      </c>
      <c r="O654">
        <v>1</v>
      </c>
      <c r="P654" t="s">
        <v>834</v>
      </c>
      <c r="Q654" t="s">
        <v>4601</v>
      </c>
      <c r="R654" t="s">
        <v>4714</v>
      </c>
      <c r="S654" t="s">
        <v>4718</v>
      </c>
      <c r="T654">
        <f t="shared" si="20"/>
        <v>4</v>
      </c>
      <c r="U654" s="21">
        <f t="shared" si="21"/>
        <v>45110</v>
      </c>
    </row>
    <row r="655" spans="1:21" x14ac:dyDescent="0.35">
      <c r="A655" t="s">
        <v>3152</v>
      </c>
      <c r="B655" t="s">
        <v>3153</v>
      </c>
      <c r="C655" t="s">
        <v>30</v>
      </c>
      <c r="D655" t="s">
        <v>205</v>
      </c>
      <c r="E655" s="1">
        <v>93.031999999999897</v>
      </c>
      <c r="F655" t="s">
        <v>206</v>
      </c>
      <c r="G655">
        <v>80</v>
      </c>
      <c r="H655" s="1">
        <v>74.425599999999918</v>
      </c>
      <c r="I655" s="21">
        <v>45105</v>
      </c>
      <c r="J655" s="21">
        <v>45107</v>
      </c>
      <c r="K655" s="21">
        <v>45107</v>
      </c>
      <c r="L655" t="s">
        <v>248</v>
      </c>
      <c r="M655" t="s">
        <v>54</v>
      </c>
      <c r="N655" t="s">
        <v>26</v>
      </c>
      <c r="O655">
        <v>1</v>
      </c>
      <c r="P655" t="s">
        <v>3154</v>
      </c>
      <c r="Q655" t="s">
        <v>4547</v>
      </c>
      <c r="R655" t="s">
        <v>4721</v>
      </c>
      <c r="S655" t="s">
        <v>4717</v>
      </c>
      <c r="T655">
        <f t="shared" si="20"/>
        <v>2</v>
      </c>
      <c r="U655" s="21">
        <f t="shared" si="21"/>
        <v>45107</v>
      </c>
    </row>
    <row r="656" spans="1:21" x14ac:dyDescent="0.35">
      <c r="A656" t="s">
        <v>4134</v>
      </c>
      <c r="B656" t="s">
        <v>4135</v>
      </c>
      <c r="C656" t="s">
        <v>30</v>
      </c>
      <c r="D656" t="s">
        <v>212</v>
      </c>
      <c r="E656" s="1">
        <v>236.88</v>
      </c>
      <c r="F656" t="s">
        <v>206</v>
      </c>
      <c r="G656">
        <v>100</v>
      </c>
      <c r="H656" s="1">
        <v>236.88</v>
      </c>
      <c r="I656" s="21">
        <v>45104</v>
      </c>
      <c r="J656" s="21">
        <v>45111</v>
      </c>
      <c r="K656" s="21">
        <v>45111</v>
      </c>
      <c r="L656" t="s">
        <v>220</v>
      </c>
      <c r="M656" t="s">
        <v>33</v>
      </c>
      <c r="N656" t="s">
        <v>34</v>
      </c>
      <c r="O656">
        <v>1</v>
      </c>
      <c r="P656" t="s">
        <v>4136</v>
      </c>
      <c r="Q656" t="s">
        <v>4545</v>
      </c>
      <c r="R656" t="s">
        <v>4721</v>
      </c>
      <c r="S656" t="s">
        <v>4717</v>
      </c>
      <c r="T656">
        <f t="shared" si="20"/>
        <v>7</v>
      </c>
      <c r="U656" s="21">
        <f t="shared" si="21"/>
        <v>45111</v>
      </c>
    </row>
    <row r="657" spans="1:21" x14ac:dyDescent="0.35">
      <c r="A657" t="s">
        <v>3147</v>
      </c>
      <c r="B657" t="s">
        <v>3148</v>
      </c>
      <c r="C657" t="s">
        <v>30</v>
      </c>
      <c r="D657" t="s">
        <v>212</v>
      </c>
      <c r="E657" s="1">
        <v>393.16500000000002</v>
      </c>
      <c r="F657" t="s">
        <v>206</v>
      </c>
      <c r="G657">
        <v>100</v>
      </c>
      <c r="H657" s="1">
        <v>393.16500000000002</v>
      </c>
      <c r="I657" s="21">
        <v>45104</v>
      </c>
      <c r="J657" s="21">
        <v>45108</v>
      </c>
      <c r="K657" s="21">
        <v>45108</v>
      </c>
      <c r="L657" t="s">
        <v>234</v>
      </c>
      <c r="M657" t="s">
        <v>97</v>
      </c>
      <c r="N657" t="s">
        <v>68</v>
      </c>
      <c r="O657">
        <v>1</v>
      </c>
      <c r="P657" t="s">
        <v>2658</v>
      </c>
      <c r="Q657" t="s">
        <v>4620</v>
      </c>
      <c r="R657" t="s">
        <v>4712</v>
      </c>
      <c r="S657" t="s">
        <v>4718</v>
      </c>
      <c r="T657">
        <f t="shared" si="20"/>
        <v>4</v>
      </c>
      <c r="U657" s="21">
        <f t="shared" si="21"/>
        <v>45108</v>
      </c>
    </row>
    <row r="658" spans="1:21" x14ac:dyDescent="0.35">
      <c r="A658" t="s">
        <v>762</v>
      </c>
      <c r="B658" t="s">
        <v>763</v>
      </c>
      <c r="C658" t="s">
        <v>19</v>
      </c>
      <c r="D658" t="s">
        <v>212</v>
      </c>
      <c r="E658" s="1">
        <v>35.56</v>
      </c>
      <c r="F658" t="s">
        <v>206</v>
      </c>
      <c r="G658">
        <v>100</v>
      </c>
      <c r="H658" s="1">
        <v>35.56</v>
      </c>
      <c r="I658" s="21">
        <v>45104</v>
      </c>
      <c r="J658" s="21">
        <v>45111</v>
      </c>
      <c r="K658" s="21">
        <v>45111</v>
      </c>
      <c r="L658" t="s">
        <v>248</v>
      </c>
      <c r="M658" t="s">
        <v>82</v>
      </c>
      <c r="N658" t="s">
        <v>47</v>
      </c>
      <c r="O658">
        <v>1</v>
      </c>
      <c r="P658" t="s">
        <v>764</v>
      </c>
      <c r="Q658" t="s">
        <v>4729</v>
      </c>
      <c r="R658" t="s">
        <v>4512</v>
      </c>
      <c r="S658" t="s">
        <v>4717</v>
      </c>
      <c r="T658">
        <f t="shared" si="20"/>
        <v>7</v>
      </c>
      <c r="U658" s="21">
        <f t="shared" si="21"/>
        <v>45111</v>
      </c>
    </row>
    <row r="659" spans="1:21" x14ac:dyDescent="0.35">
      <c r="A659" t="s">
        <v>760</v>
      </c>
      <c r="B659" t="s">
        <v>761</v>
      </c>
      <c r="C659" t="s">
        <v>19</v>
      </c>
      <c r="D659" t="s">
        <v>205</v>
      </c>
      <c r="E659" s="1">
        <v>331.536</v>
      </c>
      <c r="F659" t="s">
        <v>206</v>
      </c>
      <c r="G659">
        <v>80</v>
      </c>
      <c r="H659" s="1">
        <v>265.22880000000004</v>
      </c>
      <c r="I659" s="21">
        <v>45104</v>
      </c>
      <c r="J659" s="21">
        <v>45111</v>
      </c>
      <c r="K659" s="21">
        <v>45111</v>
      </c>
      <c r="L659" t="s">
        <v>213</v>
      </c>
      <c r="M659" t="s">
        <v>82</v>
      </c>
      <c r="N659" t="s">
        <v>47</v>
      </c>
      <c r="O659">
        <v>1</v>
      </c>
      <c r="P659" t="s">
        <v>618</v>
      </c>
      <c r="Q659" t="s">
        <v>4562</v>
      </c>
      <c r="R659" t="s">
        <v>4709</v>
      </c>
      <c r="S659" t="s">
        <v>4717</v>
      </c>
      <c r="T659">
        <f t="shared" si="20"/>
        <v>7</v>
      </c>
      <c r="U659" s="21">
        <f t="shared" si="21"/>
        <v>45111</v>
      </c>
    </row>
    <row r="660" spans="1:21" x14ac:dyDescent="0.35">
      <c r="A660" t="s">
        <v>3149</v>
      </c>
      <c r="B660" t="s">
        <v>3150</v>
      </c>
      <c r="C660" t="s">
        <v>19</v>
      </c>
      <c r="D660" t="s">
        <v>212</v>
      </c>
      <c r="E660" s="1">
        <v>12.96</v>
      </c>
      <c r="F660" t="s">
        <v>206</v>
      </c>
      <c r="G660">
        <v>100</v>
      </c>
      <c r="H660" s="1">
        <v>12.96</v>
      </c>
      <c r="I660" s="21">
        <v>45104</v>
      </c>
      <c r="J660" s="21">
        <v>45107</v>
      </c>
      <c r="K660" s="21">
        <v>45107</v>
      </c>
      <c r="L660" t="s">
        <v>220</v>
      </c>
      <c r="M660" t="s">
        <v>40</v>
      </c>
      <c r="N660" t="s">
        <v>34</v>
      </c>
      <c r="O660">
        <v>1</v>
      </c>
      <c r="P660" t="s">
        <v>3151</v>
      </c>
      <c r="Q660" t="s">
        <v>4519</v>
      </c>
      <c r="R660" t="s">
        <v>4726</v>
      </c>
      <c r="S660" t="s">
        <v>4717</v>
      </c>
      <c r="T660">
        <f t="shared" si="20"/>
        <v>3</v>
      </c>
      <c r="U660" s="21">
        <f t="shared" si="21"/>
        <v>45107</v>
      </c>
    </row>
    <row r="661" spans="1:21" x14ac:dyDescent="0.35">
      <c r="A661" t="s">
        <v>757</v>
      </c>
      <c r="B661" t="s">
        <v>758</v>
      </c>
      <c r="C661" t="s">
        <v>30</v>
      </c>
      <c r="D661" t="s">
        <v>212</v>
      </c>
      <c r="E661" s="1">
        <v>35.880000000000003</v>
      </c>
      <c r="F661" t="s">
        <v>206</v>
      </c>
      <c r="G661">
        <v>100</v>
      </c>
      <c r="H661" s="1">
        <v>35.880000000000003</v>
      </c>
      <c r="I661" s="21">
        <v>45103</v>
      </c>
      <c r="J661" s="21">
        <v>45107</v>
      </c>
      <c r="K661" s="21">
        <v>45107</v>
      </c>
      <c r="L661" t="s">
        <v>220</v>
      </c>
      <c r="M661" t="s">
        <v>40</v>
      </c>
      <c r="N661" t="s">
        <v>34</v>
      </c>
      <c r="O661">
        <v>1</v>
      </c>
      <c r="P661" t="s">
        <v>759</v>
      </c>
      <c r="Q661" t="s">
        <v>4519</v>
      </c>
      <c r="R661" t="s">
        <v>4726</v>
      </c>
      <c r="S661" t="s">
        <v>4717</v>
      </c>
      <c r="T661">
        <f t="shared" si="20"/>
        <v>4</v>
      </c>
      <c r="U661" s="21">
        <f t="shared" si="21"/>
        <v>45107</v>
      </c>
    </row>
    <row r="662" spans="1:21" x14ac:dyDescent="0.35">
      <c r="A662" t="s">
        <v>3143</v>
      </c>
      <c r="B662" t="s">
        <v>3144</v>
      </c>
      <c r="C662" t="s">
        <v>19</v>
      </c>
      <c r="D662" t="s">
        <v>205</v>
      </c>
      <c r="E662" s="1">
        <v>13.215999999999999</v>
      </c>
      <c r="F662" t="s">
        <v>206</v>
      </c>
      <c r="G662">
        <v>80</v>
      </c>
      <c r="H662" s="1">
        <v>10.572800000000001</v>
      </c>
      <c r="I662" s="21">
        <v>45102</v>
      </c>
      <c r="J662" s="21">
        <v>45108</v>
      </c>
      <c r="K662" s="21">
        <v>45108</v>
      </c>
      <c r="L662" t="s">
        <v>238</v>
      </c>
      <c r="M662" t="s">
        <v>82</v>
      </c>
      <c r="N662" t="s">
        <v>47</v>
      </c>
      <c r="O662">
        <v>1</v>
      </c>
      <c r="P662" t="s">
        <v>2192</v>
      </c>
      <c r="Q662" t="s">
        <v>4649</v>
      </c>
      <c r="R662" t="s">
        <v>4726</v>
      </c>
      <c r="S662" t="s">
        <v>4717</v>
      </c>
      <c r="T662">
        <f t="shared" si="20"/>
        <v>6</v>
      </c>
      <c r="U662" s="21">
        <f t="shared" si="21"/>
        <v>45108</v>
      </c>
    </row>
    <row r="663" spans="1:21" x14ac:dyDescent="0.35">
      <c r="A663" t="s">
        <v>3145</v>
      </c>
      <c r="B663" t="s">
        <v>3146</v>
      </c>
      <c r="C663" t="s">
        <v>30</v>
      </c>
      <c r="D663" t="s">
        <v>205</v>
      </c>
      <c r="E663" s="1">
        <v>13.28</v>
      </c>
      <c r="F663" t="s">
        <v>206</v>
      </c>
      <c r="G663">
        <v>80</v>
      </c>
      <c r="H663" s="1">
        <v>10.624000000000001</v>
      </c>
      <c r="I663" s="21">
        <v>45102</v>
      </c>
      <c r="J663" s="21">
        <v>45106</v>
      </c>
      <c r="K663" s="21">
        <v>45106</v>
      </c>
      <c r="L663" t="s">
        <v>234</v>
      </c>
      <c r="M663" t="s">
        <v>97</v>
      </c>
      <c r="N663" t="s">
        <v>68</v>
      </c>
      <c r="O663">
        <v>1</v>
      </c>
      <c r="P663" t="s">
        <v>102</v>
      </c>
      <c r="Q663" t="s">
        <v>4524</v>
      </c>
      <c r="R663" t="s">
        <v>4710</v>
      </c>
      <c r="S663" t="s">
        <v>4717</v>
      </c>
      <c r="T663">
        <f t="shared" si="20"/>
        <v>4</v>
      </c>
      <c r="U663" s="21">
        <f t="shared" si="21"/>
        <v>45106</v>
      </c>
    </row>
    <row r="664" spans="1:21" x14ac:dyDescent="0.35">
      <c r="A664" t="s">
        <v>4131</v>
      </c>
      <c r="B664" t="s">
        <v>4132</v>
      </c>
      <c r="C664" t="s">
        <v>19</v>
      </c>
      <c r="D664" t="s">
        <v>212</v>
      </c>
      <c r="E664" s="1">
        <v>184.75200000000001</v>
      </c>
      <c r="F664" t="s">
        <v>206</v>
      </c>
      <c r="G664">
        <v>100</v>
      </c>
      <c r="H664" s="1">
        <v>184.75200000000001</v>
      </c>
      <c r="I664" s="21">
        <v>45102</v>
      </c>
      <c r="J664" s="21">
        <v>45107</v>
      </c>
      <c r="K664" s="21">
        <v>45107</v>
      </c>
      <c r="L664" t="s">
        <v>207</v>
      </c>
      <c r="M664" t="s">
        <v>67</v>
      </c>
      <c r="N664" t="s">
        <v>68</v>
      </c>
      <c r="O664">
        <v>1</v>
      </c>
      <c r="P664" t="s">
        <v>4133</v>
      </c>
      <c r="Q664" t="s">
        <v>4567</v>
      </c>
      <c r="R664" t="s">
        <v>4714</v>
      </c>
      <c r="S664" t="s">
        <v>4718</v>
      </c>
      <c r="T664">
        <f t="shared" si="20"/>
        <v>5</v>
      </c>
      <c r="U664" s="21">
        <f t="shared" si="21"/>
        <v>45107</v>
      </c>
    </row>
    <row r="665" spans="1:21" x14ac:dyDescent="0.35">
      <c r="A665" t="s">
        <v>4129</v>
      </c>
      <c r="B665" t="s">
        <v>4130</v>
      </c>
      <c r="C665" t="s">
        <v>30</v>
      </c>
      <c r="D665" t="s">
        <v>212</v>
      </c>
      <c r="E665" s="1">
        <v>4.9119999999999999</v>
      </c>
      <c r="F665" t="s">
        <v>206</v>
      </c>
      <c r="G665">
        <v>100</v>
      </c>
      <c r="H665" s="1">
        <v>4.9119999999999999</v>
      </c>
      <c r="I665" s="21">
        <v>45101</v>
      </c>
      <c r="J665" s="21">
        <v>45105</v>
      </c>
      <c r="K665" s="21">
        <v>45105</v>
      </c>
      <c r="L665" t="s">
        <v>238</v>
      </c>
      <c r="M665" t="s">
        <v>72</v>
      </c>
      <c r="N665" t="s">
        <v>73</v>
      </c>
      <c r="O665">
        <v>1</v>
      </c>
      <c r="P665" t="s">
        <v>1837</v>
      </c>
      <c r="Q665" t="s">
        <v>4640</v>
      </c>
      <c r="R665" t="s">
        <v>4726</v>
      </c>
      <c r="S665" t="s">
        <v>4717</v>
      </c>
      <c r="T665">
        <f t="shared" si="20"/>
        <v>4</v>
      </c>
      <c r="U665" s="21">
        <f t="shared" si="21"/>
        <v>45105</v>
      </c>
    </row>
    <row r="666" spans="1:21" x14ac:dyDescent="0.35">
      <c r="A666" t="s">
        <v>3140</v>
      </c>
      <c r="B666" t="s">
        <v>3141</v>
      </c>
      <c r="C666" t="s">
        <v>19</v>
      </c>
      <c r="D666" t="s">
        <v>205</v>
      </c>
      <c r="E666" s="1">
        <v>532.70399999999995</v>
      </c>
      <c r="F666" t="s">
        <v>206</v>
      </c>
      <c r="G666">
        <v>80</v>
      </c>
      <c r="H666" s="1">
        <v>426.16319999999996</v>
      </c>
      <c r="I666" s="21">
        <v>45101</v>
      </c>
      <c r="J666" s="21">
        <v>45108</v>
      </c>
      <c r="K666" s="21">
        <v>45108</v>
      </c>
      <c r="L666" t="s">
        <v>238</v>
      </c>
      <c r="M666" t="s">
        <v>82</v>
      </c>
      <c r="N666" t="s">
        <v>47</v>
      </c>
      <c r="O666">
        <v>1</v>
      </c>
      <c r="P666" t="s">
        <v>3142</v>
      </c>
      <c r="Q666" t="s">
        <v>4729</v>
      </c>
      <c r="R666" t="s">
        <v>4721</v>
      </c>
      <c r="S666" t="s">
        <v>4717</v>
      </c>
      <c r="T666">
        <f t="shared" si="20"/>
        <v>7</v>
      </c>
      <c r="U666" s="21">
        <f t="shared" si="21"/>
        <v>45108</v>
      </c>
    </row>
    <row r="667" spans="1:21" x14ac:dyDescent="0.35">
      <c r="A667" t="s">
        <v>1980</v>
      </c>
      <c r="B667" t="s">
        <v>1981</v>
      </c>
      <c r="C667" t="s">
        <v>30</v>
      </c>
      <c r="D667" t="s">
        <v>212</v>
      </c>
      <c r="E667" s="1">
        <v>83.7</v>
      </c>
      <c r="F667" t="s">
        <v>206</v>
      </c>
      <c r="G667">
        <v>100</v>
      </c>
      <c r="H667" s="1">
        <v>83.7</v>
      </c>
      <c r="I667" s="21">
        <v>45099</v>
      </c>
      <c r="J667" s="21">
        <v>45103</v>
      </c>
      <c r="K667" s="21">
        <v>45103</v>
      </c>
      <c r="L667" t="s">
        <v>234</v>
      </c>
      <c r="M667" t="s">
        <v>82</v>
      </c>
      <c r="N667" t="s">
        <v>47</v>
      </c>
      <c r="O667">
        <v>1</v>
      </c>
      <c r="P667" t="s">
        <v>1982</v>
      </c>
      <c r="Q667" t="s">
        <v>4528</v>
      </c>
      <c r="R667" t="s">
        <v>4726</v>
      </c>
      <c r="S667" t="s">
        <v>4717</v>
      </c>
      <c r="T667">
        <f t="shared" si="20"/>
        <v>4</v>
      </c>
      <c r="U667" s="21">
        <f t="shared" si="21"/>
        <v>45103</v>
      </c>
    </row>
    <row r="668" spans="1:21" x14ac:dyDescent="0.35">
      <c r="A668" t="s">
        <v>754</v>
      </c>
      <c r="B668" t="s">
        <v>755</v>
      </c>
      <c r="C668" t="s">
        <v>19</v>
      </c>
      <c r="D668" t="s">
        <v>21</v>
      </c>
      <c r="E668" s="1">
        <v>409.76</v>
      </c>
      <c r="F668" t="s">
        <v>22</v>
      </c>
      <c r="G668">
        <v>0</v>
      </c>
      <c r="H668" s="1">
        <v>0</v>
      </c>
      <c r="I668" s="21">
        <v>45098</v>
      </c>
      <c r="J668" s="21">
        <v>45099</v>
      </c>
      <c r="K668" s="21">
        <v>45099</v>
      </c>
      <c r="L668" t="s">
        <v>53</v>
      </c>
      <c r="M668" t="s">
        <v>46</v>
      </c>
      <c r="N668" t="s">
        <v>47</v>
      </c>
      <c r="O668">
        <v>1</v>
      </c>
      <c r="P668" t="s">
        <v>756</v>
      </c>
      <c r="Q668" t="s">
        <v>4519</v>
      </c>
      <c r="R668" t="s">
        <v>4726</v>
      </c>
      <c r="S668" t="s">
        <v>4717</v>
      </c>
      <c r="T668">
        <f t="shared" si="20"/>
        <v>1</v>
      </c>
      <c r="U668" s="21">
        <f t="shared" si="21"/>
        <v>45099</v>
      </c>
    </row>
    <row r="669" spans="1:21" x14ac:dyDescent="0.35">
      <c r="A669" t="s">
        <v>4126</v>
      </c>
      <c r="B669" t="s">
        <v>4127</v>
      </c>
      <c r="C669" t="s">
        <v>19</v>
      </c>
      <c r="D669" t="s">
        <v>212</v>
      </c>
      <c r="E669" s="1">
        <v>271.98399999999998</v>
      </c>
      <c r="F669" t="s">
        <v>206</v>
      </c>
      <c r="G669">
        <v>100</v>
      </c>
      <c r="H669" s="1">
        <v>271.98399999999998</v>
      </c>
      <c r="I669" s="21">
        <v>45097</v>
      </c>
      <c r="J669" s="21">
        <v>45098</v>
      </c>
      <c r="K669" s="21">
        <v>45098</v>
      </c>
      <c r="L669" t="s">
        <v>234</v>
      </c>
      <c r="M669" t="s">
        <v>72</v>
      </c>
      <c r="N669" t="s">
        <v>73</v>
      </c>
      <c r="O669">
        <v>1</v>
      </c>
      <c r="P669" t="s">
        <v>4128</v>
      </c>
      <c r="Q669" t="s">
        <v>4560</v>
      </c>
      <c r="R669" t="s">
        <v>4726</v>
      </c>
      <c r="S669" t="s">
        <v>4717</v>
      </c>
      <c r="T669">
        <f t="shared" si="20"/>
        <v>1</v>
      </c>
      <c r="U669" s="21">
        <f t="shared" si="21"/>
        <v>45098</v>
      </c>
    </row>
    <row r="670" spans="1:21" x14ac:dyDescent="0.35">
      <c r="A670" t="s">
        <v>3138</v>
      </c>
      <c r="B670" t="s">
        <v>3139</v>
      </c>
      <c r="C670" t="s">
        <v>30</v>
      </c>
      <c r="D670" t="s">
        <v>212</v>
      </c>
      <c r="E670" s="1">
        <v>8.9280000000000008</v>
      </c>
      <c r="F670" t="s">
        <v>206</v>
      </c>
      <c r="G670">
        <v>100</v>
      </c>
      <c r="H670" s="1">
        <v>8.9280000000000008</v>
      </c>
      <c r="I670" s="21">
        <v>45096</v>
      </c>
      <c r="J670" s="21">
        <v>45099</v>
      </c>
      <c r="K670" s="21">
        <v>45099</v>
      </c>
      <c r="L670" t="s">
        <v>248</v>
      </c>
      <c r="M670" t="s">
        <v>82</v>
      </c>
      <c r="N670" t="s">
        <v>47</v>
      </c>
      <c r="O670">
        <v>1</v>
      </c>
      <c r="P670" t="s">
        <v>811</v>
      </c>
      <c r="Q670" t="s">
        <v>4517</v>
      </c>
      <c r="R670" t="s">
        <v>4726</v>
      </c>
      <c r="S670" t="s">
        <v>4717</v>
      </c>
      <c r="T670">
        <f t="shared" si="20"/>
        <v>3</v>
      </c>
      <c r="U670" s="21">
        <f t="shared" si="21"/>
        <v>45099</v>
      </c>
    </row>
    <row r="671" spans="1:21" x14ac:dyDescent="0.35">
      <c r="A671" t="s">
        <v>1975</v>
      </c>
      <c r="B671" t="s">
        <v>1976</v>
      </c>
      <c r="C671" t="s">
        <v>19</v>
      </c>
      <c r="D671" t="s">
        <v>21</v>
      </c>
      <c r="E671" s="1">
        <v>482.00599999999997</v>
      </c>
      <c r="F671" t="s">
        <v>22</v>
      </c>
      <c r="G671">
        <v>0</v>
      </c>
      <c r="H671" s="1">
        <v>0</v>
      </c>
      <c r="I671" s="21">
        <v>45095</v>
      </c>
      <c r="J671" s="21">
        <v>45097</v>
      </c>
      <c r="K671" s="21">
        <v>45097</v>
      </c>
      <c r="L671" t="s">
        <v>32</v>
      </c>
      <c r="M671" t="s">
        <v>97</v>
      </c>
      <c r="N671" t="s">
        <v>68</v>
      </c>
      <c r="O671">
        <v>1</v>
      </c>
      <c r="P671" t="s">
        <v>1315</v>
      </c>
      <c r="Q671" t="s">
        <v>4566</v>
      </c>
      <c r="R671" t="s">
        <v>4723</v>
      </c>
      <c r="S671" t="s">
        <v>4718</v>
      </c>
      <c r="T671">
        <f t="shared" si="20"/>
        <v>2</v>
      </c>
      <c r="U671" s="21">
        <f t="shared" si="21"/>
        <v>45097</v>
      </c>
    </row>
    <row r="672" spans="1:21" x14ac:dyDescent="0.35">
      <c r="A672" t="s">
        <v>751</v>
      </c>
      <c r="B672" t="s">
        <v>752</v>
      </c>
      <c r="C672" t="s">
        <v>19</v>
      </c>
      <c r="D672" t="s">
        <v>212</v>
      </c>
      <c r="E672" s="1">
        <v>14.82</v>
      </c>
      <c r="F672" t="s">
        <v>206</v>
      </c>
      <c r="G672">
        <v>100</v>
      </c>
      <c r="H672" s="1">
        <v>14.82</v>
      </c>
      <c r="I672" s="21">
        <v>45095</v>
      </c>
      <c r="J672" s="21">
        <v>45101</v>
      </c>
      <c r="K672" s="21">
        <v>45101</v>
      </c>
      <c r="L672" t="s">
        <v>207</v>
      </c>
      <c r="M672" t="s">
        <v>97</v>
      </c>
      <c r="N672" t="s">
        <v>68</v>
      </c>
      <c r="O672">
        <v>1</v>
      </c>
      <c r="P672" t="s">
        <v>753</v>
      </c>
      <c r="Q672" t="s">
        <v>4555</v>
      </c>
      <c r="R672" t="s">
        <v>4721</v>
      </c>
      <c r="S672" t="s">
        <v>4718</v>
      </c>
      <c r="T672">
        <f t="shared" si="20"/>
        <v>6</v>
      </c>
      <c r="U672" s="21">
        <f t="shared" si="21"/>
        <v>45101</v>
      </c>
    </row>
    <row r="673" spans="1:21" x14ac:dyDescent="0.35">
      <c r="A673" t="s">
        <v>3135</v>
      </c>
      <c r="B673" t="s">
        <v>3136</v>
      </c>
      <c r="C673" t="s">
        <v>19</v>
      </c>
      <c r="D673" t="s">
        <v>21</v>
      </c>
      <c r="E673" s="1">
        <v>655.08999999999992</v>
      </c>
      <c r="F673" t="s">
        <v>22</v>
      </c>
      <c r="G673">
        <v>0</v>
      </c>
      <c r="H673" s="1">
        <v>0</v>
      </c>
      <c r="I673" s="21">
        <v>45095</v>
      </c>
      <c r="J673" s="21">
        <v>45096</v>
      </c>
      <c r="K673" s="21">
        <v>45096</v>
      </c>
      <c r="L673" t="s">
        <v>39</v>
      </c>
      <c r="M673" t="s">
        <v>54</v>
      </c>
      <c r="N673" t="s">
        <v>26</v>
      </c>
      <c r="O673">
        <v>1</v>
      </c>
      <c r="P673" t="s">
        <v>3137</v>
      </c>
      <c r="Q673" t="s">
        <v>4729</v>
      </c>
      <c r="R673" t="s">
        <v>4709</v>
      </c>
      <c r="S673" t="s">
        <v>4717</v>
      </c>
      <c r="T673">
        <f t="shared" si="20"/>
        <v>1</v>
      </c>
      <c r="U673" s="21">
        <f t="shared" si="21"/>
        <v>45096</v>
      </c>
    </row>
    <row r="674" spans="1:21" x14ac:dyDescent="0.35">
      <c r="A674" t="s">
        <v>1977</v>
      </c>
      <c r="B674" t="s">
        <v>1978</v>
      </c>
      <c r="C674" t="s">
        <v>19</v>
      </c>
      <c r="D674" t="s">
        <v>212</v>
      </c>
      <c r="E674" s="1">
        <v>191.82</v>
      </c>
      <c r="F674" t="s">
        <v>206</v>
      </c>
      <c r="G674">
        <v>100</v>
      </c>
      <c r="H674" s="1">
        <v>191.82</v>
      </c>
      <c r="I674" s="21">
        <v>45095</v>
      </c>
      <c r="J674" s="21">
        <v>45098</v>
      </c>
      <c r="K674" s="21">
        <v>45098</v>
      </c>
      <c r="L674" t="s">
        <v>234</v>
      </c>
      <c r="M674" t="s">
        <v>72</v>
      </c>
      <c r="N674" t="s">
        <v>73</v>
      </c>
      <c r="O674">
        <v>1</v>
      </c>
      <c r="P674" t="s">
        <v>1979</v>
      </c>
      <c r="Q674" t="s">
        <v>4553</v>
      </c>
      <c r="R674" t="s">
        <v>4722</v>
      </c>
      <c r="S674" t="s">
        <v>4718</v>
      </c>
      <c r="T674">
        <f t="shared" si="20"/>
        <v>3</v>
      </c>
      <c r="U674" s="21">
        <f t="shared" si="21"/>
        <v>45098</v>
      </c>
    </row>
    <row r="675" spans="1:21" x14ac:dyDescent="0.35">
      <c r="A675" t="s">
        <v>748</v>
      </c>
      <c r="B675" t="s">
        <v>749</v>
      </c>
      <c r="C675" t="s">
        <v>30</v>
      </c>
      <c r="D675" t="s">
        <v>205</v>
      </c>
      <c r="E675" s="1">
        <v>5.04</v>
      </c>
      <c r="F675" t="s">
        <v>206</v>
      </c>
      <c r="G675">
        <v>80</v>
      </c>
      <c r="H675" s="1">
        <v>4.032</v>
      </c>
      <c r="I675" s="21">
        <v>45095</v>
      </c>
      <c r="J675" s="21">
        <v>45100</v>
      </c>
      <c r="K675" s="21">
        <v>45100</v>
      </c>
      <c r="L675" t="s">
        <v>213</v>
      </c>
      <c r="M675" t="s">
        <v>146</v>
      </c>
      <c r="N675" t="s">
        <v>73</v>
      </c>
      <c r="O675">
        <v>1</v>
      </c>
      <c r="P675" t="s">
        <v>750</v>
      </c>
      <c r="Q675" t="s">
        <v>4729</v>
      </c>
      <c r="R675" t="s">
        <v>4721</v>
      </c>
      <c r="S675" t="s">
        <v>4717</v>
      </c>
      <c r="T675">
        <f t="shared" si="20"/>
        <v>5</v>
      </c>
      <c r="U675" s="21">
        <f t="shared" si="21"/>
        <v>45100</v>
      </c>
    </row>
    <row r="676" spans="1:21" x14ac:dyDescent="0.35">
      <c r="A676" t="s">
        <v>4124</v>
      </c>
      <c r="B676" t="s">
        <v>4125</v>
      </c>
      <c r="C676" t="s">
        <v>19</v>
      </c>
      <c r="D676" t="s">
        <v>21</v>
      </c>
      <c r="E676" s="1">
        <v>749.48800000000006</v>
      </c>
      <c r="F676" t="s">
        <v>22</v>
      </c>
      <c r="G676">
        <v>0</v>
      </c>
      <c r="H676" s="1">
        <v>0</v>
      </c>
      <c r="I676" s="21">
        <v>45095</v>
      </c>
      <c r="J676" s="21">
        <v>45097</v>
      </c>
      <c r="K676" s="21">
        <v>45097</v>
      </c>
      <c r="L676" t="s">
        <v>32</v>
      </c>
      <c r="M676" t="s">
        <v>146</v>
      </c>
      <c r="N676" t="s">
        <v>73</v>
      </c>
      <c r="O676">
        <v>1</v>
      </c>
      <c r="P676" t="s">
        <v>3142</v>
      </c>
      <c r="Q676" t="s">
        <v>4729</v>
      </c>
      <c r="R676" t="s">
        <v>4721</v>
      </c>
      <c r="S676" t="s">
        <v>4717</v>
      </c>
      <c r="T676">
        <f t="shared" si="20"/>
        <v>2</v>
      </c>
      <c r="U676" s="21">
        <f t="shared" si="21"/>
        <v>45097</v>
      </c>
    </row>
    <row r="677" spans="1:21" x14ac:dyDescent="0.35">
      <c r="A677" t="s">
        <v>4122</v>
      </c>
      <c r="B677" t="s">
        <v>4123</v>
      </c>
      <c r="C677" t="s">
        <v>19</v>
      </c>
      <c r="D677" t="s">
        <v>205</v>
      </c>
      <c r="E677" s="1">
        <v>232.4</v>
      </c>
      <c r="F677" t="s">
        <v>206</v>
      </c>
      <c r="G677">
        <v>80</v>
      </c>
      <c r="H677" s="1">
        <v>185.92000000000002</v>
      </c>
      <c r="I677" s="21">
        <v>45094</v>
      </c>
      <c r="J677" s="21">
        <v>45097</v>
      </c>
      <c r="K677" s="21">
        <v>45097</v>
      </c>
      <c r="L677" t="s">
        <v>234</v>
      </c>
      <c r="M677" t="s">
        <v>25</v>
      </c>
      <c r="N677" t="s">
        <v>26</v>
      </c>
      <c r="O677">
        <v>1</v>
      </c>
      <c r="P677" t="s">
        <v>2164</v>
      </c>
      <c r="Q677" t="s">
        <v>4517</v>
      </c>
      <c r="R677" t="s">
        <v>4726</v>
      </c>
      <c r="S677" t="s">
        <v>4717</v>
      </c>
      <c r="T677">
        <f t="shared" si="20"/>
        <v>3</v>
      </c>
      <c r="U677" s="21">
        <f t="shared" si="21"/>
        <v>45097</v>
      </c>
    </row>
    <row r="678" spans="1:21" x14ac:dyDescent="0.35">
      <c r="A678" t="s">
        <v>4117</v>
      </c>
      <c r="B678" t="s">
        <v>4118</v>
      </c>
      <c r="C678" t="s">
        <v>30</v>
      </c>
      <c r="D678" t="s">
        <v>212</v>
      </c>
      <c r="E678" s="1">
        <v>20.416</v>
      </c>
      <c r="F678" t="s">
        <v>206</v>
      </c>
      <c r="G678">
        <v>100</v>
      </c>
      <c r="H678" s="1">
        <v>20.416</v>
      </c>
      <c r="I678" s="21">
        <v>45094</v>
      </c>
      <c r="J678" s="21">
        <v>45100</v>
      </c>
      <c r="K678" s="21">
        <v>45100</v>
      </c>
      <c r="L678" t="s">
        <v>207</v>
      </c>
      <c r="M678" t="s">
        <v>25</v>
      </c>
      <c r="N678" t="s">
        <v>26</v>
      </c>
      <c r="O678">
        <v>1</v>
      </c>
      <c r="P678" t="s">
        <v>4119</v>
      </c>
      <c r="Q678" t="s">
        <v>4517</v>
      </c>
      <c r="R678" t="s">
        <v>4726</v>
      </c>
      <c r="S678" t="s">
        <v>4717</v>
      </c>
      <c r="T678">
        <f t="shared" si="20"/>
        <v>6</v>
      </c>
      <c r="U678" s="21">
        <f t="shared" si="21"/>
        <v>45100</v>
      </c>
    </row>
    <row r="679" spans="1:21" x14ac:dyDescent="0.35">
      <c r="A679" t="s">
        <v>4120</v>
      </c>
      <c r="B679" t="s">
        <v>4121</v>
      </c>
      <c r="C679" t="s">
        <v>19</v>
      </c>
      <c r="D679" t="s">
        <v>205</v>
      </c>
      <c r="E679" s="1">
        <v>17.48</v>
      </c>
      <c r="F679" t="s">
        <v>206</v>
      </c>
      <c r="G679">
        <v>80</v>
      </c>
      <c r="H679" s="1">
        <v>13.984000000000002</v>
      </c>
      <c r="I679" s="21">
        <v>45094</v>
      </c>
      <c r="J679" s="21">
        <v>45096</v>
      </c>
      <c r="K679" s="21">
        <v>45096</v>
      </c>
      <c r="L679" t="s">
        <v>234</v>
      </c>
      <c r="M679" t="s">
        <v>146</v>
      </c>
      <c r="N679" t="s">
        <v>73</v>
      </c>
      <c r="O679">
        <v>1</v>
      </c>
      <c r="P679" t="s">
        <v>2729</v>
      </c>
      <c r="Q679" t="s">
        <v>4590</v>
      </c>
      <c r="R679" t="s">
        <v>4721</v>
      </c>
      <c r="S679" t="s">
        <v>4717</v>
      </c>
      <c r="T679">
        <f t="shared" si="20"/>
        <v>2</v>
      </c>
      <c r="U679" s="21">
        <f t="shared" si="21"/>
        <v>45096</v>
      </c>
    </row>
    <row r="680" spans="1:21" x14ac:dyDescent="0.35">
      <c r="A680" t="s">
        <v>745</v>
      </c>
      <c r="B680" t="s">
        <v>746</v>
      </c>
      <c r="C680" t="s">
        <v>30</v>
      </c>
      <c r="D680" t="s">
        <v>205</v>
      </c>
      <c r="E680" s="1">
        <v>48.664000000000001</v>
      </c>
      <c r="F680" t="s">
        <v>206</v>
      </c>
      <c r="G680">
        <v>80</v>
      </c>
      <c r="H680" s="1">
        <v>38.931200000000004</v>
      </c>
      <c r="I680" s="21">
        <v>45093</v>
      </c>
      <c r="J680" s="21">
        <v>45096</v>
      </c>
      <c r="K680" s="21">
        <v>45096</v>
      </c>
      <c r="L680" t="s">
        <v>220</v>
      </c>
      <c r="M680" t="s">
        <v>82</v>
      </c>
      <c r="N680" t="s">
        <v>47</v>
      </c>
      <c r="O680">
        <v>1</v>
      </c>
      <c r="P680" t="s">
        <v>747</v>
      </c>
      <c r="Q680" t="s">
        <v>4596</v>
      </c>
      <c r="R680" t="s">
        <v>4726</v>
      </c>
      <c r="S680" t="s">
        <v>4717</v>
      </c>
      <c r="T680">
        <f t="shared" si="20"/>
        <v>3</v>
      </c>
      <c r="U680" s="21">
        <f t="shared" si="21"/>
        <v>45096</v>
      </c>
    </row>
    <row r="681" spans="1:21" x14ac:dyDescent="0.35">
      <c r="A681" t="s">
        <v>739</v>
      </c>
      <c r="B681" t="s">
        <v>740</v>
      </c>
      <c r="C681" t="s">
        <v>19</v>
      </c>
      <c r="D681" t="s">
        <v>205</v>
      </c>
      <c r="E681" s="1">
        <v>1336.4399999999901</v>
      </c>
      <c r="F681" t="s">
        <v>206</v>
      </c>
      <c r="G681">
        <v>80</v>
      </c>
      <c r="H681" s="1">
        <v>1069.1519999999921</v>
      </c>
      <c r="I681" s="21">
        <v>45092</v>
      </c>
      <c r="J681" s="21">
        <v>45099</v>
      </c>
      <c r="K681" s="21">
        <v>45099</v>
      </c>
      <c r="L681" t="s">
        <v>234</v>
      </c>
      <c r="M681" t="s">
        <v>46</v>
      </c>
      <c r="N681" t="s">
        <v>47</v>
      </c>
      <c r="O681">
        <v>1</v>
      </c>
      <c r="P681" t="s">
        <v>741</v>
      </c>
      <c r="Q681" t="s">
        <v>4582</v>
      </c>
      <c r="R681" t="s">
        <v>4725</v>
      </c>
      <c r="S681" t="s">
        <v>4718</v>
      </c>
      <c r="T681">
        <f t="shared" si="20"/>
        <v>7</v>
      </c>
      <c r="U681" s="21">
        <f t="shared" si="21"/>
        <v>45099</v>
      </c>
    </row>
    <row r="682" spans="1:21" x14ac:dyDescent="0.35">
      <c r="A682" t="s">
        <v>1973</v>
      </c>
      <c r="B682" t="s">
        <v>1974</v>
      </c>
      <c r="C682" t="s">
        <v>30</v>
      </c>
      <c r="D682" t="s">
        <v>205</v>
      </c>
      <c r="E682" s="1">
        <v>373.08</v>
      </c>
      <c r="F682" t="s">
        <v>206</v>
      </c>
      <c r="G682">
        <v>80</v>
      </c>
      <c r="H682" s="1">
        <v>298.464</v>
      </c>
      <c r="I682" s="21">
        <v>45092</v>
      </c>
      <c r="J682" s="21">
        <v>45096</v>
      </c>
      <c r="K682" s="21">
        <v>45096</v>
      </c>
      <c r="L682" t="s">
        <v>234</v>
      </c>
      <c r="M682" t="s">
        <v>146</v>
      </c>
      <c r="N682" t="s">
        <v>73</v>
      </c>
      <c r="O682">
        <v>1</v>
      </c>
      <c r="P682" t="s">
        <v>1213</v>
      </c>
      <c r="Q682" t="s">
        <v>4560</v>
      </c>
      <c r="R682" t="s">
        <v>4709</v>
      </c>
      <c r="S682" t="s">
        <v>4717</v>
      </c>
      <c r="T682">
        <f t="shared" si="20"/>
        <v>4</v>
      </c>
      <c r="U682" s="21">
        <f t="shared" si="21"/>
        <v>45096</v>
      </c>
    </row>
    <row r="683" spans="1:21" x14ac:dyDescent="0.35">
      <c r="A683" t="s">
        <v>4115</v>
      </c>
      <c r="B683" t="s">
        <v>4116</v>
      </c>
      <c r="C683" t="s">
        <v>19</v>
      </c>
      <c r="D683" t="s">
        <v>21</v>
      </c>
      <c r="E683" s="1">
        <v>58.4</v>
      </c>
      <c r="F683" t="s">
        <v>22</v>
      </c>
      <c r="G683">
        <v>0</v>
      </c>
      <c r="H683" s="1">
        <v>0</v>
      </c>
      <c r="I683" s="21">
        <v>45092</v>
      </c>
      <c r="J683" s="21">
        <v>45095</v>
      </c>
      <c r="K683" s="21">
        <v>45095</v>
      </c>
      <c r="L683" t="s">
        <v>45</v>
      </c>
      <c r="M683" t="s">
        <v>97</v>
      </c>
      <c r="N683" t="s">
        <v>68</v>
      </c>
      <c r="O683">
        <v>1</v>
      </c>
      <c r="P683" t="s">
        <v>1050</v>
      </c>
      <c r="Q683" t="s">
        <v>4528</v>
      </c>
      <c r="R683" t="s">
        <v>4726</v>
      </c>
      <c r="S683" t="s">
        <v>4717</v>
      </c>
      <c r="T683">
        <f t="shared" si="20"/>
        <v>3</v>
      </c>
      <c r="U683" s="21">
        <f t="shared" si="21"/>
        <v>45095</v>
      </c>
    </row>
    <row r="684" spans="1:21" x14ac:dyDescent="0.35">
      <c r="A684" t="s">
        <v>742</v>
      </c>
      <c r="B684" t="s">
        <v>743</v>
      </c>
      <c r="C684" t="s">
        <v>30</v>
      </c>
      <c r="D684" t="s">
        <v>212</v>
      </c>
      <c r="E684" s="1">
        <v>29.97</v>
      </c>
      <c r="F684" t="s">
        <v>206</v>
      </c>
      <c r="G684">
        <v>100</v>
      </c>
      <c r="H684" s="1">
        <v>29.97</v>
      </c>
      <c r="I684" s="21">
        <v>45092</v>
      </c>
      <c r="J684" s="21">
        <v>45092</v>
      </c>
      <c r="K684" s="21">
        <v>45092</v>
      </c>
      <c r="L684" t="s">
        <v>248</v>
      </c>
      <c r="M684" t="s">
        <v>82</v>
      </c>
      <c r="N684" t="s">
        <v>47</v>
      </c>
      <c r="O684">
        <v>1</v>
      </c>
      <c r="P684" t="s">
        <v>744</v>
      </c>
      <c r="Q684" t="s">
        <v>4595</v>
      </c>
      <c r="R684" t="s">
        <v>4713</v>
      </c>
      <c r="S684" t="s">
        <v>4719</v>
      </c>
      <c r="T684">
        <f t="shared" si="20"/>
        <v>0</v>
      </c>
      <c r="U684" s="21">
        <f t="shared" si="21"/>
        <v>45092</v>
      </c>
    </row>
    <row r="685" spans="1:21" x14ac:dyDescent="0.35">
      <c r="A685" t="s">
        <v>736</v>
      </c>
      <c r="B685" t="s">
        <v>737</v>
      </c>
      <c r="C685" t="s">
        <v>19</v>
      </c>
      <c r="D685" t="s">
        <v>21</v>
      </c>
      <c r="E685" s="1">
        <v>53.7</v>
      </c>
      <c r="F685" t="s">
        <v>22</v>
      </c>
      <c r="G685">
        <v>0</v>
      </c>
      <c r="H685" s="1">
        <v>0</v>
      </c>
      <c r="I685" s="21">
        <v>45092</v>
      </c>
      <c r="J685" s="21">
        <v>45095</v>
      </c>
      <c r="K685" s="21">
        <v>45095</v>
      </c>
      <c r="L685" t="s">
        <v>53</v>
      </c>
      <c r="M685" t="s">
        <v>46</v>
      </c>
      <c r="N685" t="s">
        <v>47</v>
      </c>
      <c r="O685">
        <v>1</v>
      </c>
      <c r="P685" t="s">
        <v>738</v>
      </c>
      <c r="Q685" t="s">
        <v>4520</v>
      </c>
      <c r="R685" t="s">
        <v>4726</v>
      </c>
      <c r="S685" t="s">
        <v>4717</v>
      </c>
      <c r="T685">
        <f t="shared" si="20"/>
        <v>3</v>
      </c>
      <c r="U685" s="21">
        <f t="shared" si="21"/>
        <v>45095</v>
      </c>
    </row>
    <row r="686" spans="1:21" x14ac:dyDescent="0.35">
      <c r="A686" t="s">
        <v>4113</v>
      </c>
      <c r="B686" t="s">
        <v>4114</v>
      </c>
      <c r="C686" t="s">
        <v>19</v>
      </c>
      <c r="D686" t="s">
        <v>212</v>
      </c>
      <c r="E686" s="1">
        <v>68.52</v>
      </c>
      <c r="F686" t="s">
        <v>206</v>
      </c>
      <c r="G686">
        <v>100</v>
      </c>
      <c r="H686" s="1">
        <v>68.52</v>
      </c>
      <c r="I686" s="21">
        <v>45092</v>
      </c>
      <c r="J686" s="21">
        <v>45092</v>
      </c>
      <c r="K686" s="21">
        <v>45092</v>
      </c>
      <c r="L686" t="s">
        <v>207</v>
      </c>
      <c r="M686" t="s">
        <v>97</v>
      </c>
      <c r="N686" t="s">
        <v>68</v>
      </c>
      <c r="O686">
        <v>1</v>
      </c>
      <c r="P686" t="s">
        <v>2703</v>
      </c>
      <c r="Q686" t="s">
        <v>4519</v>
      </c>
      <c r="R686" t="s">
        <v>4726</v>
      </c>
      <c r="S686" t="s">
        <v>4717</v>
      </c>
      <c r="T686">
        <f t="shared" si="20"/>
        <v>0</v>
      </c>
      <c r="U686" s="21">
        <f t="shared" si="21"/>
        <v>45092</v>
      </c>
    </row>
    <row r="687" spans="1:21" x14ac:dyDescent="0.35">
      <c r="A687" t="s">
        <v>4110</v>
      </c>
      <c r="B687" t="s">
        <v>4111</v>
      </c>
      <c r="C687" t="s">
        <v>19</v>
      </c>
      <c r="D687" t="s">
        <v>212</v>
      </c>
      <c r="E687" s="1">
        <v>67.900000000000006</v>
      </c>
      <c r="F687" t="s">
        <v>206</v>
      </c>
      <c r="G687">
        <v>100</v>
      </c>
      <c r="H687" s="1">
        <v>67.900000000000006</v>
      </c>
      <c r="I687" s="21">
        <v>45091</v>
      </c>
      <c r="J687" s="21">
        <v>45095</v>
      </c>
      <c r="K687" s="21">
        <v>45095</v>
      </c>
      <c r="L687" t="s">
        <v>207</v>
      </c>
      <c r="M687" t="s">
        <v>67</v>
      </c>
      <c r="N687" t="s">
        <v>68</v>
      </c>
      <c r="O687">
        <v>1</v>
      </c>
      <c r="P687" t="s">
        <v>4112</v>
      </c>
      <c r="Q687" t="s">
        <v>4544</v>
      </c>
      <c r="R687" t="s">
        <v>4709</v>
      </c>
      <c r="S687" t="s">
        <v>4717</v>
      </c>
      <c r="T687">
        <f t="shared" si="20"/>
        <v>4</v>
      </c>
      <c r="U687" s="21">
        <f t="shared" si="21"/>
        <v>45095</v>
      </c>
    </row>
    <row r="688" spans="1:21" x14ac:dyDescent="0.35">
      <c r="A688" t="s">
        <v>4107</v>
      </c>
      <c r="B688" t="s">
        <v>4108</v>
      </c>
      <c r="C688" t="s">
        <v>30</v>
      </c>
      <c r="D688" t="s">
        <v>212</v>
      </c>
      <c r="E688" s="1">
        <v>7.61</v>
      </c>
      <c r="F688" t="s">
        <v>206</v>
      </c>
      <c r="G688">
        <v>100</v>
      </c>
      <c r="H688" s="1">
        <v>7.61</v>
      </c>
      <c r="I688" s="21">
        <v>45091</v>
      </c>
      <c r="J688" s="21">
        <v>45094</v>
      </c>
      <c r="K688" s="21">
        <v>45094</v>
      </c>
      <c r="L688" t="s">
        <v>234</v>
      </c>
      <c r="M688" t="s">
        <v>67</v>
      </c>
      <c r="N688" t="s">
        <v>68</v>
      </c>
      <c r="O688">
        <v>1</v>
      </c>
      <c r="P688" t="s">
        <v>4109</v>
      </c>
      <c r="Q688" t="s">
        <v>4729</v>
      </c>
      <c r="R688" t="s">
        <v>4726</v>
      </c>
      <c r="S688" t="s">
        <v>4717</v>
      </c>
      <c r="T688">
        <f t="shared" si="20"/>
        <v>3</v>
      </c>
      <c r="U688" s="21">
        <f t="shared" si="21"/>
        <v>45094</v>
      </c>
    </row>
    <row r="689" spans="1:21" x14ac:dyDescent="0.35">
      <c r="A689" t="s">
        <v>3133</v>
      </c>
      <c r="B689" t="s">
        <v>3134</v>
      </c>
      <c r="C689" t="s">
        <v>30</v>
      </c>
      <c r="D689" t="s">
        <v>212</v>
      </c>
      <c r="E689" s="1">
        <v>25.92</v>
      </c>
      <c r="F689" t="s">
        <v>206</v>
      </c>
      <c r="G689">
        <v>100</v>
      </c>
      <c r="H689" s="1">
        <v>25.92</v>
      </c>
      <c r="I689" s="21">
        <v>45091</v>
      </c>
      <c r="J689" s="21">
        <v>45093</v>
      </c>
      <c r="K689" s="21">
        <v>45093</v>
      </c>
      <c r="L689" t="s">
        <v>220</v>
      </c>
      <c r="M689" t="s">
        <v>46</v>
      </c>
      <c r="N689" t="s">
        <v>47</v>
      </c>
      <c r="O689">
        <v>1</v>
      </c>
      <c r="P689" t="s">
        <v>3027</v>
      </c>
      <c r="Q689" t="s">
        <v>4519</v>
      </c>
      <c r="R689" t="s">
        <v>4726</v>
      </c>
      <c r="S689" t="s">
        <v>4717</v>
      </c>
      <c r="T689">
        <f t="shared" si="20"/>
        <v>2</v>
      </c>
      <c r="U689" s="21">
        <f t="shared" si="21"/>
        <v>45093</v>
      </c>
    </row>
    <row r="690" spans="1:21" x14ac:dyDescent="0.35">
      <c r="A690" t="s">
        <v>4102</v>
      </c>
      <c r="B690" t="s">
        <v>4103</v>
      </c>
      <c r="C690" t="s">
        <v>19</v>
      </c>
      <c r="D690" t="s">
        <v>21</v>
      </c>
      <c r="E690" s="1">
        <v>224.9</v>
      </c>
      <c r="F690" t="s">
        <v>22</v>
      </c>
      <c r="G690">
        <v>0</v>
      </c>
      <c r="H690" s="1">
        <v>0</v>
      </c>
      <c r="I690" s="21">
        <v>45090</v>
      </c>
      <c r="J690" s="21">
        <v>45093</v>
      </c>
      <c r="K690" s="21">
        <v>45093</v>
      </c>
      <c r="L690" t="s">
        <v>24</v>
      </c>
      <c r="M690" t="s">
        <v>146</v>
      </c>
      <c r="N690" t="s">
        <v>73</v>
      </c>
      <c r="O690">
        <v>1</v>
      </c>
      <c r="P690" t="s">
        <v>3496</v>
      </c>
      <c r="Q690" t="s">
        <v>4729</v>
      </c>
      <c r="R690" t="s">
        <v>4715</v>
      </c>
      <c r="S690" t="s">
        <v>4719</v>
      </c>
      <c r="T690">
        <f t="shared" si="20"/>
        <v>3</v>
      </c>
      <c r="U690" s="21">
        <f t="shared" si="21"/>
        <v>45093</v>
      </c>
    </row>
    <row r="691" spans="1:21" x14ac:dyDescent="0.35">
      <c r="A691" t="s">
        <v>733</v>
      </c>
      <c r="B691" t="s">
        <v>734</v>
      </c>
      <c r="C691" t="s">
        <v>19</v>
      </c>
      <c r="D691" t="s">
        <v>21</v>
      </c>
      <c r="E691" s="1">
        <v>487.5</v>
      </c>
      <c r="F691" t="s">
        <v>22</v>
      </c>
      <c r="G691">
        <v>0</v>
      </c>
      <c r="H691" s="1">
        <v>0</v>
      </c>
      <c r="I691" s="21">
        <v>45090</v>
      </c>
      <c r="J691" s="21">
        <v>45093</v>
      </c>
      <c r="K691" s="21">
        <v>45093</v>
      </c>
      <c r="L691" t="s">
        <v>32</v>
      </c>
      <c r="M691" t="s">
        <v>25</v>
      </c>
      <c r="N691" t="s">
        <v>26</v>
      </c>
      <c r="O691">
        <v>1</v>
      </c>
      <c r="P691" t="s">
        <v>735</v>
      </c>
      <c r="Q691" t="s">
        <v>4594</v>
      </c>
      <c r="R691" t="s">
        <v>4710</v>
      </c>
      <c r="S691" t="s">
        <v>4717</v>
      </c>
      <c r="T691">
        <f t="shared" si="20"/>
        <v>3</v>
      </c>
      <c r="U691" s="21">
        <f t="shared" si="21"/>
        <v>45093</v>
      </c>
    </row>
    <row r="692" spans="1:21" x14ac:dyDescent="0.35">
      <c r="A692" t="s">
        <v>3130</v>
      </c>
      <c r="B692" t="s">
        <v>3131</v>
      </c>
      <c r="C692" t="s">
        <v>19</v>
      </c>
      <c r="D692" t="s">
        <v>212</v>
      </c>
      <c r="E692" s="1">
        <v>40.479999999999997</v>
      </c>
      <c r="F692" t="s">
        <v>206</v>
      </c>
      <c r="G692">
        <v>100</v>
      </c>
      <c r="H692" s="1">
        <v>40.479999999999997</v>
      </c>
      <c r="I692" s="21">
        <v>45090</v>
      </c>
      <c r="J692" s="21">
        <v>45095</v>
      </c>
      <c r="K692" s="21">
        <v>45095</v>
      </c>
      <c r="L692" t="s">
        <v>234</v>
      </c>
      <c r="M692" t="s">
        <v>46</v>
      </c>
      <c r="N692" t="s">
        <v>47</v>
      </c>
      <c r="O692">
        <v>1</v>
      </c>
      <c r="P692" t="s">
        <v>3132</v>
      </c>
      <c r="Q692" t="s">
        <v>4603</v>
      </c>
      <c r="R692" t="s">
        <v>4721</v>
      </c>
      <c r="S692" t="s">
        <v>4717</v>
      </c>
      <c r="T692">
        <f t="shared" si="20"/>
        <v>5</v>
      </c>
      <c r="U692" s="21">
        <f t="shared" si="21"/>
        <v>45095</v>
      </c>
    </row>
    <row r="693" spans="1:21" x14ac:dyDescent="0.35">
      <c r="A693" t="s">
        <v>4104</v>
      </c>
      <c r="B693" t="s">
        <v>4105</v>
      </c>
      <c r="C693" t="s">
        <v>30</v>
      </c>
      <c r="D693" t="s">
        <v>205</v>
      </c>
      <c r="E693" s="1">
        <v>1.9079999999999999</v>
      </c>
      <c r="F693" t="s">
        <v>206</v>
      </c>
      <c r="G693">
        <v>80</v>
      </c>
      <c r="H693" s="1">
        <v>1.5264</v>
      </c>
      <c r="I693" s="21">
        <v>45090</v>
      </c>
      <c r="J693" s="21">
        <v>45094</v>
      </c>
      <c r="K693" s="21">
        <v>45094</v>
      </c>
      <c r="L693" t="s">
        <v>248</v>
      </c>
      <c r="M693" t="s">
        <v>146</v>
      </c>
      <c r="N693" t="s">
        <v>73</v>
      </c>
      <c r="O693">
        <v>1</v>
      </c>
      <c r="P693" t="s">
        <v>4106</v>
      </c>
      <c r="Q693" t="s">
        <v>4695</v>
      </c>
      <c r="R693" t="s">
        <v>4726</v>
      </c>
      <c r="S693" t="s">
        <v>4717</v>
      </c>
      <c r="T693">
        <f t="shared" si="20"/>
        <v>4</v>
      </c>
      <c r="U693" s="21">
        <f t="shared" si="21"/>
        <v>45094</v>
      </c>
    </row>
    <row r="694" spans="1:21" x14ac:dyDescent="0.35">
      <c r="A694" t="s">
        <v>730</v>
      </c>
      <c r="B694" t="s">
        <v>731</v>
      </c>
      <c r="C694" t="s">
        <v>30</v>
      </c>
      <c r="D694" t="s">
        <v>212</v>
      </c>
      <c r="E694" s="1">
        <v>39.624000000000002</v>
      </c>
      <c r="F694" t="s">
        <v>206</v>
      </c>
      <c r="G694">
        <v>100</v>
      </c>
      <c r="H694" s="1">
        <v>39.624000000000002</v>
      </c>
      <c r="I694" s="21">
        <v>45089</v>
      </c>
      <c r="J694" s="21">
        <v>45091</v>
      </c>
      <c r="K694" s="21">
        <v>45091</v>
      </c>
      <c r="L694" t="s">
        <v>220</v>
      </c>
      <c r="M694" t="s">
        <v>72</v>
      </c>
      <c r="N694" t="s">
        <v>73</v>
      </c>
      <c r="O694">
        <v>1</v>
      </c>
      <c r="P694" t="s">
        <v>732</v>
      </c>
      <c r="Q694" t="s">
        <v>4593</v>
      </c>
      <c r="R694" t="s">
        <v>4726</v>
      </c>
      <c r="S694" t="s">
        <v>4717</v>
      </c>
      <c r="T694">
        <f t="shared" si="20"/>
        <v>2</v>
      </c>
      <c r="U694" s="21">
        <f t="shared" si="21"/>
        <v>45091</v>
      </c>
    </row>
    <row r="695" spans="1:21" x14ac:dyDescent="0.35">
      <c r="A695" t="s">
        <v>4100</v>
      </c>
      <c r="B695" t="s">
        <v>4101</v>
      </c>
      <c r="C695" t="s">
        <v>30</v>
      </c>
      <c r="D695" t="s">
        <v>212</v>
      </c>
      <c r="E695" s="1">
        <v>35.167999999999999</v>
      </c>
      <c r="F695" t="s">
        <v>206</v>
      </c>
      <c r="G695">
        <v>100</v>
      </c>
      <c r="H695" s="1">
        <v>35.167999999999999</v>
      </c>
      <c r="I695" s="21">
        <v>45089</v>
      </c>
      <c r="J695" s="21">
        <v>45094</v>
      </c>
      <c r="K695" s="21">
        <v>45094</v>
      </c>
      <c r="L695" t="s">
        <v>207</v>
      </c>
      <c r="M695" t="s">
        <v>25</v>
      </c>
      <c r="N695" t="s">
        <v>26</v>
      </c>
      <c r="O695">
        <v>1</v>
      </c>
      <c r="P695" t="s">
        <v>3626</v>
      </c>
      <c r="Q695" t="s">
        <v>4540</v>
      </c>
      <c r="R695" t="s">
        <v>4713</v>
      </c>
      <c r="S695" t="s">
        <v>4719</v>
      </c>
      <c r="T695">
        <f t="shared" si="20"/>
        <v>5</v>
      </c>
      <c r="U695" s="21">
        <f t="shared" si="21"/>
        <v>45094</v>
      </c>
    </row>
    <row r="696" spans="1:21" x14ac:dyDescent="0.35">
      <c r="A696" t="s">
        <v>727</v>
      </c>
      <c r="B696" t="s">
        <v>728</v>
      </c>
      <c r="C696" t="s">
        <v>19</v>
      </c>
      <c r="D696" t="s">
        <v>212</v>
      </c>
      <c r="E696" s="1">
        <v>59.96</v>
      </c>
      <c r="F696" t="s">
        <v>206</v>
      </c>
      <c r="G696">
        <v>100</v>
      </c>
      <c r="H696" s="1">
        <v>59.96</v>
      </c>
      <c r="I696" s="21">
        <v>45088</v>
      </c>
      <c r="J696" s="21">
        <v>45090</v>
      </c>
      <c r="K696" s="21">
        <v>45090</v>
      </c>
      <c r="L696" t="s">
        <v>238</v>
      </c>
      <c r="M696" t="s">
        <v>54</v>
      </c>
      <c r="N696" t="s">
        <v>26</v>
      </c>
      <c r="O696">
        <v>1</v>
      </c>
      <c r="P696" t="s">
        <v>729</v>
      </c>
      <c r="Q696" t="s">
        <v>4545</v>
      </c>
      <c r="R696" t="s">
        <v>4713</v>
      </c>
      <c r="S696" t="s">
        <v>4719</v>
      </c>
      <c r="T696">
        <f t="shared" si="20"/>
        <v>2</v>
      </c>
      <c r="U696" s="21">
        <f t="shared" si="21"/>
        <v>45090</v>
      </c>
    </row>
    <row r="697" spans="1:21" x14ac:dyDescent="0.35">
      <c r="A697" t="s">
        <v>1968</v>
      </c>
      <c r="B697" t="s">
        <v>1969</v>
      </c>
      <c r="C697" t="s">
        <v>30</v>
      </c>
      <c r="D697" t="s">
        <v>205</v>
      </c>
      <c r="E697" s="1">
        <v>95.951999999999998</v>
      </c>
      <c r="F697" t="s">
        <v>206</v>
      </c>
      <c r="G697">
        <v>80</v>
      </c>
      <c r="H697" s="1">
        <v>76.761600000000001</v>
      </c>
      <c r="I697" s="21">
        <v>45087</v>
      </c>
      <c r="J697" s="21">
        <v>45094</v>
      </c>
      <c r="K697" s="21">
        <v>45094</v>
      </c>
      <c r="L697" t="s">
        <v>238</v>
      </c>
      <c r="M697" t="s">
        <v>40</v>
      </c>
      <c r="N697" t="s">
        <v>34</v>
      </c>
      <c r="O697">
        <v>1</v>
      </c>
      <c r="P697" t="s">
        <v>1970</v>
      </c>
      <c r="Q697" t="s">
        <v>4643</v>
      </c>
      <c r="R697" t="s">
        <v>4512</v>
      </c>
      <c r="S697" t="s">
        <v>4717</v>
      </c>
      <c r="T697">
        <f t="shared" si="20"/>
        <v>7</v>
      </c>
      <c r="U697" s="21">
        <f t="shared" si="21"/>
        <v>45094</v>
      </c>
    </row>
    <row r="698" spans="1:21" x14ac:dyDescent="0.35">
      <c r="A698" t="s">
        <v>4098</v>
      </c>
      <c r="B698" t="s">
        <v>4099</v>
      </c>
      <c r="C698" t="s">
        <v>19</v>
      </c>
      <c r="D698" t="s">
        <v>205</v>
      </c>
      <c r="E698" s="1">
        <v>54.5</v>
      </c>
      <c r="F698" t="s">
        <v>206</v>
      </c>
      <c r="G698">
        <v>80</v>
      </c>
      <c r="H698" s="1">
        <v>43.6</v>
      </c>
      <c r="I698" s="21">
        <v>45087</v>
      </c>
      <c r="J698" s="21">
        <v>45092</v>
      </c>
      <c r="K698" s="21">
        <v>45092</v>
      </c>
      <c r="L698" t="s">
        <v>238</v>
      </c>
      <c r="M698" t="s">
        <v>25</v>
      </c>
      <c r="N698" t="s">
        <v>26</v>
      </c>
      <c r="O698">
        <v>1</v>
      </c>
      <c r="P698" t="s">
        <v>2911</v>
      </c>
      <c r="Q698" t="s">
        <v>4729</v>
      </c>
      <c r="R698" t="s">
        <v>4721</v>
      </c>
      <c r="S698" t="s">
        <v>4717</v>
      </c>
      <c r="T698">
        <f t="shared" si="20"/>
        <v>5</v>
      </c>
      <c r="U698" s="21">
        <f t="shared" si="21"/>
        <v>45092</v>
      </c>
    </row>
    <row r="699" spans="1:21" x14ac:dyDescent="0.35">
      <c r="A699" t="s">
        <v>724</v>
      </c>
      <c r="B699" t="s">
        <v>725</v>
      </c>
      <c r="C699" t="s">
        <v>30</v>
      </c>
      <c r="D699" t="s">
        <v>205</v>
      </c>
      <c r="E699" s="1">
        <v>116</v>
      </c>
      <c r="F699" t="s">
        <v>206</v>
      </c>
      <c r="G699">
        <v>80</v>
      </c>
      <c r="H699" s="1">
        <v>92.800000000000011</v>
      </c>
      <c r="I699" s="21">
        <v>45087</v>
      </c>
      <c r="J699" s="21">
        <v>45090</v>
      </c>
      <c r="K699" s="21">
        <v>45090</v>
      </c>
      <c r="L699" t="s">
        <v>238</v>
      </c>
      <c r="M699" t="s">
        <v>46</v>
      </c>
      <c r="N699" t="s">
        <v>47</v>
      </c>
      <c r="O699">
        <v>1</v>
      </c>
      <c r="P699" t="s">
        <v>726</v>
      </c>
      <c r="Q699" t="s">
        <v>4592</v>
      </c>
      <c r="R699" t="s">
        <v>4711</v>
      </c>
      <c r="S699" t="s">
        <v>4719</v>
      </c>
      <c r="T699">
        <f t="shared" si="20"/>
        <v>3</v>
      </c>
      <c r="U699" s="21">
        <f t="shared" si="21"/>
        <v>45090</v>
      </c>
    </row>
    <row r="700" spans="1:21" x14ac:dyDescent="0.35">
      <c r="A700" t="s">
        <v>1971</v>
      </c>
      <c r="B700" t="s">
        <v>1972</v>
      </c>
      <c r="C700" t="s">
        <v>19</v>
      </c>
      <c r="D700" t="s">
        <v>212</v>
      </c>
      <c r="E700" s="1">
        <v>3.2040000000000002</v>
      </c>
      <c r="F700" t="s">
        <v>206</v>
      </c>
      <c r="G700">
        <v>100</v>
      </c>
      <c r="H700" s="1">
        <v>3.2040000000000002</v>
      </c>
      <c r="I700" s="21">
        <v>45087</v>
      </c>
      <c r="J700" s="21">
        <v>45093</v>
      </c>
      <c r="K700" s="21">
        <v>45093</v>
      </c>
      <c r="L700" t="s">
        <v>207</v>
      </c>
      <c r="M700" t="s">
        <v>67</v>
      </c>
      <c r="N700" t="s">
        <v>68</v>
      </c>
      <c r="O700">
        <v>1</v>
      </c>
      <c r="P700" t="s">
        <v>193</v>
      </c>
      <c r="Q700" t="s">
        <v>4729</v>
      </c>
      <c r="R700" t="s">
        <v>4726</v>
      </c>
      <c r="S700" t="s">
        <v>4717</v>
      </c>
      <c r="T700">
        <f t="shared" si="20"/>
        <v>6</v>
      </c>
      <c r="U700" s="21">
        <f t="shared" si="21"/>
        <v>45093</v>
      </c>
    </row>
    <row r="701" spans="1:21" x14ac:dyDescent="0.35">
      <c r="A701" t="s">
        <v>3128</v>
      </c>
      <c r="B701" t="s">
        <v>3129</v>
      </c>
      <c r="C701" t="s">
        <v>19</v>
      </c>
      <c r="D701" t="s">
        <v>212</v>
      </c>
      <c r="E701" s="1">
        <v>107.94</v>
      </c>
      <c r="F701" t="s">
        <v>206</v>
      </c>
      <c r="G701">
        <v>100</v>
      </c>
      <c r="H701" s="1">
        <v>107.94</v>
      </c>
      <c r="I701" s="21">
        <v>45085</v>
      </c>
      <c r="J701" s="21">
        <v>45088</v>
      </c>
      <c r="K701" s="21">
        <v>45088</v>
      </c>
      <c r="L701" t="s">
        <v>207</v>
      </c>
      <c r="M701" t="s">
        <v>54</v>
      </c>
      <c r="N701" t="s">
        <v>26</v>
      </c>
      <c r="O701">
        <v>1</v>
      </c>
      <c r="P701" t="s">
        <v>1554</v>
      </c>
      <c r="Q701" t="s">
        <v>4530</v>
      </c>
      <c r="R701" t="s">
        <v>4726</v>
      </c>
      <c r="S701" t="s">
        <v>4717</v>
      </c>
      <c r="T701">
        <f t="shared" si="20"/>
        <v>3</v>
      </c>
      <c r="U701" s="21">
        <f t="shared" si="21"/>
        <v>45088</v>
      </c>
    </row>
    <row r="702" spans="1:21" x14ac:dyDescent="0.35">
      <c r="A702" t="s">
        <v>721</v>
      </c>
      <c r="B702" t="s">
        <v>722</v>
      </c>
      <c r="C702" t="s">
        <v>19</v>
      </c>
      <c r="D702" t="s">
        <v>205</v>
      </c>
      <c r="E702" s="1">
        <v>239.5</v>
      </c>
      <c r="F702" t="s">
        <v>206</v>
      </c>
      <c r="G702">
        <v>80</v>
      </c>
      <c r="H702" s="1">
        <v>191.60000000000002</v>
      </c>
      <c r="I702" s="21">
        <v>45085</v>
      </c>
      <c r="J702" s="21">
        <v>45089</v>
      </c>
      <c r="K702" s="21">
        <v>45089</v>
      </c>
      <c r="L702" t="s">
        <v>220</v>
      </c>
      <c r="M702" t="s">
        <v>54</v>
      </c>
      <c r="N702" t="s">
        <v>26</v>
      </c>
      <c r="O702">
        <v>1</v>
      </c>
      <c r="P702" t="s">
        <v>723</v>
      </c>
      <c r="Q702" t="s">
        <v>4519</v>
      </c>
      <c r="R702" t="s">
        <v>4726</v>
      </c>
      <c r="S702" t="s">
        <v>4717</v>
      </c>
      <c r="T702">
        <f t="shared" si="20"/>
        <v>4</v>
      </c>
      <c r="U702" s="21">
        <f t="shared" si="21"/>
        <v>45089</v>
      </c>
    </row>
    <row r="703" spans="1:21" x14ac:dyDescent="0.35">
      <c r="A703" t="s">
        <v>718</v>
      </c>
      <c r="B703" t="s">
        <v>719</v>
      </c>
      <c r="C703" t="s">
        <v>30</v>
      </c>
      <c r="D703" t="s">
        <v>205</v>
      </c>
      <c r="E703" s="1">
        <v>3.9119999999999999</v>
      </c>
      <c r="F703" t="s">
        <v>206</v>
      </c>
      <c r="G703">
        <v>80</v>
      </c>
      <c r="H703" s="1">
        <v>3.1295999999999999</v>
      </c>
      <c r="I703" s="21">
        <v>45084</v>
      </c>
      <c r="J703" s="21">
        <v>45087</v>
      </c>
      <c r="K703" s="21">
        <v>45087</v>
      </c>
      <c r="L703" t="s">
        <v>220</v>
      </c>
      <c r="M703" t="s">
        <v>33</v>
      </c>
      <c r="N703" t="s">
        <v>34</v>
      </c>
      <c r="O703">
        <v>1</v>
      </c>
      <c r="P703" t="s">
        <v>720</v>
      </c>
      <c r="Q703" t="s">
        <v>4591</v>
      </c>
      <c r="R703" t="s">
        <v>4726</v>
      </c>
      <c r="S703" t="s">
        <v>4717</v>
      </c>
      <c r="T703">
        <f t="shared" si="20"/>
        <v>3</v>
      </c>
      <c r="U703" s="21">
        <f t="shared" si="21"/>
        <v>45087</v>
      </c>
    </row>
    <row r="704" spans="1:21" x14ac:dyDescent="0.35">
      <c r="A704" t="s">
        <v>3125</v>
      </c>
      <c r="B704" t="s">
        <v>3126</v>
      </c>
      <c r="C704" t="s">
        <v>30</v>
      </c>
      <c r="D704" t="s">
        <v>205</v>
      </c>
      <c r="E704" s="1">
        <v>71.245999999999995</v>
      </c>
      <c r="F704" t="s">
        <v>206</v>
      </c>
      <c r="G704">
        <v>80</v>
      </c>
      <c r="H704" s="1">
        <v>56.9968</v>
      </c>
      <c r="I704" s="21">
        <v>45084</v>
      </c>
      <c r="J704" s="21">
        <v>45091</v>
      </c>
      <c r="K704" s="21">
        <v>45091</v>
      </c>
      <c r="L704" t="s">
        <v>220</v>
      </c>
      <c r="M704" t="s">
        <v>40</v>
      </c>
      <c r="N704" t="s">
        <v>34</v>
      </c>
      <c r="O704">
        <v>1</v>
      </c>
      <c r="P704" t="s">
        <v>3127</v>
      </c>
      <c r="Q704" t="s">
        <v>4567</v>
      </c>
      <c r="R704" t="s">
        <v>4714</v>
      </c>
      <c r="S704" t="s">
        <v>4718</v>
      </c>
      <c r="T704">
        <f t="shared" si="20"/>
        <v>7</v>
      </c>
      <c r="U704" s="21">
        <f t="shared" si="21"/>
        <v>45091</v>
      </c>
    </row>
    <row r="705" spans="1:21" x14ac:dyDescent="0.35">
      <c r="A705" t="s">
        <v>1966</v>
      </c>
      <c r="B705" t="s">
        <v>1967</v>
      </c>
      <c r="C705" t="s">
        <v>19</v>
      </c>
      <c r="D705" t="s">
        <v>21</v>
      </c>
      <c r="E705" s="1">
        <v>678.86999999999989</v>
      </c>
      <c r="F705" t="s">
        <v>22</v>
      </c>
      <c r="G705">
        <v>0</v>
      </c>
      <c r="H705" s="1">
        <v>0</v>
      </c>
      <c r="I705" s="21">
        <v>45084</v>
      </c>
      <c r="J705" s="21">
        <v>45085</v>
      </c>
      <c r="K705" s="21">
        <v>45085</v>
      </c>
      <c r="L705" t="s">
        <v>39</v>
      </c>
      <c r="M705" t="s">
        <v>67</v>
      </c>
      <c r="N705" t="s">
        <v>68</v>
      </c>
      <c r="O705">
        <v>1</v>
      </c>
      <c r="P705" t="s">
        <v>714</v>
      </c>
      <c r="Q705" t="s">
        <v>4513</v>
      </c>
      <c r="R705" t="s">
        <v>4713</v>
      </c>
      <c r="S705" t="s">
        <v>4719</v>
      </c>
      <c r="T705">
        <f t="shared" si="20"/>
        <v>1</v>
      </c>
      <c r="U705" s="21">
        <f t="shared" si="21"/>
        <v>45085</v>
      </c>
    </row>
    <row r="706" spans="1:21" x14ac:dyDescent="0.35">
      <c r="A706" t="s">
        <v>1963</v>
      </c>
      <c r="B706" t="s">
        <v>1964</v>
      </c>
      <c r="C706" t="s">
        <v>30</v>
      </c>
      <c r="D706" t="s">
        <v>205</v>
      </c>
      <c r="E706" s="1">
        <v>7.8719999999999999</v>
      </c>
      <c r="F706" t="s">
        <v>206</v>
      </c>
      <c r="G706">
        <v>80</v>
      </c>
      <c r="H706" s="1">
        <v>6.2976000000000001</v>
      </c>
      <c r="I706" s="21">
        <v>45084</v>
      </c>
      <c r="J706" s="21">
        <v>45085</v>
      </c>
      <c r="K706" s="21">
        <v>45085</v>
      </c>
      <c r="L706" t="s">
        <v>248</v>
      </c>
      <c r="M706" t="s">
        <v>67</v>
      </c>
      <c r="N706" t="s">
        <v>68</v>
      </c>
      <c r="O706">
        <v>1</v>
      </c>
      <c r="P706" t="s">
        <v>1965</v>
      </c>
      <c r="Q706" t="s">
        <v>4520</v>
      </c>
      <c r="R706" t="s">
        <v>4710</v>
      </c>
      <c r="S706" t="s">
        <v>4717</v>
      </c>
      <c r="T706">
        <f t="shared" ref="T706:T769" si="22">J706-I706</f>
        <v>1</v>
      </c>
      <c r="U706" s="21">
        <f t="shared" si="21"/>
        <v>45085</v>
      </c>
    </row>
    <row r="707" spans="1:21" x14ac:dyDescent="0.35">
      <c r="A707" t="s">
        <v>1961</v>
      </c>
      <c r="B707" t="s">
        <v>1962</v>
      </c>
      <c r="C707" t="s">
        <v>19</v>
      </c>
      <c r="D707" t="s">
        <v>21</v>
      </c>
      <c r="E707" s="1">
        <v>79.792000000000002</v>
      </c>
      <c r="F707" t="s">
        <v>22</v>
      </c>
      <c r="G707">
        <v>0</v>
      </c>
      <c r="H707" s="1">
        <v>0</v>
      </c>
      <c r="I707" s="21">
        <v>45083</v>
      </c>
      <c r="J707" s="21">
        <v>45085</v>
      </c>
      <c r="K707" s="21">
        <v>45085</v>
      </c>
      <c r="L707" t="s">
        <v>39</v>
      </c>
      <c r="M707" t="s">
        <v>97</v>
      </c>
      <c r="N707" t="s">
        <v>68</v>
      </c>
      <c r="O707">
        <v>1</v>
      </c>
      <c r="P707" t="s">
        <v>55</v>
      </c>
      <c r="Q707" t="s">
        <v>4517</v>
      </c>
      <c r="R707" t="s">
        <v>4726</v>
      </c>
      <c r="S707" t="s">
        <v>4717</v>
      </c>
      <c r="T707">
        <f t="shared" si="22"/>
        <v>2</v>
      </c>
      <c r="U707" s="21">
        <f t="shared" ref="U707:U770" si="23">J707</f>
        <v>45085</v>
      </c>
    </row>
    <row r="708" spans="1:21" x14ac:dyDescent="0.35">
      <c r="A708" t="s">
        <v>1959</v>
      </c>
      <c r="B708" t="s">
        <v>1960</v>
      </c>
      <c r="C708" t="s">
        <v>19</v>
      </c>
      <c r="D708" t="s">
        <v>205</v>
      </c>
      <c r="E708" s="1">
        <v>9.5549999999999997</v>
      </c>
      <c r="F708" t="s">
        <v>206</v>
      </c>
      <c r="G708">
        <v>80</v>
      </c>
      <c r="H708" s="1">
        <v>7.6440000000000001</v>
      </c>
      <c r="I708" s="21">
        <v>45083</v>
      </c>
      <c r="J708" s="21">
        <v>45087</v>
      </c>
      <c r="K708" s="21">
        <v>45087</v>
      </c>
      <c r="L708" t="s">
        <v>234</v>
      </c>
      <c r="M708" t="s">
        <v>146</v>
      </c>
      <c r="N708" t="s">
        <v>73</v>
      </c>
      <c r="O708">
        <v>1</v>
      </c>
      <c r="P708" t="s">
        <v>349</v>
      </c>
      <c r="Q708" t="s">
        <v>4555</v>
      </c>
      <c r="R708" t="s">
        <v>4721</v>
      </c>
      <c r="S708" t="s">
        <v>4717</v>
      </c>
      <c r="T708">
        <f t="shared" si="22"/>
        <v>4</v>
      </c>
      <c r="U708" s="21">
        <f t="shared" si="23"/>
        <v>45087</v>
      </c>
    </row>
    <row r="709" spans="1:21" x14ac:dyDescent="0.35">
      <c r="A709" t="s">
        <v>1956</v>
      </c>
      <c r="B709" t="s">
        <v>1957</v>
      </c>
      <c r="C709" t="s">
        <v>19</v>
      </c>
      <c r="D709" t="s">
        <v>212</v>
      </c>
      <c r="E709" s="1">
        <v>22.72</v>
      </c>
      <c r="F709" t="s">
        <v>206</v>
      </c>
      <c r="G709">
        <v>100</v>
      </c>
      <c r="H709" s="1">
        <v>22.72</v>
      </c>
      <c r="I709" s="21">
        <v>45082</v>
      </c>
      <c r="J709" s="21">
        <v>45084</v>
      </c>
      <c r="K709" s="21">
        <v>45084</v>
      </c>
      <c r="L709" t="s">
        <v>248</v>
      </c>
      <c r="M709" t="s">
        <v>46</v>
      </c>
      <c r="N709" t="s">
        <v>47</v>
      </c>
      <c r="O709">
        <v>1</v>
      </c>
      <c r="P709" t="s">
        <v>1958</v>
      </c>
      <c r="Q709" t="s">
        <v>4546</v>
      </c>
      <c r="R709" t="s">
        <v>4726</v>
      </c>
      <c r="S709" t="s">
        <v>4717</v>
      </c>
      <c r="T709">
        <f t="shared" si="22"/>
        <v>2</v>
      </c>
      <c r="U709" s="21">
        <f t="shared" si="23"/>
        <v>45084</v>
      </c>
    </row>
    <row r="710" spans="1:21" x14ac:dyDescent="0.35">
      <c r="A710" t="s">
        <v>3123</v>
      </c>
      <c r="B710" t="s">
        <v>3124</v>
      </c>
      <c r="C710" t="s">
        <v>30</v>
      </c>
      <c r="D710" t="s">
        <v>205</v>
      </c>
      <c r="E710" s="1">
        <v>60.6</v>
      </c>
      <c r="F710" t="s">
        <v>206</v>
      </c>
      <c r="G710">
        <v>80</v>
      </c>
      <c r="H710" s="1">
        <v>48.480000000000004</v>
      </c>
      <c r="I710" s="21">
        <v>45081</v>
      </c>
      <c r="J710" s="21">
        <v>45084</v>
      </c>
      <c r="K710" s="21">
        <v>45084</v>
      </c>
      <c r="L710" t="s">
        <v>248</v>
      </c>
      <c r="M710" t="s">
        <v>33</v>
      </c>
      <c r="N710" t="s">
        <v>34</v>
      </c>
      <c r="O710">
        <v>1</v>
      </c>
      <c r="P710" t="s">
        <v>2954</v>
      </c>
      <c r="Q710" t="s">
        <v>4729</v>
      </c>
      <c r="R710" t="s">
        <v>4721</v>
      </c>
      <c r="S710" t="s">
        <v>4717</v>
      </c>
      <c r="T710">
        <f t="shared" si="22"/>
        <v>3</v>
      </c>
      <c r="U710" s="21">
        <f t="shared" si="23"/>
        <v>45084</v>
      </c>
    </row>
    <row r="711" spans="1:21" x14ac:dyDescent="0.35">
      <c r="A711" t="s">
        <v>4096</v>
      </c>
      <c r="B711" t="s">
        <v>4097</v>
      </c>
      <c r="C711" t="s">
        <v>30</v>
      </c>
      <c r="D711" t="s">
        <v>205</v>
      </c>
      <c r="E711" s="1">
        <v>191.82</v>
      </c>
      <c r="F711" t="s">
        <v>206</v>
      </c>
      <c r="G711">
        <v>80</v>
      </c>
      <c r="H711" s="1">
        <v>153.45599999999999</v>
      </c>
      <c r="I711" s="21">
        <v>45080</v>
      </c>
      <c r="J711" s="21">
        <v>45083</v>
      </c>
      <c r="K711" s="21">
        <v>45083</v>
      </c>
      <c r="L711" t="s">
        <v>238</v>
      </c>
      <c r="M711" t="s">
        <v>46</v>
      </c>
      <c r="N711" t="s">
        <v>47</v>
      </c>
      <c r="O711">
        <v>1</v>
      </c>
      <c r="P711" t="s">
        <v>1979</v>
      </c>
      <c r="Q711" t="s">
        <v>4553</v>
      </c>
      <c r="R711" t="s">
        <v>4722</v>
      </c>
      <c r="S711" t="s">
        <v>4718</v>
      </c>
      <c r="T711">
        <f t="shared" si="22"/>
        <v>3</v>
      </c>
      <c r="U711" s="21">
        <f t="shared" si="23"/>
        <v>45083</v>
      </c>
    </row>
    <row r="712" spans="1:21" x14ac:dyDescent="0.35">
      <c r="A712" t="s">
        <v>4094</v>
      </c>
      <c r="B712" t="s">
        <v>4095</v>
      </c>
      <c r="C712" t="s">
        <v>19</v>
      </c>
      <c r="D712" t="s">
        <v>212</v>
      </c>
      <c r="E712" s="1">
        <v>23.67</v>
      </c>
      <c r="F712" t="s">
        <v>206</v>
      </c>
      <c r="G712">
        <v>100</v>
      </c>
      <c r="H712" s="1">
        <v>23.67</v>
      </c>
      <c r="I712" s="21">
        <v>45077</v>
      </c>
      <c r="J712" s="21">
        <v>45082</v>
      </c>
      <c r="K712" s="21">
        <v>45082</v>
      </c>
      <c r="L712" t="s">
        <v>220</v>
      </c>
      <c r="M712" t="s">
        <v>67</v>
      </c>
      <c r="N712" t="s">
        <v>68</v>
      </c>
      <c r="O712">
        <v>1</v>
      </c>
      <c r="P712" t="s">
        <v>3013</v>
      </c>
      <c r="Q712" t="s">
        <v>4676</v>
      </c>
      <c r="R712" t="s">
        <v>4709</v>
      </c>
      <c r="S712" t="s">
        <v>4717</v>
      </c>
      <c r="T712">
        <f t="shared" si="22"/>
        <v>5</v>
      </c>
      <c r="U712" s="21">
        <f t="shared" si="23"/>
        <v>45082</v>
      </c>
    </row>
    <row r="713" spans="1:21" x14ac:dyDescent="0.35">
      <c r="A713" t="s">
        <v>715</v>
      </c>
      <c r="B713" t="s">
        <v>716</v>
      </c>
      <c r="C713" t="s">
        <v>30</v>
      </c>
      <c r="D713" t="s">
        <v>205</v>
      </c>
      <c r="E713" s="1">
        <v>376.74</v>
      </c>
      <c r="F713" t="s">
        <v>206</v>
      </c>
      <c r="G713">
        <v>80</v>
      </c>
      <c r="H713" s="1">
        <v>301.392</v>
      </c>
      <c r="I713" s="21">
        <v>45077</v>
      </c>
      <c r="J713" s="21">
        <v>45084</v>
      </c>
      <c r="K713" s="21">
        <v>45084</v>
      </c>
      <c r="L713" t="s">
        <v>234</v>
      </c>
      <c r="M713" t="s">
        <v>82</v>
      </c>
      <c r="N713" t="s">
        <v>47</v>
      </c>
      <c r="O713">
        <v>1</v>
      </c>
      <c r="P713" t="s">
        <v>717</v>
      </c>
      <c r="Q713" t="s">
        <v>4590</v>
      </c>
      <c r="R713" t="s">
        <v>4721</v>
      </c>
      <c r="S713" t="s">
        <v>4717</v>
      </c>
      <c r="T713">
        <f t="shared" si="22"/>
        <v>7</v>
      </c>
      <c r="U713" s="21">
        <f t="shared" si="23"/>
        <v>45084</v>
      </c>
    </row>
    <row r="714" spans="1:21" x14ac:dyDescent="0.35">
      <c r="A714" t="s">
        <v>3120</v>
      </c>
      <c r="B714" t="s">
        <v>3121</v>
      </c>
      <c r="C714" t="s">
        <v>30</v>
      </c>
      <c r="D714" t="s">
        <v>205</v>
      </c>
      <c r="E714" s="1">
        <v>47.04</v>
      </c>
      <c r="F714" t="s">
        <v>206</v>
      </c>
      <c r="G714">
        <v>80</v>
      </c>
      <c r="H714" s="1">
        <v>37.631999999999998</v>
      </c>
      <c r="I714" s="21">
        <v>45077</v>
      </c>
      <c r="J714" s="21">
        <v>45079</v>
      </c>
      <c r="K714" s="21">
        <v>45079</v>
      </c>
      <c r="L714" t="s">
        <v>213</v>
      </c>
      <c r="M714" t="s">
        <v>97</v>
      </c>
      <c r="N714" t="s">
        <v>68</v>
      </c>
      <c r="O714">
        <v>1</v>
      </c>
      <c r="P714" t="s">
        <v>3122</v>
      </c>
      <c r="Q714" t="s">
        <v>4729</v>
      </c>
      <c r="R714" t="s">
        <v>4722</v>
      </c>
      <c r="S714" t="s">
        <v>4718</v>
      </c>
      <c r="T714">
        <f t="shared" si="22"/>
        <v>2</v>
      </c>
      <c r="U714" s="21">
        <f t="shared" si="23"/>
        <v>45079</v>
      </c>
    </row>
    <row r="715" spans="1:21" x14ac:dyDescent="0.35">
      <c r="A715" t="s">
        <v>4091</v>
      </c>
      <c r="B715" t="s">
        <v>4092</v>
      </c>
      <c r="C715" t="s">
        <v>30</v>
      </c>
      <c r="D715" t="s">
        <v>205</v>
      </c>
      <c r="E715" s="1">
        <v>23.968</v>
      </c>
      <c r="F715" t="s">
        <v>206</v>
      </c>
      <c r="G715">
        <v>80</v>
      </c>
      <c r="H715" s="1">
        <v>19.174400000000002</v>
      </c>
      <c r="I715" s="21">
        <v>45077</v>
      </c>
      <c r="J715" s="21">
        <v>45081</v>
      </c>
      <c r="K715" s="21">
        <v>45081</v>
      </c>
      <c r="L715" t="s">
        <v>248</v>
      </c>
      <c r="M715" t="s">
        <v>46</v>
      </c>
      <c r="N715" t="s">
        <v>47</v>
      </c>
      <c r="O715">
        <v>1</v>
      </c>
      <c r="P715" t="s">
        <v>4093</v>
      </c>
      <c r="Q715" t="s">
        <v>4729</v>
      </c>
      <c r="R715" t="s">
        <v>4709</v>
      </c>
      <c r="S715" t="s">
        <v>4717</v>
      </c>
      <c r="T715">
        <f t="shared" si="22"/>
        <v>4</v>
      </c>
      <c r="U715" s="21">
        <f t="shared" si="23"/>
        <v>45081</v>
      </c>
    </row>
    <row r="716" spans="1:21" x14ac:dyDescent="0.35">
      <c r="A716" t="s">
        <v>4089</v>
      </c>
      <c r="B716" t="s">
        <v>4090</v>
      </c>
      <c r="C716" t="s">
        <v>19</v>
      </c>
      <c r="D716" t="s">
        <v>212</v>
      </c>
      <c r="E716" s="1">
        <v>26.4</v>
      </c>
      <c r="F716" t="s">
        <v>206</v>
      </c>
      <c r="G716">
        <v>100</v>
      </c>
      <c r="H716" s="1">
        <v>26.4</v>
      </c>
      <c r="I716" s="21">
        <v>45077</v>
      </c>
      <c r="J716" s="21">
        <v>45078</v>
      </c>
      <c r="K716" s="21">
        <v>45078</v>
      </c>
      <c r="L716" t="s">
        <v>234</v>
      </c>
      <c r="M716" t="s">
        <v>25</v>
      </c>
      <c r="N716" t="s">
        <v>26</v>
      </c>
      <c r="O716">
        <v>1</v>
      </c>
      <c r="P716" t="s">
        <v>2881</v>
      </c>
      <c r="Q716" t="s">
        <v>4515</v>
      </c>
      <c r="R716" t="s">
        <v>4726</v>
      </c>
      <c r="S716" t="s">
        <v>4717</v>
      </c>
      <c r="T716">
        <f t="shared" si="22"/>
        <v>1</v>
      </c>
      <c r="U716" s="21">
        <f t="shared" si="23"/>
        <v>45078</v>
      </c>
    </row>
    <row r="717" spans="1:21" x14ac:dyDescent="0.35">
      <c r="A717" t="s">
        <v>1953</v>
      </c>
      <c r="B717" t="s">
        <v>1954</v>
      </c>
      <c r="C717" t="s">
        <v>30</v>
      </c>
      <c r="D717" t="s">
        <v>205</v>
      </c>
      <c r="E717" s="1">
        <v>23.988</v>
      </c>
      <c r="F717" t="s">
        <v>206</v>
      </c>
      <c r="G717">
        <v>80</v>
      </c>
      <c r="H717" s="1">
        <v>19.1904</v>
      </c>
      <c r="I717" s="21">
        <v>45075</v>
      </c>
      <c r="J717" s="21">
        <v>45075</v>
      </c>
      <c r="K717" s="21">
        <v>45075</v>
      </c>
      <c r="L717" t="s">
        <v>234</v>
      </c>
      <c r="M717" t="s">
        <v>25</v>
      </c>
      <c r="N717" t="s">
        <v>26</v>
      </c>
      <c r="O717">
        <v>1</v>
      </c>
      <c r="P717" t="s">
        <v>1955</v>
      </c>
      <c r="Q717" t="s">
        <v>4729</v>
      </c>
      <c r="R717" t="s">
        <v>4711</v>
      </c>
      <c r="S717" t="s">
        <v>4719</v>
      </c>
      <c r="T717">
        <f t="shared" si="22"/>
        <v>0</v>
      </c>
      <c r="U717" s="21">
        <f t="shared" si="23"/>
        <v>45075</v>
      </c>
    </row>
    <row r="718" spans="1:21" x14ac:dyDescent="0.35">
      <c r="A718" t="s">
        <v>3118</v>
      </c>
      <c r="B718" t="s">
        <v>3119</v>
      </c>
      <c r="C718" t="s">
        <v>30</v>
      </c>
      <c r="D718" t="s">
        <v>205</v>
      </c>
      <c r="E718" s="1">
        <v>447.84</v>
      </c>
      <c r="F718" t="s">
        <v>206</v>
      </c>
      <c r="G718">
        <v>80</v>
      </c>
      <c r="H718" s="1">
        <v>358.27199999999999</v>
      </c>
      <c r="I718" s="21">
        <v>45075</v>
      </c>
      <c r="J718" s="21">
        <v>45082</v>
      </c>
      <c r="K718" s="21">
        <v>45082</v>
      </c>
      <c r="L718" t="s">
        <v>234</v>
      </c>
      <c r="M718" t="s">
        <v>82</v>
      </c>
      <c r="N718" t="s">
        <v>47</v>
      </c>
      <c r="O718">
        <v>1</v>
      </c>
      <c r="P718" t="s">
        <v>239</v>
      </c>
      <c r="Q718" t="s">
        <v>4729</v>
      </c>
      <c r="R718" t="s">
        <v>4712</v>
      </c>
      <c r="S718" t="s">
        <v>4718</v>
      </c>
      <c r="T718">
        <f t="shared" si="22"/>
        <v>7</v>
      </c>
      <c r="U718" s="21">
        <f t="shared" si="23"/>
        <v>45082</v>
      </c>
    </row>
    <row r="719" spans="1:21" x14ac:dyDescent="0.35">
      <c r="A719" t="s">
        <v>4087</v>
      </c>
      <c r="B719" t="s">
        <v>4088</v>
      </c>
      <c r="C719" t="s">
        <v>19</v>
      </c>
      <c r="D719" t="s">
        <v>205</v>
      </c>
      <c r="E719" s="1">
        <v>479.97</v>
      </c>
      <c r="F719" t="s">
        <v>206</v>
      </c>
      <c r="G719">
        <v>80</v>
      </c>
      <c r="H719" s="1">
        <v>383.97600000000006</v>
      </c>
      <c r="I719" s="21">
        <v>45075</v>
      </c>
      <c r="J719" s="21">
        <v>45080</v>
      </c>
      <c r="K719" s="21">
        <v>45080</v>
      </c>
      <c r="L719" t="s">
        <v>238</v>
      </c>
      <c r="M719" t="s">
        <v>46</v>
      </c>
      <c r="N719" t="s">
        <v>47</v>
      </c>
      <c r="O719">
        <v>1</v>
      </c>
      <c r="P719" t="s">
        <v>1298</v>
      </c>
      <c r="Q719" t="s">
        <v>4568</v>
      </c>
      <c r="R719" t="s">
        <v>4713</v>
      </c>
      <c r="S719" t="s">
        <v>4719</v>
      </c>
      <c r="T719">
        <f t="shared" si="22"/>
        <v>5</v>
      </c>
      <c r="U719" s="21">
        <f t="shared" si="23"/>
        <v>45080</v>
      </c>
    </row>
    <row r="720" spans="1:21" x14ac:dyDescent="0.35">
      <c r="A720" t="s">
        <v>4085</v>
      </c>
      <c r="B720" t="s">
        <v>4086</v>
      </c>
      <c r="C720" t="s">
        <v>19</v>
      </c>
      <c r="D720" t="s">
        <v>212</v>
      </c>
      <c r="E720" s="1">
        <v>209.97</v>
      </c>
      <c r="F720" t="s">
        <v>206</v>
      </c>
      <c r="G720">
        <v>100</v>
      </c>
      <c r="H720" s="1">
        <v>209.97</v>
      </c>
      <c r="I720" s="21">
        <v>45074</v>
      </c>
      <c r="J720" s="21">
        <v>45080</v>
      </c>
      <c r="K720" s="21">
        <v>45080</v>
      </c>
      <c r="L720" t="s">
        <v>234</v>
      </c>
      <c r="M720" t="s">
        <v>82</v>
      </c>
      <c r="N720" t="s">
        <v>47</v>
      </c>
      <c r="O720">
        <v>1</v>
      </c>
      <c r="P720" t="s">
        <v>2826</v>
      </c>
      <c r="Q720" t="s">
        <v>4729</v>
      </c>
      <c r="R720" t="s">
        <v>4711</v>
      </c>
      <c r="S720" t="s">
        <v>4719</v>
      </c>
      <c r="T720">
        <f t="shared" si="22"/>
        <v>6</v>
      </c>
      <c r="U720" s="21">
        <f t="shared" si="23"/>
        <v>45080</v>
      </c>
    </row>
    <row r="721" spans="1:21" x14ac:dyDescent="0.35">
      <c r="A721" t="s">
        <v>712</v>
      </c>
      <c r="B721" t="s">
        <v>713</v>
      </c>
      <c r="C721" t="s">
        <v>19</v>
      </c>
      <c r="D721" t="s">
        <v>205</v>
      </c>
      <c r="E721" s="1">
        <v>47.984000000000002</v>
      </c>
      <c r="F721" t="s">
        <v>206</v>
      </c>
      <c r="G721">
        <v>80</v>
      </c>
      <c r="H721" s="1">
        <v>38.387200000000007</v>
      </c>
      <c r="I721" s="21">
        <v>45073</v>
      </c>
      <c r="J721" s="21">
        <v>45077</v>
      </c>
      <c r="K721" s="21">
        <v>45077</v>
      </c>
      <c r="L721" t="s">
        <v>220</v>
      </c>
      <c r="M721" t="s">
        <v>97</v>
      </c>
      <c r="N721" t="s">
        <v>68</v>
      </c>
      <c r="O721">
        <v>1</v>
      </c>
      <c r="P721" t="s">
        <v>714</v>
      </c>
      <c r="Q721" t="s">
        <v>4513</v>
      </c>
      <c r="R721" t="s">
        <v>4713</v>
      </c>
      <c r="S721" t="s">
        <v>4719</v>
      </c>
      <c r="T721">
        <f t="shared" si="22"/>
        <v>4</v>
      </c>
      <c r="U721" s="21">
        <f t="shared" si="23"/>
        <v>45077</v>
      </c>
    </row>
    <row r="722" spans="1:21" x14ac:dyDescent="0.35">
      <c r="A722" t="s">
        <v>3115</v>
      </c>
      <c r="B722" t="s">
        <v>3116</v>
      </c>
      <c r="C722" t="s">
        <v>30</v>
      </c>
      <c r="D722" t="s">
        <v>205</v>
      </c>
      <c r="E722" s="1">
        <v>5.4720000000000004</v>
      </c>
      <c r="F722" t="s">
        <v>206</v>
      </c>
      <c r="G722">
        <v>80</v>
      </c>
      <c r="H722" s="1">
        <v>4.3776000000000002</v>
      </c>
      <c r="I722" s="21">
        <v>45071</v>
      </c>
      <c r="J722" s="21">
        <v>45075</v>
      </c>
      <c r="K722" s="21">
        <v>45075</v>
      </c>
      <c r="L722" t="s">
        <v>207</v>
      </c>
      <c r="M722" t="s">
        <v>67</v>
      </c>
      <c r="N722" t="s">
        <v>68</v>
      </c>
      <c r="O722">
        <v>1</v>
      </c>
      <c r="P722" t="s">
        <v>3117</v>
      </c>
      <c r="Q722" t="s">
        <v>4678</v>
      </c>
      <c r="R722" t="s">
        <v>4726</v>
      </c>
      <c r="S722" t="s">
        <v>4717</v>
      </c>
      <c r="T722">
        <f t="shared" si="22"/>
        <v>4</v>
      </c>
      <c r="U722" s="21">
        <f t="shared" si="23"/>
        <v>45075</v>
      </c>
    </row>
    <row r="723" spans="1:21" x14ac:dyDescent="0.35">
      <c r="A723" t="s">
        <v>4082</v>
      </c>
      <c r="B723" t="s">
        <v>4083</v>
      </c>
      <c r="C723" t="s">
        <v>19</v>
      </c>
      <c r="D723" t="s">
        <v>205</v>
      </c>
      <c r="E723" s="1">
        <v>1.78799999999999</v>
      </c>
      <c r="F723" t="s">
        <v>206</v>
      </c>
      <c r="G723">
        <v>80</v>
      </c>
      <c r="H723" s="1">
        <v>1.4303999999999921</v>
      </c>
      <c r="I723" s="21">
        <v>45070</v>
      </c>
      <c r="J723" s="21">
        <v>45074</v>
      </c>
      <c r="K723" s="21">
        <v>45074</v>
      </c>
      <c r="L723" t="s">
        <v>220</v>
      </c>
      <c r="M723" t="s">
        <v>33</v>
      </c>
      <c r="N723" t="s">
        <v>34</v>
      </c>
      <c r="O723">
        <v>1</v>
      </c>
      <c r="P723" t="s">
        <v>4084</v>
      </c>
      <c r="Q723" t="s">
        <v>4517</v>
      </c>
      <c r="R723" t="s">
        <v>4726</v>
      </c>
      <c r="S723" t="s">
        <v>4717</v>
      </c>
      <c r="T723">
        <f t="shared" si="22"/>
        <v>4</v>
      </c>
      <c r="U723" s="21">
        <f t="shared" si="23"/>
        <v>45074</v>
      </c>
    </row>
    <row r="724" spans="1:21" x14ac:dyDescent="0.35">
      <c r="A724" t="s">
        <v>1951</v>
      </c>
      <c r="B724" t="s">
        <v>1952</v>
      </c>
      <c r="C724" t="s">
        <v>19</v>
      </c>
      <c r="D724" t="s">
        <v>205</v>
      </c>
      <c r="E724" s="1">
        <v>249.95</v>
      </c>
      <c r="F724" t="s">
        <v>206</v>
      </c>
      <c r="G724">
        <v>80</v>
      </c>
      <c r="H724" s="1">
        <v>199.96</v>
      </c>
      <c r="I724" s="21">
        <v>45070</v>
      </c>
      <c r="J724" s="21">
        <v>45075</v>
      </c>
      <c r="K724" s="21">
        <v>45075</v>
      </c>
      <c r="L724" t="s">
        <v>213</v>
      </c>
      <c r="M724" t="s">
        <v>82</v>
      </c>
      <c r="N724" t="s">
        <v>47</v>
      </c>
      <c r="O724">
        <v>1</v>
      </c>
      <c r="P724" t="s">
        <v>797</v>
      </c>
      <c r="Q724" t="s">
        <v>4552</v>
      </c>
      <c r="R724" t="s">
        <v>4713</v>
      </c>
      <c r="S724" t="s">
        <v>4719</v>
      </c>
      <c r="T724">
        <f t="shared" si="22"/>
        <v>5</v>
      </c>
      <c r="U724" s="21">
        <f t="shared" si="23"/>
        <v>45075</v>
      </c>
    </row>
    <row r="725" spans="1:21" x14ac:dyDescent="0.35">
      <c r="A725" t="s">
        <v>1948</v>
      </c>
      <c r="B725" t="s">
        <v>1949</v>
      </c>
      <c r="C725" t="s">
        <v>30</v>
      </c>
      <c r="D725" t="s">
        <v>212</v>
      </c>
      <c r="E725" s="1">
        <v>95.975999999999999</v>
      </c>
      <c r="F725" t="s">
        <v>206</v>
      </c>
      <c r="G725">
        <v>100</v>
      </c>
      <c r="H725" s="1">
        <v>95.975999999999999</v>
      </c>
      <c r="I725" s="21">
        <v>45070</v>
      </c>
      <c r="J725" s="21">
        <v>45074</v>
      </c>
      <c r="K725" s="21">
        <v>45074</v>
      </c>
      <c r="L725" t="s">
        <v>220</v>
      </c>
      <c r="M725" t="s">
        <v>67</v>
      </c>
      <c r="N725" t="s">
        <v>68</v>
      </c>
      <c r="O725">
        <v>1</v>
      </c>
      <c r="P725" t="s">
        <v>1950</v>
      </c>
      <c r="Q725" t="s">
        <v>4538</v>
      </c>
      <c r="R725" t="s">
        <v>4713</v>
      </c>
      <c r="S725" t="s">
        <v>4719</v>
      </c>
      <c r="T725">
        <f t="shared" si="22"/>
        <v>4</v>
      </c>
      <c r="U725" s="21">
        <f t="shared" si="23"/>
        <v>45074</v>
      </c>
    </row>
    <row r="726" spans="1:21" x14ac:dyDescent="0.35">
      <c r="A726" t="s">
        <v>1945</v>
      </c>
      <c r="B726" t="s">
        <v>1946</v>
      </c>
      <c r="C726" t="s">
        <v>19</v>
      </c>
      <c r="D726" t="s">
        <v>205</v>
      </c>
      <c r="E726" s="1">
        <v>186.54</v>
      </c>
      <c r="F726" t="s">
        <v>206</v>
      </c>
      <c r="G726">
        <v>80</v>
      </c>
      <c r="H726" s="1">
        <v>149.232</v>
      </c>
      <c r="I726" s="21">
        <v>45069</v>
      </c>
      <c r="J726" s="21">
        <v>45076</v>
      </c>
      <c r="K726" s="21">
        <v>45076</v>
      </c>
      <c r="L726" t="s">
        <v>238</v>
      </c>
      <c r="M726" t="s">
        <v>82</v>
      </c>
      <c r="N726" t="s">
        <v>47</v>
      </c>
      <c r="O726">
        <v>1</v>
      </c>
      <c r="P726" t="s">
        <v>1947</v>
      </c>
      <c r="Q726" t="s">
        <v>4548</v>
      </c>
      <c r="R726" t="s">
        <v>4721</v>
      </c>
      <c r="S726" t="s">
        <v>4718</v>
      </c>
      <c r="T726">
        <f t="shared" si="22"/>
        <v>7</v>
      </c>
      <c r="U726" s="21">
        <f t="shared" si="23"/>
        <v>45076</v>
      </c>
    </row>
    <row r="727" spans="1:21" x14ac:dyDescent="0.35">
      <c r="A727" t="s">
        <v>709</v>
      </c>
      <c r="B727" t="s">
        <v>710</v>
      </c>
      <c r="C727" t="s">
        <v>19</v>
      </c>
      <c r="D727" t="s">
        <v>205</v>
      </c>
      <c r="E727" s="1">
        <v>33</v>
      </c>
      <c r="F727" t="s">
        <v>206</v>
      </c>
      <c r="G727">
        <v>80</v>
      </c>
      <c r="H727" s="1">
        <v>26.400000000000002</v>
      </c>
      <c r="I727" s="21">
        <v>45069</v>
      </c>
      <c r="J727" s="21">
        <v>45069</v>
      </c>
      <c r="K727" s="21">
        <v>45069</v>
      </c>
      <c r="L727" t="s">
        <v>220</v>
      </c>
      <c r="M727" t="s">
        <v>33</v>
      </c>
      <c r="N727" t="s">
        <v>34</v>
      </c>
      <c r="O727">
        <v>1</v>
      </c>
      <c r="P727" t="s">
        <v>711</v>
      </c>
      <c r="Q727" t="s">
        <v>4565</v>
      </c>
      <c r="R727" t="s">
        <v>4711</v>
      </c>
      <c r="S727" t="s">
        <v>4719</v>
      </c>
      <c r="T727">
        <f t="shared" si="22"/>
        <v>0</v>
      </c>
      <c r="U727" s="21">
        <f t="shared" si="23"/>
        <v>45069</v>
      </c>
    </row>
    <row r="728" spans="1:21" x14ac:dyDescent="0.35">
      <c r="A728" t="s">
        <v>4080</v>
      </c>
      <c r="B728" t="s">
        <v>4081</v>
      </c>
      <c r="C728" t="s">
        <v>19</v>
      </c>
      <c r="D728" t="s">
        <v>212</v>
      </c>
      <c r="E728" s="1">
        <v>134.28800000000001</v>
      </c>
      <c r="F728" t="s">
        <v>206</v>
      </c>
      <c r="G728">
        <v>100</v>
      </c>
      <c r="H728" s="1">
        <v>134.28800000000001</v>
      </c>
      <c r="I728" s="21">
        <v>45068</v>
      </c>
      <c r="J728" s="21">
        <v>45075</v>
      </c>
      <c r="K728" s="21">
        <v>45075</v>
      </c>
      <c r="L728" t="s">
        <v>234</v>
      </c>
      <c r="M728" t="s">
        <v>25</v>
      </c>
      <c r="N728" t="s">
        <v>26</v>
      </c>
      <c r="O728">
        <v>1</v>
      </c>
      <c r="P728" t="s">
        <v>3201</v>
      </c>
      <c r="Q728" t="s">
        <v>4729</v>
      </c>
      <c r="R728" t="s">
        <v>4512</v>
      </c>
      <c r="S728" t="s">
        <v>4717</v>
      </c>
      <c r="T728">
        <f t="shared" si="22"/>
        <v>7</v>
      </c>
      <c r="U728" s="21">
        <f t="shared" si="23"/>
        <v>45075</v>
      </c>
    </row>
    <row r="729" spans="1:21" x14ac:dyDescent="0.35">
      <c r="A729" t="s">
        <v>3113</v>
      </c>
      <c r="B729" t="s">
        <v>3114</v>
      </c>
      <c r="C729" t="s">
        <v>30</v>
      </c>
      <c r="D729" t="s">
        <v>205</v>
      </c>
      <c r="E729" s="1">
        <v>9.2159999999999993</v>
      </c>
      <c r="F729" t="s">
        <v>206</v>
      </c>
      <c r="G729">
        <v>80</v>
      </c>
      <c r="H729" s="1">
        <v>7.3727999999999998</v>
      </c>
      <c r="I729" s="21">
        <v>45068</v>
      </c>
      <c r="J729" s="21">
        <v>45075</v>
      </c>
      <c r="K729" s="21">
        <v>45075</v>
      </c>
      <c r="L729" t="s">
        <v>234</v>
      </c>
      <c r="M729" t="s">
        <v>97</v>
      </c>
      <c r="N729" t="s">
        <v>68</v>
      </c>
      <c r="O729">
        <v>1</v>
      </c>
      <c r="P729" t="s">
        <v>2005</v>
      </c>
      <c r="Q729" t="s">
        <v>4517</v>
      </c>
      <c r="R729" t="s">
        <v>4726</v>
      </c>
      <c r="S729" t="s">
        <v>4717</v>
      </c>
      <c r="T729">
        <f t="shared" si="22"/>
        <v>7</v>
      </c>
      <c r="U729" s="21">
        <f t="shared" si="23"/>
        <v>45075</v>
      </c>
    </row>
    <row r="730" spans="1:21" x14ac:dyDescent="0.35">
      <c r="A730" t="s">
        <v>706</v>
      </c>
      <c r="B730" t="s">
        <v>707</v>
      </c>
      <c r="C730" t="s">
        <v>19</v>
      </c>
      <c r="D730" t="s">
        <v>21</v>
      </c>
      <c r="E730" s="1">
        <v>121.43600000000001</v>
      </c>
      <c r="F730" t="s">
        <v>22</v>
      </c>
      <c r="G730">
        <v>0</v>
      </c>
      <c r="H730" s="1">
        <v>0</v>
      </c>
      <c r="I730" s="21">
        <v>45068</v>
      </c>
      <c r="J730" s="21">
        <v>45070</v>
      </c>
      <c r="K730" s="21">
        <v>45070</v>
      </c>
      <c r="L730" t="s">
        <v>32</v>
      </c>
      <c r="M730" t="s">
        <v>72</v>
      </c>
      <c r="N730" t="s">
        <v>73</v>
      </c>
      <c r="O730">
        <v>1</v>
      </c>
      <c r="P730" t="s">
        <v>708</v>
      </c>
      <c r="Q730" t="s">
        <v>4589</v>
      </c>
      <c r="R730" t="s">
        <v>4711</v>
      </c>
      <c r="S730" t="s">
        <v>4719</v>
      </c>
      <c r="T730">
        <f t="shared" si="22"/>
        <v>2</v>
      </c>
      <c r="U730" s="21">
        <f t="shared" si="23"/>
        <v>45070</v>
      </c>
    </row>
    <row r="731" spans="1:21" x14ac:dyDescent="0.35">
      <c r="A731" t="s">
        <v>3111</v>
      </c>
      <c r="B731" t="s">
        <v>3112</v>
      </c>
      <c r="C731" t="s">
        <v>19</v>
      </c>
      <c r="D731" t="s">
        <v>205</v>
      </c>
      <c r="E731" s="1">
        <v>135.9</v>
      </c>
      <c r="F731" t="s">
        <v>206</v>
      </c>
      <c r="G731">
        <v>80</v>
      </c>
      <c r="H731" s="1">
        <v>108.72000000000001</v>
      </c>
      <c r="I731" s="21">
        <v>45068</v>
      </c>
      <c r="J731" s="21">
        <v>45070</v>
      </c>
      <c r="K731" s="21">
        <v>45070</v>
      </c>
      <c r="L731" t="s">
        <v>248</v>
      </c>
      <c r="M731" t="s">
        <v>146</v>
      </c>
      <c r="N731" t="s">
        <v>73</v>
      </c>
      <c r="O731">
        <v>1</v>
      </c>
      <c r="P731" t="s">
        <v>429</v>
      </c>
      <c r="Q731" t="s">
        <v>4729</v>
      </c>
      <c r="R731" t="s">
        <v>4726</v>
      </c>
      <c r="S731" t="s">
        <v>4717</v>
      </c>
      <c r="T731">
        <f t="shared" si="22"/>
        <v>2</v>
      </c>
      <c r="U731" s="21">
        <f t="shared" si="23"/>
        <v>45070</v>
      </c>
    </row>
    <row r="732" spans="1:21" x14ac:dyDescent="0.35">
      <c r="A732" t="s">
        <v>4077</v>
      </c>
      <c r="B732" t="s">
        <v>4078</v>
      </c>
      <c r="C732" t="s">
        <v>19</v>
      </c>
      <c r="D732" t="s">
        <v>212</v>
      </c>
      <c r="E732" s="1">
        <v>58.9239999999999</v>
      </c>
      <c r="F732" t="s">
        <v>206</v>
      </c>
      <c r="G732">
        <v>100</v>
      </c>
      <c r="H732" s="1">
        <v>58.9239999999999</v>
      </c>
      <c r="I732" s="21">
        <v>45067</v>
      </c>
      <c r="J732" s="21">
        <v>45070</v>
      </c>
      <c r="K732" s="21">
        <v>45070</v>
      </c>
      <c r="L732" t="s">
        <v>207</v>
      </c>
      <c r="M732" t="s">
        <v>72</v>
      </c>
      <c r="N732" t="s">
        <v>73</v>
      </c>
      <c r="O732">
        <v>1</v>
      </c>
      <c r="P732" t="s">
        <v>4079</v>
      </c>
      <c r="Q732" t="s">
        <v>4729</v>
      </c>
      <c r="R732" t="s">
        <v>4715</v>
      </c>
      <c r="S732" t="s">
        <v>4719</v>
      </c>
      <c r="T732">
        <f t="shared" si="22"/>
        <v>3</v>
      </c>
      <c r="U732" s="21">
        <f t="shared" si="23"/>
        <v>45070</v>
      </c>
    </row>
    <row r="733" spans="1:21" x14ac:dyDescent="0.35">
      <c r="A733" t="s">
        <v>4075</v>
      </c>
      <c r="B733" t="s">
        <v>4076</v>
      </c>
      <c r="C733" t="s">
        <v>30</v>
      </c>
      <c r="D733" t="s">
        <v>205</v>
      </c>
      <c r="E733" s="1">
        <v>185.376</v>
      </c>
      <c r="F733" t="s">
        <v>206</v>
      </c>
      <c r="G733">
        <v>80</v>
      </c>
      <c r="H733" s="1">
        <v>148.30080000000001</v>
      </c>
      <c r="I733" s="21">
        <v>45067</v>
      </c>
      <c r="J733" s="21">
        <v>45071</v>
      </c>
      <c r="K733" s="21">
        <v>45071</v>
      </c>
      <c r="L733" t="s">
        <v>213</v>
      </c>
      <c r="M733" t="s">
        <v>67</v>
      </c>
      <c r="N733" t="s">
        <v>68</v>
      </c>
      <c r="O733">
        <v>1</v>
      </c>
      <c r="P733" t="s">
        <v>2178</v>
      </c>
      <c r="Q733" t="s">
        <v>4648</v>
      </c>
      <c r="R733" t="s">
        <v>4726</v>
      </c>
      <c r="S733" t="s">
        <v>4717</v>
      </c>
      <c r="T733">
        <f t="shared" si="22"/>
        <v>4</v>
      </c>
      <c r="U733" s="21">
        <f t="shared" si="23"/>
        <v>45071</v>
      </c>
    </row>
    <row r="734" spans="1:21" x14ac:dyDescent="0.35">
      <c r="A734" t="s">
        <v>703</v>
      </c>
      <c r="B734" t="s">
        <v>704</v>
      </c>
      <c r="C734" t="s">
        <v>19</v>
      </c>
      <c r="D734" t="s">
        <v>212</v>
      </c>
      <c r="E734" s="1">
        <v>105.55200000000001</v>
      </c>
      <c r="F734" t="s">
        <v>206</v>
      </c>
      <c r="G734">
        <v>100</v>
      </c>
      <c r="H734" s="1">
        <v>105.55200000000001</v>
      </c>
      <c r="I734" s="21">
        <v>45067</v>
      </c>
      <c r="J734" s="21">
        <v>45067</v>
      </c>
      <c r="K734" s="21">
        <v>45067</v>
      </c>
      <c r="L734" t="s">
        <v>207</v>
      </c>
      <c r="M734" t="s">
        <v>97</v>
      </c>
      <c r="N734" t="s">
        <v>68</v>
      </c>
      <c r="O734">
        <v>1</v>
      </c>
      <c r="P734" t="s">
        <v>705</v>
      </c>
      <c r="Q734" t="s">
        <v>4729</v>
      </c>
      <c r="R734" t="s">
        <v>4720</v>
      </c>
      <c r="S734" t="s">
        <v>4719</v>
      </c>
      <c r="T734">
        <f t="shared" si="22"/>
        <v>0</v>
      </c>
      <c r="U734" s="21">
        <f t="shared" si="23"/>
        <v>45067</v>
      </c>
    </row>
    <row r="735" spans="1:21" x14ac:dyDescent="0.35">
      <c r="A735" t="s">
        <v>700</v>
      </c>
      <c r="B735" t="s">
        <v>701</v>
      </c>
      <c r="C735" t="s">
        <v>30</v>
      </c>
      <c r="D735" t="s">
        <v>205</v>
      </c>
      <c r="E735" s="1">
        <v>23.34</v>
      </c>
      <c r="F735" t="s">
        <v>206</v>
      </c>
      <c r="G735">
        <v>80</v>
      </c>
      <c r="H735" s="1">
        <v>18.672000000000001</v>
      </c>
      <c r="I735" s="21">
        <v>45066</v>
      </c>
      <c r="J735" s="21">
        <v>45070</v>
      </c>
      <c r="K735" s="21">
        <v>45070</v>
      </c>
      <c r="L735" t="s">
        <v>238</v>
      </c>
      <c r="M735" t="s">
        <v>72</v>
      </c>
      <c r="N735" t="s">
        <v>73</v>
      </c>
      <c r="O735">
        <v>1</v>
      </c>
      <c r="P735" t="s">
        <v>702</v>
      </c>
      <c r="Q735" t="s">
        <v>4588</v>
      </c>
      <c r="R735" t="s">
        <v>4721</v>
      </c>
      <c r="S735" t="s">
        <v>4717</v>
      </c>
      <c r="T735">
        <f t="shared" si="22"/>
        <v>4</v>
      </c>
      <c r="U735" s="21">
        <f t="shared" si="23"/>
        <v>45070</v>
      </c>
    </row>
    <row r="736" spans="1:21" x14ac:dyDescent="0.35">
      <c r="A736" t="s">
        <v>3108</v>
      </c>
      <c r="B736" t="s">
        <v>3109</v>
      </c>
      <c r="C736" t="s">
        <v>19</v>
      </c>
      <c r="D736" t="s">
        <v>212</v>
      </c>
      <c r="E736" s="1">
        <v>197.05</v>
      </c>
      <c r="F736" t="s">
        <v>206</v>
      </c>
      <c r="G736">
        <v>100</v>
      </c>
      <c r="H736" s="1">
        <v>197.05</v>
      </c>
      <c r="I736" s="21">
        <v>45066</v>
      </c>
      <c r="J736" s="21">
        <v>45070</v>
      </c>
      <c r="K736" s="21">
        <v>45070</v>
      </c>
      <c r="L736" t="s">
        <v>220</v>
      </c>
      <c r="M736" t="s">
        <v>33</v>
      </c>
      <c r="N736" t="s">
        <v>34</v>
      </c>
      <c r="O736">
        <v>1</v>
      </c>
      <c r="P736" t="s">
        <v>3110</v>
      </c>
      <c r="Q736" t="s">
        <v>4531</v>
      </c>
      <c r="R736" t="s">
        <v>4726</v>
      </c>
      <c r="S736" t="s">
        <v>4717</v>
      </c>
      <c r="T736">
        <f t="shared" si="22"/>
        <v>4</v>
      </c>
      <c r="U736" s="21">
        <f t="shared" si="23"/>
        <v>45070</v>
      </c>
    </row>
    <row r="737" spans="1:21" x14ac:dyDescent="0.35">
      <c r="A737" t="s">
        <v>4073</v>
      </c>
      <c r="B737" t="s">
        <v>4074</v>
      </c>
      <c r="C737" t="s">
        <v>19</v>
      </c>
      <c r="D737" t="s">
        <v>212</v>
      </c>
      <c r="E737" s="1">
        <v>38.340000000000003</v>
      </c>
      <c r="F737" t="s">
        <v>206</v>
      </c>
      <c r="G737">
        <v>100</v>
      </c>
      <c r="H737" s="1">
        <v>38.340000000000003</v>
      </c>
      <c r="I737" s="21">
        <v>45066</v>
      </c>
      <c r="J737" s="21">
        <v>45071</v>
      </c>
      <c r="K737" s="21">
        <v>45071</v>
      </c>
      <c r="L737" t="s">
        <v>234</v>
      </c>
      <c r="M737" t="s">
        <v>97</v>
      </c>
      <c r="N737" t="s">
        <v>68</v>
      </c>
      <c r="O737">
        <v>1</v>
      </c>
      <c r="P737" t="s">
        <v>3581</v>
      </c>
      <c r="Q737" t="s">
        <v>4640</v>
      </c>
      <c r="R737" t="s">
        <v>4726</v>
      </c>
      <c r="S737" t="s">
        <v>4717</v>
      </c>
      <c r="T737">
        <f t="shared" si="22"/>
        <v>5</v>
      </c>
      <c r="U737" s="21">
        <f t="shared" si="23"/>
        <v>45071</v>
      </c>
    </row>
    <row r="738" spans="1:21" x14ac:dyDescent="0.35">
      <c r="A738" t="s">
        <v>1942</v>
      </c>
      <c r="B738" t="s">
        <v>1943</v>
      </c>
      <c r="C738" t="s">
        <v>30</v>
      </c>
      <c r="D738" t="s">
        <v>205</v>
      </c>
      <c r="E738" s="1">
        <v>179.97</v>
      </c>
      <c r="F738" t="s">
        <v>206</v>
      </c>
      <c r="G738">
        <v>80</v>
      </c>
      <c r="H738" s="1">
        <v>143.976</v>
      </c>
      <c r="I738" s="21">
        <v>45066</v>
      </c>
      <c r="J738" s="21">
        <v>45071</v>
      </c>
      <c r="K738" s="21">
        <v>45071</v>
      </c>
      <c r="L738" t="s">
        <v>220</v>
      </c>
      <c r="M738" t="s">
        <v>97</v>
      </c>
      <c r="N738" t="s">
        <v>68</v>
      </c>
      <c r="O738">
        <v>1</v>
      </c>
      <c r="P738" t="s">
        <v>1944</v>
      </c>
      <c r="Q738" t="s">
        <v>4513</v>
      </c>
      <c r="R738" t="s">
        <v>4713</v>
      </c>
      <c r="S738" t="s">
        <v>4719</v>
      </c>
      <c r="T738">
        <f t="shared" si="22"/>
        <v>5</v>
      </c>
      <c r="U738" s="21">
        <f t="shared" si="23"/>
        <v>45071</v>
      </c>
    </row>
    <row r="739" spans="1:21" x14ac:dyDescent="0.35">
      <c r="A739" t="s">
        <v>3102</v>
      </c>
      <c r="B739" t="s">
        <v>3103</v>
      </c>
      <c r="C739" t="s">
        <v>30</v>
      </c>
      <c r="D739" t="s">
        <v>21</v>
      </c>
      <c r="E739" s="1">
        <v>63.92199999999999</v>
      </c>
      <c r="F739" t="s">
        <v>22</v>
      </c>
      <c r="G739">
        <v>0</v>
      </c>
      <c r="H739" s="1">
        <v>0</v>
      </c>
      <c r="I739" s="21">
        <v>45064</v>
      </c>
      <c r="J739" s="21">
        <v>45067</v>
      </c>
      <c r="K739" s="21">
        <v>45067</v>
      </c>
      <c r="L739" t="s">
        <v>39</v>
      </c>
      <c r="M739" t="s">
        <v>54</v>
      </c>
      <c r="N739" t="s">
        <v>26</v>
      </c>
      <c r="O739">
        <v>1</v>
      </c>
      <c r="P739" t="s">
        <v>3104</v>
      </c>
      <c r="Q739" t="s">
        <v>4526</v>
      </c>
      <c r="R739" t="s">
        <v>4726</v>
      </c>
      <c r="S739" t="s">
        <v>4717</v>
      </c>
      <c r="T739">
        <f t="shared" si="22"/>
        <v>3</v>
      </c>
      <c r="U739" s="21">
        <f t="shared" si="23"/>
        <v>45067</v>
      </c>
    </row>
    <row r="740" spans="1:21" x14ac:dyDescent="0.35">
      <c r="A740" t="s">
        <v>3105</v>
      </c>
      <c r="B740" t="s">
        <v>3106</v>
      </c>
      <c r="C740" t="s">
        <v>19</v>
      </c>
      <c r="D740" t="s">
        <v>21</v>
      </c>
      <c r="E740" s="1">
        <v>253.03000000000003</v>
      </c>
      <c r="F740" t="s">
        <v>22</v>
      </c>
      <c r="G740">
        <v>0</v>
      </c>
      <c r="H740" s="1">
        <v>0</v>
      </c>
      <c r="I740" s="21">
        <v>45064</v>
      </c>
      <c r="J740" s="21">
        <v>45065</v>
      </c>
      <c r="K740" s="21">
        <v>45065</v>
      </c>
      <c r="L740" t="s">
        <v>53</v>
      </c>
      <c r="M740" t="s">
        <v>67</v>
      </c>
      <c r="N740" t="s">
        <v>68</v>
      </c>
      <c r="O740">
        <v>1</v>
      </c>
      <c r="P740" t="s">
        <v>3107</v>
      </c>
      <c r="Q740" t="s">
        <v>4546</v>
      </c>
      <c r="R740" t="s">
        <v>4726</v>
      </c>
      <c r="S740" t="s">
        <v>4717</v>
      </c>
      <c r="T740">
        <f t="shared" si="22"/>
        <v>1</v>
      </c>
      <c r="U740" s="21">
        <f t="shared" si="23"/>
        <v>45065</v>
      </c>
    </row>
    <row r="741" spans="1:21" x14ac:dyDescent="0.35">
      <c r="A741" t="s">
        <v>698</v>
      </c>
      <c r="B741" t="s">
        <v>699</v>
      </c>
      <c r="C741" t="s">
        <v>30</v>
      </c>
      <c r="D741" t="s">
        <v>212</v>
      </c>
      <c r="E741" s="1">
        <v>109.8</v>
      </c>
      <c r="F741" t="s">
        <v>206</v>
      </c>
      <c r="G741">
        <v>100</v>
      </c>
      <c r="H741" s="1">
        <v>109.8</v>
      </c>
      <c r="I741" s="21">
        <v>45063</v>
      </c>
      <c r="J741" s="21">
        <v>45070</v>
      </c>
      <c r="K741" s="21">
        <v>45070</v>
      </c>
      <c r="L741" t="s">
        <v>248</v>
      </c>
      <c r="M741" t="s">
        <v>67</v>
      </c>
      <c r="N741" t="s">
        <v>68</v>
      </c>
      <c r="O741">
        <v>1</v>
      </c>
      <c r="P741" t="s">
        <v>59</v>
      </c>
      <c r="Q741" t="s">
        <v>4518</v>
      </c>
      <c r="R741" t="s">
        <v>4721</v>
      </c>
      <c r="S741" t="s">
        <v>4718</v>
      </c>
      <c r="T741">
        <f t="shared" si="22"/>
        <v>7</v>
      </c>
      <c r="U741" s="21">
        <f t="shared" si="23"/>
        <v>45070</v>
      </c>
    </row>
    <row r="742" spans="1:21" x14ac:dyDescent="0.35">
      <c r="A742" t="s">
        <v>3099</v>
      </c>
      <c r="B742" t="s">
        <v>3100</v>
      </c>
      <c r="C742" t="s">
        <v>30</v>
      </c>
      <c r="D742" t="s">
        <v>212</v>
      </c>
      <c r="E742" s="1">
        <v>9.82</v>
      </c>
      <c r="F742" t="s">
        <v>206</v>
      </c>
      <c r="G742">
        <v>100</v>
      </c>
      <c r="H742" s="1">
        <v>9.82</v>
      </c>
      <c r="I742" s="21">
        <v>45063</v>
      </c>
      <c r="J742" s="21">
        <v>45068</v>
      </c>
      <c r="K742" s="21">
        <v>45068</v>
      </c>
      <c r="L742" t="s">
        <v>248</v>
      </c>
      <c r="M742" t="s">
        <v>33</v>
      </c>
      <c r="N742" t="s">
        <v>34</v>
      </c>
      <c r="O742">
        <v>1</v>
      </c>
      <c r="P742" t="s">
        <v>3101</v>
      </c>
      <c r="Q742" t="s">
        <v>4517</v>
      </c>
      <c r="R742" t="s">
        <v>4726</v>
      </c>
      <c r="S742" t="s">
        <v>4717</v>
      </c>
      <c r="T742">
        <f t="shared" si="22"/>
        <v>5</v>
      </c>
      <c r="U742" s="21">
        <f t="shared" si="23"/>
        <v>45068</v>
      </c>
    </row>
    <row r="743" spans="1:21" x14ac:dyDescent="0.35">
      <c r="A743" t="s">
        <v>695</v>
      </c>
      <c r="B743" t="s">
        <v>696</v>
      </c>
      <c r="C743" t="s">
        <v>19</v>
      </c>
      <c r="D743" t="s">
        <v>212</v>
      </c>
      <c r="E743" s="1">
        <v>635.96</v>
      </c>
      <c r="F743" t="s">
        <v>206</v>
      </c>
      <c r="G743">
        <v>100</v>
      </c>
      <c r="H743" s="1">
        <v>635.96</v>
      </c>
      <c r="I743" s="21">
        <v>45062</v>
      </c>
      <c r="J743" s="21">
        <v>45066</v>
      </c>
      <c r="K743" s="21">
        <v>45066</v>
      </c>
      <c r="L743" t="s">
        <v>213</v>
      </c>
      <c r="M743" t="s">
        <v>40</v>
      </c>
      <c r="N743" t="s">
        <v>34</v>
      </c>
      <c r="O743">
        <v>1</v>
      </c>
      <c r="P743" t="s">
        <v>697</v>
      </c>
      <c r="Q743" t="s">
        <v>4729</v>
      </c>
      <c r="R743" t="s">
        <v>4711</v>
      </c>
      <c r="S743" t="s">
        <v>4719</v>
      </c>
      <c r="T743">
        <f t="shared" si="22"/>
        <v>4</v>
      </c>
      <c r="U743" s="21">
        <f t="shared" si="23"/>
        <v>45066</v>
      </c>
    </row>
    <row r="744" spans="1:21" x14ac:dyDescent="0.35">
      <c r="A744" t="s">
        <v>3097</v>
      </c>
      <c r="B744" t="s">
        <v>3098</v>
      </c>
      <c r="C744" t="s">
        <v>30</v>
      </c>
      <c r="D744" t="s">
        <v>205</v>
      </c>
      <c r="E744" s="1">
        <v>272.94</v>
      </c>
      <c r="F744" t="s">
        <v>206</v>
      </c>
      <c r="G744">
        <v>80</v>
      </c>
      <c r="H744" s="1">
        <v>218.352</v>
      </c>
      <c r="I744" s="21">
        <v>45062</v>
      </c>
      <c r="J744" s="21">
        <v>45066</v>
      </c>
      <c r="K744" s="21">
        <v>45066</v>
      </c>
      <c r="L744" t="s">
        <v>213</v>
      </c>
      <c r="M744" t="s">
        <v>54</v>
      </c>
      <c r="N744" t="s">
        <v>26</v>
      </c>
      <c r="O744">
        <v>1</v>
      </c>
      <c r="P744" t="s">
        <v>309</v>
      </c>
      <c r="Q744" t="s">
        <v>4533</v>
      </c>
      <c r="R744" t="s">
        <v>4721</v>
      </c>
      <c r="S744" t="s">
        <v>4718</v>
      </c>
      <c r="T744">
        <f t="shared" si="22"/>
        <v>4</v>
      </c>
      <c r="U744" s="21">
        <f t="shared" si="23"/>
        <v>45066</v>
      </c>
    </row>
    <row r="745" spans="1:21" x14ac:dyDescent="0.35">
      <c r="A745" t="s">
        <v>692</v>
      </c>
      <c r="B745" t="s">
        <v>693</v>
      </c>
      <c r="C745" t="s">
        <v>30</v>
      </c>
      <c r="D745" t="s">
        <v>212</v>
      </c>
      <c r="E745" s="1">
        <v>118.99</v>
      </c>
      <c r="F745" t="s">
        <v>206</v>
      </c>
      <c r="G745">
        <v>100</v>
      </c>
      <c r="H745" s="1">
        <v>118.99</v>
      </c>
      <c r="I745" s="21">
        <v>45062</v>
      </c>
      <c r="J745" s="21">
        <v>45068</v>
      </c>
      <c r="K745" s="21">
        <v>45068</v>
      </c>
      <c r="L745" t="s">
        <v>248</v>
      </c>
      <c r="M745" t="s">
        <v>46</v>
      </c>
      <c r="N745" t="s">
        <v>47</v>
      </c>
      <c r="O745">
        <v>1</v>
      </c>
      <c r="P745" t="s">
        <v>694</v>
      </c>
      <c r="Q745" t="s">
        <v>4729</v>
      </c>
      <c r="R745" t="s">
        <v>4711</v>
      </c>
      <c r="S745" t="s">
        <v>4719</v>
      </c>
      <c r="T745">
        <f t="shared" si="22"/>
        <v>6</v>
      </c>
      <c r="U745" s="21">
        <f t="shared" si="23"/>
        <v>45068</v>
      </c>
    </row>
    <row r="746" spans="1:21" x14ac:dyDescent="0.35">
      <c r="A746" t="s">
        <v>3094</v>
      </c>
      <c r="B746" t="s">
        <v>3095</v>
      </c>
      <c r="C746" t="s">
        <v>19</v>
      </c>
      <c r="D746" t="s">
        <v>205</v>
      </c>
      <c r="E746" s="1">
        <v>283.14</v>
      </c>
      <c r="F746" t="s">
        <v>206</v>
      </c>
      <c r="G746">
        <v>80</v>
      </c>
      <c r="H746" s="1">
        <v>226.512</v>
      </c>
      <c r="I746" s="21">
        <v>45061</v>
      </c>
      <c r="J746" s="21">
        <v>45061</v>
      </c>
      <c r="K746" s="21">
        <v>45061</v>
      </c>
      <c r="L746" t="s">
        <v>213</v>
      </c>
      <c r="M746" t="s">
        <v>72</v>
      </c>
      <c r="N746" t="s">
        <v>73</v>
      </c>
      <c r="O746">
        <v>1</v>
      </c>
      <c r="P746" t="s">
        <v>3096</v>
      </c>
      <c r="Q746" t="s">
        <v>4578</v>
      </c>
      <c r="R746" t="s">
        <v>4727</v>
      </c>
      <c r="S746" t="s">
        <v>4719</v>
      </c>
      <c r="T746">
        <f t="shared" si="22"/>
        <v>0</v>
      </c>
      <c r="U746" s="21">
        <f t="shared" si="23"/>
        <v>45061</v>
      </c>
    </row>
    <row r="747" spans="1:21" x14ac:dyDescent="0.35">
      <c r="A747" t="s">
        <v>4071</v>
      </c>
      <c r="B747" t="s">
        <v>4072</v>
      </c>
      <c r="C747" t="s">
        <v>19</v>
      </c>
      <c r="D747" t="s">
        <v>205</v>
      </c>
      <c r="E747" s="1">
        <v>863.12800000000004</v>
      </c>
      <c r="F747" t="s">
        <v>206</v>
      </c>
      <c r="G747">
        <v>80</v>
      </c>
      <c r="H747" s="1">
        <v>690.50240000000008</v>
      </c>
      <c r="I747" s="21">
        <v>45061</v>
      </c>
      <c r="J747" s="21">
        <v>45061</v>
      </c>
      <c r="K747" s="21">
        <v>45061</v>
      </c>
      <c r="L747" t="s">
        <v>220</v>
      </c>
      <c r="M747" t="s">
        <v>146</v>
      </c>
      <c r="N747" t="s">
        <v>73</v>
      </c>
      <c r="O747">
        <v>1</v>
      </c>
      <c r="P747" t="s">
        <v>3797</v>
      </c>
      <c r="Q747" t="s">
        <v>4729</v>
      </c>
      <c r="R747" t="s">
        <v>4712</v>
      </c>
      <c r="S747" t="s">
        <v>4718</v>
      </c>
      <c r="T747">
        <f t="shared" si="22"/>
        <v>0</v>
      </c>
      <c r="U747" s="21">
        <f t="shared" si="23"/>
        <v>45061</v>
      </c>
    </row>
    <row r="748" spans="1:21" x14ac:dyDescent="0.35">
      <c r="A748" t="s">
        <v>1940</v>
      </c>
      <c r="B748" t="s">
        <v>1941</v>
      </c>
      <c r="C748" t="s">
        <v>30</v>
      </c>
      <c r="D748" t="s">
        <v>212</v>
      </c>
      <c r="E748" s="1">
        <v>24.7</v>
      </c>
      <c r="F748" t="s">
        <v>206</v>
      </c>
      <c r="G748">
        <v>100</v>
      </c>
      <c r="H748" s="1">
        <v>24.7</v>
      </c>
      <c r="I748" s="21">
        <v>45059</v>
      </c>
      <c r="J748" s="21">
        <v>45064</v>
      </c>
      <c r="K748" s="21">
        <v>45064</v>
      </c>
      <c r="L748" t="s">
        <v>220</v>
      </c>
      <c r="M748" t="s">
        <v>67</v>
      </c>
      <c r="N748" t="s">
        <v>68</v>
      </c>
      <c r="O748">
        <v>1</v>
      </c>
      <c r="P748" t="s">
        <v>1088</v>
      </c>
      <c r="Q748" t="s">
        <v>4533</v>
      </c>
      <c r="R748" t="s">
        <v>4721</v>
      </c>
      <c r="S748" t="s">
        <v>4718</v>
      </c>
      <c r="T748">
        <f t="shared" si="22"/>
        <v>5</v>
      </c>
      <c r="U748" s="21">
        <f t="shared" si="23"/>
        <v>45064</v>
      </c>
    </row>
    <row r="749" spans="1:21" x14ac:dyDescent="0.35">
      <c r="A749" t="s">
        <v>3091</v>
      </c>
      <c r="B749" t="s">
        <v>3092</v>
      </c>
      <c r="C749" t="s">
        <v>30</v>
      </c>
      <c r="D749" t="s">
        <v>212</v>
      </c>
      <c r="E749" s="1">
        <v>86.2</v>
      </c>
      <c r="F749" t="s">
        <v>206</v>
      </c>
      <c r="G749">
        <v>100</v>
      </c>
      <c r="H749" s="1">
        <v>86.2</v>
      </c>
      <c r="I749" s="21">
        <v>45059</v>
      </c>
      <c r="J749" s="21">
        <v>45063</v>
      </c>
      <c r="K749" s="21">
        <v>45063</v>
      </c>
      <c r="L749" t="s">
        <v>248</v>
      </c>
      <c r="M749" t="s">
        <v>25</v>
      </c>
      <c r="N749" t="s">
        <v>26</v>
      </c>
      <c r="O749">
        <v>1</v>
      </c>
      <c r="P749" t="s">
        <v>3093</v>
      </c>
      <c r="Q749" t="s">
        <v>4532</v>
      </c>
      <c r="R749" t="s">
        <v>4726</v>
      </c>
      <c r="S749" t="s">
        <v>4717</v>
      </c>
      <c r="T749">
        <f t="shared" si="22"/>
        <v>4</v>
      </c>
      <c r="U749" s="21">
        <f t="shared" si="23"/>
        <v>45063</v>
      </c>
    </row>
    <row r="750" spans="1:21" x14ac:dyDescent="0.35">
      <c r="A750" t="s">
        <v>1937</v>
      </c>
      <c r="B750" t="s">
        <v>1938</v>
      </c>
      <c r="C750" t="s">
        <v>19</v>
      </c>
      <c r="D750" t="s">
        <v>205</v>
      </c>
      <c r="E750" s="1">
        <v>1036.624</v>
      </c>
      <c r="F750" t="s">
        <v>206</v>
      </c>
      <c r="G750">
        <v>80</v>
      </c>
      <c r="H750" s="1">
        <v>829.29920000000004</v>
      </c>
      <c r="I750" s="21">
        <v>45059</v>
      </c>
      <c r="J750" s="21">
        <v>45064</v>
      </c>
      <c r="K750" s="21">
        <v>45064</v>
      </c>
      <c r="L750" t="s">
        <v>213</v>
      </c>
      <c r="M750" t="s">
        <v>82</v>
      </c>
      <c r="N750" t="s">
        <v>47</v>
      </c>
      <c r="O750">
        <v>1</v>
      </c>
      <c r="P750" t="s">
        <v>1939</v>
      </c>
      <c r="Q750" t="s">
        <v>4729</v>
      </c>
      <c r="R750" t="s">
        <v>4721</v>
      </c>
      <c r="S750" t="s">
        <v>4717</v>
      </c>
      <c r="T750">
        <f t="shared" si="22"/>
        <v>5</v>
      </c>
      <c r="U750" s="21">
        <f t="shared" si="23"/>
        <v>45064</v>
      </c>
    </row>
    <row r="751" spans="1:21" x14ac:dyDescent="0.35">
      <c r="A751" t="s">
        <v>689</v>
      </c>
      <c r="B751" t="s">
        <v>690</v>
      </c>
      <c r="C751" t="s">
        <v>19</v>
      </c>
      <c r="D751" t="s">
        <v>212</v>
      </c>
      <c r="E751" s="1">
        <v>20.936</v>
      </c>
      <c r="F751" t="s">
        <v>206</v>
      </c>
      <c r="G751">
        <v>100</v>
      </c>
      <c r="H751" s="1">
        <v>20.936</v>
      </c>
      <c r="I751" s="21">
        <v>45058</v>
      </c>
      <c r="J751" s="21">
        <v>45059</v>
      </c>
      <c r="K751" s="21">
        <v>45059</v>
      </c>
      <c r="L751" t="s">
        <v>220</v>
      </c>
      <c r="M751" t="s">
        <v>97</v>
      </c>
      <c r="N751" t="s">
        <v>68</v>
      </c>
      <c r="O751">
        <v>1</v>
      </c>
      <c r="P751" t="s">
        <v>691</v>
      </c>
      <c r="Q751" t="s">
        <v>4729</v>
      </c>
      <c r="R751" t="s">
        <v>4512</v>
      </c>
      <c r="S751" t="s">
        <v>4717</v>
      </c>
      <c r="T751">
        <f t="shared" si="22"/>
        <v>1</v>
      </c>
      <c r="U751" s="21">
        <f t="shared" si="23"/>
        <v>45059</v>
      </c>
    </row>
    <row r="752" spans="1:21" x14ac:dyDescent="0.35">
      <c r="A752" t="s">
        <v>1934</v>
      </c>
      <c r="B752" t="s">
        <v>1935</v>
      </c>
      <c r="C752" t="s">
        <v>19</v>
      </c>
      <c r="D752" t="s">
        <v>205</v>
      </c>
      <c r="E752" s="1">
        <v>65.5</v>
      </c>
      <c r="F752" t="s">
        <v>206</v>
      </c>
      <c r="G752">
        <v>80</v>
      </c>
      <c r="H752" s="1">
        <v>52.400000000000006</v>
      </c>
      <c r="I752" s="21">
        <v>45057</v>
      </c>
      <c r="J752" s="21">
        <v>45060</v>
      </c>
      <c r="K752" s="21">
        <v>45060</v>
      </c>
      <c r="L752" t="s">
        <v>207</v>
      </c>
      <c r="M752" t="s">
        <v>40</v>
      </c>
      <c r="N752" t="s">
        <v>34</v>
      </c>
      <c r="O752">
        <v>1</v>
      </c>
      <c r="P752" t="s">
        <v>1936</v>
      </c>
      <c r="Q752" t="s">
        <v>4518</v>
      </c>
      <c r="R752" t="s">
        <v>4721</v>
      </c>
      <c r="S752" t="s">
        <v>4717</v>
      </c>
      <c r="T752">
        <f t="shared" si="22"/>
        <v>3</v>
      </c>
      <c r="U752" s="21">
        <f t="shared" si="23"/>
        <v>45060</v>
      </c>
    </row>
    <row r="753" spans="1:21" x14ac:dyDescent="0.35">
      <c r="A753" t="s">
        <v>686</v>
      </c>
      <c r="B753" t="s">
        <v>687</v>
      </c>
      <c r="C753" t="s">
        <v>30</v>
      </c>
      <c r="D753" t="s">
        <v>212</v>
      </c>
      <c r="E753" s="1">
        <v>11.415999999999899</v>
      </c>
      <c r="F753" t="s">
        <v>206</v>
      </c>
      <c r="G753">
        <v>100</v>
      </c>
      <c r="H753" s="1">
        <v>11.415999999999899</v>
      </c>
      <c r="I753" s="21">
        <v>45057</v>
      </c>
      <c r="J753" s="21">
        <v>45062</v>
      </c>
      <c r="K753" s="21">
        <v>45062</v>
      </c>
      <c r="L753" t="s">
        <v>213</v>
      </c>
      <c r="M753" t="s">
        <v>67</v>
      </c>
      <c r="N753" t="s">
        <v>68</v>
      </c>
      <c r="O753">
        <v>1</v>
      </c>
      <c r="P753" t="s">
        <v>688</v>
      </c>
      <c r="Q753" t="s">
        <v>4528</v>
      </c>
      <c r="R753" t="s">
        <v>4726</v>
      </c>
      <c r="S753" t="s">
        <v>4717</v>
      </c>
      <c r="T753">
        <f t="shared" si="22"/>
        <v>5</v>
      </c>
      <c r="U753" s="21">
        <f t="shared" si="23"/>
        <v>45062</v>
      </c>
    </row>
    <row r="754" spans="1:21" x14ac:dyDescent="0.35">
      <c r="A754" t="s">
        <v>3088</v>
      </c>
      <c r="B754" t="s">
        <v>3089</v>
      </c>
      <c r="C754" t="s">
        <v>19</v>
      </c>
      <c r="D754" t="s">
        <v>212</v>
      </c>
      <c r="E754" s="1">
        <v>2430.08</v>
      </c>
      <c r="F754" t="s">
        <v>206</v>
      </c>
      <c r="G754">
        <v>100</v>
      </c>
      <c r="H754" s="1">
        <v>2430.08</v>
      </c>
      <c r="I754" s="21">
        <v>45057</v>
      </c>
      <c r="J754" s="21">
        <v>45063</v>
      </c>
      <c r="K754" s="21">
        <v>45063</v>
      </c>
      <c r="L754" t="s">
        <v>248</v>
      </c>
      <c r="M754" t="s">
        <v>25</v>
      </c>
      <c r="N754" t="s">
        <v>26</v>
      </c>
      <c r="O754">
        <v>1</v>
      </c>
      <c r="P754" t="s">
        <v>3090</v>
      </c>
      <c r="Q754" t="s">
        <v>4729</v>
      </c>
      <c r="R754" t="s">
        <v>4721</v>
      </c>
      <c r="S754" t="s">
        <v>4717</v>
      </c>
      <c r="T754">
        <f t="shared" si="22"/>
        <v>6</v>
      </c>
      <c r="U754" s="21">
        <f t="shared" si="23"/>
        <v>45063</v>
      </c>
    </row>
    <row r="755" spans="1:21" x14ac:dyDescent="0.35">
      <c r="A755" t="s">
        <v>1932</v>
      </c>
      <c r="B755" t="s">
        <v>1933</v>
      </c>
      <c r="C755" t="s">
        <v>19</v>
      </c>
      <c r="D755" t="s">
        <v>205</v>
      </c>
      <c r="E755" s="1">
        <v>6.2640000000000002</v>
      </c>
      <c r="F755" t="s">
        <v>206</v>
      </c>
      <c r="G755">
        <v>80</v>
      </c>
      <c r="H755" s="1">
        <v>5.0112000000000005</v>
      </c>
      <c r="I755" s="21">
        <v>45056</v>
      </c>
      <c r="J755" s="21">
        <v>45059</v>
      </c>
      <c r="K755" s="21">
        <v>45059</v>
      </c>
      <c r="L755" t="s">
        <v>248</v>
      </c>
      <c r="M755" t="s">
        <v>67</v>
      </c>
      <c r="N755" t="s">
        <v>68</v>
      </c>
      <c r="O755">
        <v>1</v>
      </c>
      <c r="P755" t="s">
        <v>1570</v>
      </c>
      <c r="Q755" t="s">
        <v>4517</v>
      </c>
      <c r="R755" t="s">
        <v>4726</v>
      </c>
      <c r="S755" t="s">
        <v>4717</v>
      </c>
      <c r="T755">
        <f t="shared" si="22"/>
        <v>3</v>
      </c>
      <c r="U755" s="21">
        <f t="shared" si="23"/>
        <v>45059</v>
      </c>
    </row>
    <row r="756" spans="1:21" x14ac:dyDescent="0.35">
      <c r="A756" t="s">
        <v>683</v>
      </c>
      <c r="B756" t="s">
        <v>684</v>
      </c>
      <c r="C756" t="s">
        <v>30</v>
      </c>
      <c r="D756" t="s">
        <v>205</v>
      </c>
      <c r="E756" s="1">
        <v>35.216000000000001</v>
      </c>
      <c r="F756" t="s">
        <v>206</v>
      </c>
      <c r="G756">
        <v>80</v>
      </c>
      <c r="H756" s="1">
        <v>28.172800000000002</v>
      </c>
      <c r="I756" s="21">
        <v>45056</v>
      </c>
      <c r="J756" s="21">
        <v>45061</v>
      </c>
      <c r="K756" s="21">
        <v>45061</v>
      </c>
      <c r="L756" t="s">
        <v>220</v>
      </c>
      <c r="M756" t="s">
        <v>82</v>
      </c>
      <c r="N756" t="s">
        <v>47</v>
      </c>
      <c r="O756">
        <v>1</v>
      </c>
      <c r="P756" t="s">
        <v>685</v>
      </c>
      <c r="Q756" t="s">
        <v>4531</v>
      </c>
      <c r="R756" t="s">
        <v>4726</v>
      </c>
      <c r="S756" t="s">
        <v>4717</v>
      </c>
      <c r="T756">
        <f t="shared" si="22"/>
        <v>5</v>
      </c>
      <c r="U756" s="21">
        <f t="shared" si="23"/>
        <v>45061</v>
      </c>
    </row>
    <row r="757" spans="1:21" x14ac:dyDescent="0.35">
      <c r="A757" t="s">
        <v>3084</v>
      </c>
      <c r="B757" t="s">
        <v>3085</v>
      </c>
      <c r="C757" t="s">
        <v>30</v>
      </c>
      <c r="D757" t="s">
        <v>212</v>
      </c>
      <c r="E757" s="1">
        <v>11.648</v>
      </c>
      <c r="F757" t="s">
        <v>206</v>
      </c>
      <c r="G757">
        <v>100</v>
      </c>
      <c r="H757" s="1">
        <v>11.648</v>
      </c>
      <c r="I757" s="21">
        <v>45056</v>
      </c>
      <c r="J757" s="21">
        <v>45061</v>
      </c>
      <c r="K757" s="21">
        <v>45061</v>
      </c>
      <c r="L757" t="s">
        <v>213</v>
      </c>
      <c r="M757" t="s">
        <v>25</v>
      </c>
      <c r="N757" t="s">
        <v>26</v>
      </c>
      <c r="O757">
        <v>1</v>
      </c>
      <c r="P757" t="s">
        <v>1798</v>
      </c>
      <c r="Q757" t="s">
        <v>4729</v>
      </c>
      <c r="R757" t="s">
        <v>4721</v>
      </c>
      <c r="S757" t="s">
        <v>4718</v>
      </c>
      <c r="T757">
        <f t="shared" si="22"/>
        <v>5</v>
      </c>
      <c r="U757" s="21">
        <f t="shared" si="23"/>
        <v>45061</v>
      </c>
    </row>
    <row r="758" spans="1:21" x14ac:dyDescent="0.35">
      <c r="A758" t="s">
        <v>3082</v>
      </c>
      <c r="B758" t="s">
        <v>3083</v>
      </c>
      <c r="C758" t="s">
        <v>30</v>
      </c>
      <c r="D758" t="s">
        <v>205</v>
      </c>
      <c r="E758" s="1">
        <v>245.94</v>
      </c>
      <c r="F758" t="s">
        <v>206</v>
      </c>
      <c r="G758">
        <v>80</v>
      </c>
      <c r="H758" s="1">
        <v>196.75200000000001</v>
      </c>
      <c r="I758" s="21">
        <v>45056</v>
      </c>
      <c r="J758" s="21">
        <v>45060</v>
      </c>
      <c r="K758" s="21">
        <v>45060</v>
      </c>
      <c r="L758" t="s">
        <v>238</v>
      </c>
      <c r="M758" t="s">
        <v>46</v>
      </c>
      <c r="N758" t="s">
        <v>47</v>
      </c>
      <c r="O758">
        <v>1</v>
      </c>
      <c r="P758" t="s">
        <v>1107</v>
      </c>
      <c r="Q758" t="s">
        <v>4519</v>
      </c>
      <c r="R758" t="s">
        <v>4726</v>
      </c>
      <c r="S758" t="s">
        <v>4717</v>
      </c>
      <c r="T758">
        <f t="shared" si="22"/>
        <v>4</v>
      </c>
      <c r="U758" s="21">
        <f t="shared" si="23"/>
        <v>45060</v>
      </c>
    </row>
    <row r="759" spans="1:21" x14ac:dyDescent="0.35">
      <c r="A759" t="s">
        <v>3086</v>
      </c>
      <c r="B759" t="s">
        <v>3087</v>
      </c>
      <c r="C759" t="s">
        <v>30</v>
      </c>
      <c r="D759" t="s">
        <v>212</v>
      </c>
      <c r="E759" s="1">
        <v>51.84</v>
      </c>
      <c r="F759" t="s">
        <v>206</v>
      </c>
      <c r="G759">
        <v>100</v>
      </c>
      <c r="H759" s="1">
        <v>51.84</v>
      </c>
      <c r="I759" s="21">
        <v>45056</v>
      </c>
      <c r="J759" s="21">
        <v>45060</v>
      </c>
      <c r="K759" s="21">
        <v>45060</v>
      </c>
      <c r="L759" t="s">
        <v>234</v>
      </c>
      <c r="M759" t="s">
        <v>54</v>
      </c>
      <c r="N759" t="s">
        <v>26</v>
      </c>
      <c r="O759">
        <v>1</v>
      </c>
      <c r="P759" t="s">
        <v>1071</v>
      </c>
      <c r="Q759" t="s">
        <v>4519</v>
      </c>
      <c r="R759" t="s">
        <v>4726</v>
      </c>
      <c r="S759" t="s">
        <v>4717</v>
      </c>
      <c r="T759">
        <f t="shared" si="22"/>
        <v>4</v>
      </c>
      <c r="U759" s="21">
        <f t="shared" si="23"/>
        <v>45060</v>
      </c>
    </row>
    <row r="760" spans="1:21" x14ac:dyDescent="0.35">
      <c r="A760" t="s">
        <v>3079</v>
      </c>
      <c r="B760" t="s">
        <v>3080</v>
      </c>
      <c r="C760" t="s">
        <v>30</v>
      </c>
      <c r="D760" t="s">
        <v>205</v>
      </c>
      <c r="E760" s="1">
        <v>854.35199999999998</v>
      </c>
      <c r="F760" t="s">
        <v>206</v>
      </c>
      <c r="G760">
        <v>80</v>
      </c>
      <c r="H760" s="1">
        <v>683.48160000000007</v>
      </c>
      <c r="I760" s="21">
        <v>45055</v>
      </c>
      <c r="J760" s="21">
        <v>45057</v>
      </c>
      <c r="K760" s="21">
        <v>45057</v>
      </c>
      <c r="L760" t="s">
        <v>234</v>
      </c>
      <c r="M760" t="s">
        <v>146</v>
      </c>
      <c r="N760" t="s">
        <v>73</v>
      </c>
      <c r="O760">
        <v>1</v>
      </c>
      <c r="P760" t="s">
        <v>3081</v>
      </c>
      <c r="Q760" t="s">
        <v>4729</v>
      </c>
      <c r="R760" t="s">
        <v>4714</v>
      </c>
      <c r="S760" t="s">
        <v>4718</v>
      </c>
      <c r="T760">
        <f t="shared" si="22"/>
        <v>2</v>
      </c>
      <c r="U760" s="21">
        <f t="shared" si="23"/>
        <v>45057</v>
      </c>
    </row>
    <row r="761" spans="1:21" x14ac:dyDescent="0.35">
      <c r="A761" t="s">
        <v>4068</v>
      </c>
      <c r="B761" t="s">
        <v>4069</v>
      </c>
      <c r="C761" t="s">
        <v>19</v>
      </c>
      <c r="D761" t="s">
        <v>205</v>
      </c>
      <c r="E761" s="1">
        <v>593.56799999999998</v>
      </c>
      <c r="F761" t="s">
        <v>206</v>
      </c>
      <c r="G761">
        <v>80</v>
      </c>
      <c r="H761" s="1">
        <v>474.8544</v>
      </c>
      <c r="I761" s="21">
        <v>45055</v>
      </c>
      <c r="J761" s="21">
        <v>45060</v>
      </c>
      <c r="K761" s="21">
        <v>45060</v>
      </c>
      <c r="L761" t="s">
        <v>248</v>
      </c>
      <c r="M761" t="s">
        <v>72</v>
      </c>
      <c r="N761" t="s">
        <v>73</v>
      </c>
      <c r="O761">
        <v>1</v>
      </c>
      <c r="P761" t="s">
        <v>4070</v>
      </c>
      <c r="Q761" t="s">
        <v>4658</v>
      </c>
      <c r="R761" t="s">
        <v>4721</v>
      </c>
      <c r="S761" t="s">
        <v>4718</v>
      </c>
      <c r="T761">
        <f t="shared" si="22"/>
        <v>5</v>
      </c>
      <c r="U761" s="21">
        <f t="shared" si="23"/>
        <v>45060</v>
      </c>
    </row>
    <row r="762" spans="1:21" x14ac:dyDescent="0.35">
      <c r="A762" t="s">
        <v>4066</v>
      </c>
      <c r="B762" t="s">
        <v>4067</v>
      </c>
      <c r="C762" t="s">
        <v>19</v>
      </c>
      <c r="D762" t="s">
        <v>212</v>
      </c>
      <c r="E762" s="1">
        <v>45.96</v>
      </c>
      <c r="F762" t="s">
        <v>206</v>
      </c>
      <c r="G762">
        <v>100</v>
      </c>
      <c r="H762" s="1">
        <v>45.96</v>
      </c>
      <c r="I762" s="21">
        <v>45053</v>
      </c>
      <c r="J762" s="21">
        <v>45057</v>
      </c>
      <c r="K762" s="21">
        <v>45057</v>
      </c>
      <c r="L762" t="s">
        <v>248</v>
      </c>
      <c r="M762" t="s">
        <v>54</v>
      </c>
      <c r="N762" t="s">
        <v>26</v>
      </c>
      <c r="O762">
        <v>1</v>
      </c>
      <c r="P762" t="s">
        <v>3636</v>
      </c>
      <c r="Q762" t="s">
        <v>4545</v>
      </c>
      <c r="R762" t="s">
        <v>4710</v>
      </c>
      <c r="S762" t="s">
        <v>4717</v>
      </c>
      <c r="T762">
        <f t="shared" si="22"/>
        <v>4</v>
      </c>
      <c r="U762" s="21">
        <f t="shared" si="23"/>
        <v>45057</v>
      </c>
    </row>
    <row r="763" spans="1:21" x14ac:dyDescent="0.35">
      <c r="A763" t="s">
        <v>3076</v>
      </c>
      <c r="B763" t="s">
        <v>3077</v>
      </c>
      <c r="C763" t="s">
        <v>30</v>
      </c>
      <c r="D763" t="s">
        <v>212</v>
      </c>
      <c r="E763" s="1">
        <v>18.495999999999999</v>
      </c>
      <c r="F763" t="s">
        <v>206</v>
      </c>
      <c r="G763">
        <v>100</v>
      </c>
      <c r="H763" s="1">
        <v>18.495999999999999</v>
      </c>
      <c r="I763" s="21">
        <v>45053</v>
      </c>
      <c r="J763" s="21">
        <v>45055</v>
      </c>
      <c r="K763" s="21">
        <v>45055</v>
      </c>
      <c r="L763" t="s">
        <v>220</v>
      </c>
      <c r="M763" t="s">
        <v>67</v>
      </c>
      <c r="N763" t="s">
        <v>68</v>
      </c>
      <c r="O763">
        <v>1</v>
      </c>
      <c r="P763" t="s">
        <v>3078</v>
      </c>
      <c r="Q763" t="s">
        <v>4519</v>
      </c>
      <c r="R763" t="s">
        <v>4726</v>
      </c>
      <c r="S763" t="s">
        <v>4717</v>
      </c>
      <c r="T763">
        <f t="shared" si="22"/>
        <v>2</v>
      </c>
      <c r="U763" s="21">
        <f t="shared" si="23"/>
        <v>45055</v>
      </c>
    </row>
    <row r="764" spans="1:21" x14ac:dyDescent="0.35">
      <c r="A764" t="s">
        <v>4064</v>
      </c>
      <c r="B764" t="s">
        <v>4065</v>
      </c>
      <c r="C764" t="s">
        <v>19</v>
      </c>
      <c r="D764" t="s">
        <v>212</v>
      </c>
      <c r="E764" s="1">
        <v>242.94</v>
      </c>
      <c r="F764" t="s">
        <v>206</v>
      </c>
      <c r="G764">
        <v>100</v>
      </c>
      <c r="H764" s="1">
        <v>242.94</v>
      </c>
      <c r="I764" s="21">
        <v>45052</v>
      </c>
      <c r="J764" s="21">
        <v>45054</v>
      </c>
      <c r="K764" s="21">
        <v>45054</v>
      </c>
      <c r="L764" t="s">
        <v>234</v>
      </c>
      <c r="M764" t="s">
        <v>72</v>
      </c>
      <c r="N764" t="s">
        <v>73</v>
      </c>
      <c r="O764">
        <v>1</v>
      </c>
      <c r="P764" t="s">
        <v>1164</v>
      </c>
      <c r="Q764" t="s">
        <v>4577</v>
      </c>
      <c r="R764" t="s">
        <v>4709</v>
      </c>
      <c r="S764" t="s">
        <v>4718</v>
      </c>
      <c r="T764">
        <f t="shared" si="22"/>
        <v>2</v>
      </c>
      <c r="U764" s="21">
        <f t="shared" si="23"/>
        <v>45054</v>
      </c>
    </row>
    <row r="765" spans="1:21" x14ac:dyDescent="0.35">
      <c r="A765" t="s">
        <v>680</v>
      </c>
      <c r="B765" t="s">
        <v>681</v>
      </c>
      <c r="C765" t="s">
        <v>19</v>
      </c>
      <c r="D765" t="s">
        <v>21</v>
      </c>
      <c r="E765" s="1">
        <v>305.49600000000004</v>
      </c>
      <c r="F765" t="s">
        <v>22</v>
      </c>
      <c r="G765">
        <v>0</v>
      </c>
      <c r="H765" s="1">
        <v>0</v>
      </c>
      <c r="I765" s="21">
        <v>45052</v>
      </c>
      <c r="J765" s="21">
        <v>45055</v>
      </c>
      <c r="K765" s="21">
        <v>45055</v>
      </c>
      <c r="L765" t="s">
        <v>63</v>
      </c>
      <c r="M765" t="s">
        <v>46</v>
      </c>
      <c r="N765" t="s">
        <v>47</v>
      </c>
      <c r="O765">
        <v>1</v>
      </c>
      <c r="P765" t="s">
        <v>682</v>
      </c>
      <c r="Q765" t="s">
        <v>4527</v>
      </c>
      <c r="R765" t="s">
        <v>4726</v>
      </c>
      <c r="S765" t="s">
        <v>4717</v>
      </c>
      <c r="T765">
        <f t="shared" si="22"/>
        <v>3</v>
      </c>
      <c r="U765" s="21">
        <f t="shared" si="23"/>
        <v>45055</v>
      </c>
    </row>
    <row r="766" spans="1:21" x14ac:dyDescent="0.35">
      <c r="A766" t="s">
        <v>3070</v>
      </c>
      <c r="B766" t="s">
        <v>3071</v>
      </c>
      <c r="C766" t="s">
        <v>30</v>
      </c>
      <c r="D766" t="s">
        <v>212</v>
      </c>
      <c r="E766" s="1">
        <v>77.879999999999896</v>
      </c>
      <c r="F766" t="s">
        <v>206</v>
      </c>
      <c r="G766">
        <v>100</v>
      </c>
      <c r="H766" s="1">
        <v>77.879999999999896</v>
      </c>
      <c r="I766" s="21">
        <v>45052</v>
      </c>
      <c r="J766" s="21">
        <v>45055</v>
      </c>
      <c r="K766" s="21">
        <v>45055</v>
      </c>
      <c r="L766" t="s">
        <v>213</v>
      </c>
      <c r="M766" t="s">
        <v>25</v>
      </c>
      <c r="N766" t="s">
        <v>26</v>
      </c>
      <c r="O766">
        <v>1</v>
      </c>
      <c r="P766" t="s">
        <v>3072</v>
      </c>
      <c r="Q766" t="s">
        <v>4533</v>
      </c>
      <c r="R766" t="s">
        <v>4709</v>
      </c>
      <c r="S766" t="s">
        <v>4717</v>
      </c>
      <c r="T766">
        <f t="shared" si="22"/>
        <v>3</v>
      </c>
      <c r="U766" s="21">
        <f t="shared" si="23"/>
        <v>45055</v>
      </c>
    </row>
    <row r="767" spans="1:21" x14ac:dyDescent="0.35">
      <c r="A767" t="s">
        <v>1930</v>
      </c>
      <c r="B767" t="s">
        <v>1931</v>
      </c>
      <c r="C767" t="s">
        <v>30</v>
      </c>
      <c r="D767" t="s">
        <v>21</v>
      </c>
      <c r="E767" s="1">
        <v>1691.6080000000002</v>
      </c>
      <c r="F767" t="s">
        <v>22</v>
      </c>
      <c r="G767">
        <v>0</v>
      </c>
      <c r="H767" s="1">
        <v>0</v>
      </c>
      <c r="I767" s="21">
        <v>45052</v>
      </c>
      <c r="J767" s="21">
        <v>45053</v>
      </c>
      <c r="K767" s="21">
        <v>45053</v>
      </c>
      <c r="L767" t="s">
        <v>53</v>
      </c>
      <c r="M767" t="s">
        <v>67</v>
      </c>
      <c r="N767" t="s">
        <v>68</v>
      </c>
      <c r="O767">
        <v>1</v>
      </c>
      <c r="P767" t="s">
        <v>664</v>
      </c>
      <c r="Q767" t="s">
        <v>4567</v>
      </c>
      <c r="R767" t="s">
        <v>4712</v>
      </c>
      <c r="S767" t="s">
        <v>4718</v>
      </c>
      <c r="T767">
        <f t="shared" si="22"/>
        <v>1</v>
      </c>
      <c r="U767" s="21">
        <f t="shared" si="23"/>
        <v>45053</v>
      </c>
    </row>
    <row r="768" spans="1:21" x14ac:dyDescent="0.35">
      <c r="A768" t="s">
        <v>3073</v>
      </c>
      <c r="B768" t="s">
        <v>3074</v>
      </c>
      <c r="C768" t="s">
        <v>30</v>
      </c>
      <c r="D768" t="s">
        <v>212</v>
      </c>
      <c r="E768" s="1">
        <v>55.991999999999997</v>
      </c>
      <c r="F768" t="s">
        <v>206</v>
      </c>
      <c r="G768">
        <v>100</v>
      </c>
      <c r="H768" s="1">
        <v>55.991999999999997</v>
      </c>
      <c r="I768" s="21">
        <v>45052</v>
      </c>
      <c r="J768" s="21">
        <v>45056</v>
      </c>
      <c r="K768" s="21">
        <v>45056</v>
      </c>
      <c r="L768" t="s">
        <v>213</v>
      </c>
      <c r="M768" t="s">
        <v>54</v>
      </c>
      <c r="N768" t="s">
        <v>26</v>
      </c>
      <c r="O768">
        <v>1</v>
      </c>
      <c r="P768" t="s">
        <v>3075</v>
      </c>
      <c r="Q768" t="s">
        <v>4729</v>
      </c>
      <c r="R768" t="s">
        <v>4711</v>
      </c>
      <c r="S768" t="s">
        <v>4719</v>
      </c>
      <c r="T768">
        <f t="shared" si="22"/>
        <v>4</v>
      </c>
      <c r="U768" s="21">
        <f t="shared" si="23"/>
        <v>45056</v>
      </c>
    </row>
    <row r="769" spans="1:21" x14ac:dyDescent="0.35">
      <c r="A769" t="s">
        <v>4061</v>
      </c>
      <c r="B769" t="s">
        <v>4062</v>
      </c>
      <c r="C769" t="s">
        <v>19</v>
      </c>
      <c r="D769" t="s">
        <v>212</v>
      </c>
      <c r="E769" s="1">
        <v>265.17</v>
      </c>
      <c r="F769" t="s">
        <v>206</v>
      </c>
      <c r="G769">
        <v>100</v>
      </c>
      <c r="H769" s="1">
        <v>265.17</v>
      </c>
      <c r="I769" s="21">
        <v>45052</v>
      </c>
      <c r="J769" s="21">
        <v>45054</v>
      </c>
      <c r="K769" s="21">
        <v>45054</v>
      </c>
      <c r="L769" t="s">
        <v>213</v>
      </c>
      <c r="M769" t="s">
        <v>33</v>
      </c>
      <c r="N769" t="s">
        <v>34</v>
      </c>
      <c r="O769">
        <v>1</v>
      </c>
      <c r="P769" t="s">
        <v>4063</v>
      </c>
      <c r="Q769" t="s">
        <v>4729</v>
      </c>
      <c r="R769" t="s">
        <v>4709</v>
      </c>
      <c r="S769" t="s">
        <v>4717</v>
      </c>
      <c r="T769">
        <f t="shared" si="22"/>
        <v>2</v>
      </c>
      <c r="U769" s="21">
        <f t="shared" si="23"/>
        <v>45054</v>
      </c>
    </row>
    <row r="770" spans="1:21" x14ac:dyDescent="0.35">
      <c r="A770" t="s">
        <v>3067</v>
      </c>
      <c r="B770" t="s">
        <v>3068</v>
      </c>
      <c r="C770" t="s">
        <v>30</v>
      </c>
      <c r="D770" t="s">
        <v>21</v>
      </c>
      <c r="E770" s="1">
        <v>1043.0410000000002</v>
      </c>
      <c r="F770" t="s">
        <v>22</v>
      </c>
      <c r="G770">
        <v>0</v>
      </c>
      <c r="H770" s="1">
        <v>0</v>
      </c>
      <c r="I770" s="21">
        <v>45050</v>
      </c>
      <c r="J770" s="21">
        <v>45052</v>
      </c>
      <c r="K770" s="21">
        <v>45052</v>
      </c>
      <c r="L770" t="s">
        <v>39</v>
      </c>
      <c r="M770" t="s">
        <v>46</v>
      </c>
      <c r="N770" t="s">
        <v>47</v>
      </c>
      <c r="O770">
        <v>1</v>
      </c>
      <c r="P770" t="s">
        <v>3069</v>
      </c>
      <c r="Q770" t="s">
        <v>4778</v>
      </c>
      <c r="R770" t="s">
        <v>4713</v>
      </c>
      <c r="S770" t="s">
        <v>4719</v>
      </c>
      <c r="T770">
        <f t="shared" ref="T770:T833" si="24">J770-I770</f>
        <v>2</v>
      </c>
      <c r="U770" s="21">
        <f t="shared" si="23"/>
        <v>45052</v>
      </c>
    </row>
    <row r="771" spans="1:21" x14ac:dyDescent="0.35">
      <c r="A771" t="s">
        <v>4059</v>
      </c>
      <c r="B771" t="s">
        <v>4060</v>
      </c>
      <c r="C771" t="s">
        <v>19</v>
      </c>
      <c r="D771" t="s">
        <v>205</v>
      </c>
      <c r="E771" s="1">
        <v>5.84</v>
      </c>
      <c r="F771" t="s">
        <v>206</v>
      </c>
      <c r="G771">
        <v>80</v>
      </c>
      <c r="H771" s="1">
        <v>4.6719999999999997</v>
      </c>
      <c r="I771" s="21">
        <v>45049</v>
      </c>
      <c r="J771" s="21">
        <v>45053</v>
      </c>
      <c r="K771" s="21">
        <v>45053</v>
      </c>
      <c r="L771" t="s">
        <v>213</v>
      </c>
      <c r="M771" t="s">
        <v>146</v>
      </c>
      <c r="N771" t="s">
        <v>73</v>
      </c>
      <c r="O771">
        <v>1</v>
      </c>
      <c r="P771" t="s">
        <v>355</v>
      </c>
      <c r="Q771" t="s">
        <v>4546</v>
      </c>
      <c r="R771" t="s">
        <v>4726</v>
      </c>
      <c r="S771" t="s">
        <v>4717</v>
      </c>
      <c r="T771">
        <f t="shared" si="24"/>
        <v>4</v>
      </c>
      <c r="U771" s="21">
        <f t="shared" ref="U771:U834" si="25">J771</f>
        <v>45053</v>
      </c>
    </row>
    <row r="772" spans="1:21" x14ac:dyDescent="0.35">
      <c r="A772" t="s">
        <v>677</v>
      </c>
      <c r="B772" t="s">
        <v>678</v>
      </c>
      <c r="C772" t="s">
        <v>30</v>
      </c>
      <c r="D772" t="s">
        <v>212</v>
      </c>
      <c r="E772" s="1">
        <v>44.4</v>
      </c>
      <c r="F772" t="s">
        <v>206</v>
      </c>
      <c r="G772">
        <v>100</v>
      </c>
      <c r="H772" s="1">
        <v>44.4</v>
      </c>
      <c r="I772" s="21">
        <v>45049</v>
      </c>
      <c r="J772" s="21">
        <v>45055</v>
      </c>
      <c r="K772" s="21">
        <v>45055</v>
      </c>
      <c r="L772" t="s">
        <v>220</v>
      </c>
      <c r="M772" t="s">
        <v>67</v>
      </c>
      <c r="N772" t="s">
        <v>68</v>
      </c>
      <c r="O772">
        <v>1</v>
      </c>
      <c r="P772" t="s">
        <v>679</v>
      </c>
      <c r="Q772" t="s">
        <v>4532</v>
      </c>
      <c r="R772" t="s">
        <v>4726</v>
      </c>
      <c r="S772" t="s">
        <v>4717</v>
      </c>
      <c r="T772">
        <f t="shared" si="24"/>
        <v>6</v>
      </c>
      <c r="U772" s="21">
        <f t="shared" si="25"/>
        <v>45055</v>
      </c>
    </row>
    <row r="773" spans="1:21" x14ac:dyDescent="0.35">
      <c r="A773" t="s">
        <v>674</v>
      </c>
      <c r="B773" t="s">
        <v>675</v>
      </c>
      <c r="C773" t="s">
        <v>30</v>
      </c>
      <c r="D773" t="s">
        <v>205</v>
      </c>
      <c r="E773" s="1">
        <v>162.63999999999999</v>
      </c>
      <c r="F773" t="s">
        <v>206</v>
      </c>
      <c r="G773">
        <v>80</v>
      </c>
      <c r="H773" s="1">
        <v>130.11199999999999</v>
      </c>
      <c r="I773" s="21">
        <v>45049</v>
      </c>
      <c r="J773" s="21">
        <v>45054</v>
      </c>
      <c r="K773" s="21">
        <v>45054</v>
      </c>
      <c r="L773" t="s">
        <v>220</v>
      </c>
      <c r="M773" t="s">
        <v>67</v>
      </c>
      <c r="N773" t="s">
        <v>68</v>
      </c>
      <c r="O773">
        <v>1</v>
      </c>
      <c r="P773" t="s">
        <v>676</v>
      </c>
      <c r="Q773" t="s">
        <v>4587</v>
      </c>
      <c r="R773" t="s">
        <v>4710</v>
      </c>
      <c r="S773" t="s">
        <v>4717</v>
      </c>
      <c r="T773">
        <f t="shared" si="24"/>
        <v>5</v>
      </c>
      <c r="U773" s="21">
        <f t="shared" si="25"/>
        <v>45054</v>
      </c>
    </row>
    <row r="774" spans="1:21" x14ac:dyDescent="0.35">
      <c r="A774" t="s">
        <v>4057</v>
      </c>
      <c r="B774" t="s">
        <v>4058</v>
      </c>
      <c r="C774" t="s">
        <v>19</v>
      </c>
      <c r="D774" t="s">
        <v>21</v>
      </c>
      <c r="E774" s="1">
        <v>377.346</v>
      </c>
      <c r="F774" t="s">
        <v>22</v>
      </c>
      <c r="G774">
        <v>0</v>
      </c>
      <c r="H774" s="1">
        <v>0</v>
      </c>
      <c r="I774" s="21">
        <v>45048</v>
      </c>
      <c r="J774" s="21">
        <v>45051</v>
      </c>
      <c r="K774" s="21">
        <v>45051</v>
      </c>
      <c r="L774" t="s">
        <v>24</v>
      </c>
      <c r="M774" t="s">
        <v>25</v>
      </c>
      <c r="N774" t="s">
        <v>26</v>
      </c>
      <c r="O774">
        <v>1</v>
      </c>
      <c r="P774" t="s">
        <v>2032</v>
      </c>
      <c r="Q774" t="s">
        <v>4517</v>
      </c>
      <c r="R774" t="s">
        <v>4726</v>
      </c>
      <c r="S774" t="s">
        <v>4717</v>
      </c>
      <c r="T774">
        <f t="shared" si="24"/>
        <v>3</v>
      </c>
      <c r="U774" s="21">
        <f t="shared" si="25"/>
        <v>45051</v>
      </c>
    </row>
    <row r="775" spans="1:21" x14ac:dyDescent="0.35">
      <c r="A775" t="s">
        <v>671</v>
      </c>
      <c r="B775" t="s">
        <v>672</v>
      </c>
      <c r="C775" t="s">
        <v>19</v>
      </c>
      <c r="D775" t="s">
        <v>212</v>
      </c>
      <c r="E775" s="1">
        <v>494.37599999999998</v>
      </c>
      <c r="F775" t="s">
        <v>206</v>
      </c>
      <c r="G775">
        <v>100</v>
      </c>
      <c r="H775" s="1">
        <v>494.37599999999998</v>
      </c>
      <c r="I775" s="21">
        <v>45047</v>
      </c>
      <c r="J775" s="21">
        <v>45052</v>
      </c>
      <c r="K775" s="21">
        <v>45052</v>
      </c>
      <c r="L775" t="s">
        <v>248</v>
      </c>
      <c r="M775" t="s">
        <v>72</v>
      </c>
      <c r="N775" t="s">
        <v>73</v>
      </c>
      <c r="O775">
        <v>1</v>
      </c>
      <c r="P775" t="s">
        <v>673</v>
      </c>
      <c r="Q775" t="s">
        <v>4586</v>
      </c>
      <c r="R775" t="s">
        <v>4713</v>
      </c>
      <c r="S775" t="s">
        <v>4719</v>
      </c>
      <c r="T775">
        <f t="shared" si="24"/>
        <v>5</v>
      </c>
      <c r="U775" s="21">
        <f t="shared" si="25"/>
        <v>45052</v>
      </c>
    </row>
    <row r="776" spans="1:21" x14ac:dyDescent="0.35">
      <c r="A776" t="s">
        <v>1927</v>
      </c>
      <c r="B776" t="s">
        <v>1928</v>
      </c>
      <c r="C776" t="s">
        <v>30</v>
      </c>
      <c r="D776" t="s">
        <v>212</v>
      </c>
      <c r="E776" s="1">
        <v>151.62</v>
      </c>
      <c r="F776" t="s">
        <v>206</v>
      </c>
      <c r="G776">
        <v>100</v>
      </c>
      <c r="H776" s="1">
        <v>151.62</v>
      </c>
      <c r="I776" s="21">
        <v>45047</v>
      </c>
      <c r="J776" s="21">
        <v>45051</v>
      </c>
      <c r="K776" s="21">
        <v>45051</v>
      </c>
      <c r="L776" t="s">
        <v>213</v>
      </c>
      <c r="M776" t="s">
        <v>40</v>
      </c>
      <c r="N776" t="s">
        <v>34</v>
      </c>
      <c r="O776">
        <v>1</v>
      </c>
      <c r="P776" t="s">
        <v>1929</v>
      </c>
      <c r="Q776" t="s">
        <v>4535</v>
      </c>
      <c r="R776" t="s">
        <v>4710</v>
      </c>
      <c r="S776" t="s">
        <v>4717</v>
      </c>
      <c r="T776">
        <f t="shared" si="24"/>
        <v>4</v>
      </c>
      <c r="U776" s="21">
        <f t="shared" si="25"/>
        <v>45051</v>
      </c>
    </row>
    <row r="777" spans="1:21" x14ac:dyDescent="0.35">
      <c r="A777" t="s">
        <v>3065</v>
      </c>
      <c r="B777" t="s">
        <v>3066</v>
      </c>
      <c r="C777" t="s">
        <v>19</v>
      </c>
      <c r="D777" t="s">
        <v>205</v>
      </c>
      <c r="E777" s="1">
        <v>110.376</v>
      </c>
      <c r="F777" t="s">
        <v>206</v>
      </c>
      <c r="G777">
        <v>80</v>
      </c>
      <c r="H777" s="1">
        <v>88.30080000000001</v>
      </c>
      <c r="I777" s="21">
        <v>45047</v>
      </c>
      <c r="J777" s="21">
        <v>45051</v>
      </c>
      <c r="K777" s="21">
        <v>45051</v>
      </c>
      <c r="L777" t="s">
        <v>213</v>
      </c>
      <c r="M777" t="s">
        <v>82</v>
      </c>
      <c r="N777" t="s">
        <v>47</v>
      </c>
      <c r="O777">
        <v>1</v>
      </c>
      <c r="P777" t="s">
        <v>2761</v>
      </c>
      <c r="Q777" t="s">
        <v>4530</v>
      </c>
      <c r="R777" t="s">
        <v>4711</v>
      </c>
      <c r="S777" t="s">
        <v>4719</v>
      </c>
      <c r="T777">
        <f t="shared" si="24"/>
        <v>4</v>
      </c>
      <c r="U777" s="21">
        <f t="shared" si="25"/>
        <v>45051</v>
      </c>
    </row>
    <row r="778" spans="1:21" x14ac:dyDescent="0.35">
      <c r="A778" t="s">
        <v>3059</v>
      </c>
      <c r="B778" t="s">
        <v>3060</v>
      </c>
      <c r="C778" t="s">
        <v>30</v>
      </c>
      <c r="D778" t="s">
        <v>212</v>
      </c>
      <c r="E778" s="1">
        <v>14.16</v>
      </c>
      <c r="F778" t="s">
        <v>206</v>
      </c>
      <c r="G778">
        <v>100</v>
      </c>
      <c r="H778" s="1">
        <v>14.16</v>
      </c>
      <c r="I778" s="21">
        <v>45045</v>
      </c>
      <c r="J778" s="21">
        <v>45047</v>
      </c>
      <c r="K778" s="21">
        <v>45047</v>
      </c>
      <c r="L778" t="s">
        <v>207</v>
      </c>
      <c r="M778" t="s">
        <v>25</v>
      </c>
      <c r="N778" t="s">
        <v>26</v>
      </c>
      <c r="O778">
        <v>1</v>
      </c>
      <c r="P778" t="s">
        <v>3061</v>
      </c>
      <c r="Q778" t="s">
        <v>4528</v>
      </c>
      <c r="R778" t="s">
        <v>4721</v>
      </c>
      <c r="S778" t="s">
        <v>4717</v>
      </c>
      <c r="T778">
        <f t="shared" si="24"/>
        <v>2</v>
      </c>
      <c r="U778" s="21">
        <f t="shared" si="25"/>
        <v>45047</v>
      </c>
    </row>
    <row r="779" spans="1:21" x14ac:dyDescent="0.35">
      <c r="A779" t="s">
        <v>665</v>
      </c>
      <c r="B779" t="s">
        <v>666</v>
      </c>
      <c r="C779" t="s">
        <v>19</v>
      </c>
      <c r="D779" t="s">
        <v>205</v>
      </c>
      <c r="E779" s="1">
        <v>215.65</v>
      </c>
      <c r="F779" t="s">
        <v>206</v>
      </c>
      <c r="G779">
        <v>80</v>
      </c>
      <c r="H779" s="1">
        <v>172.52</v>
      </c>
      <c r="I779" s="21">
        <v>45045</v>
      </c>
      <c r="J779" s="21">
        <v>45052</v>
      </c>
      <c r="K779" s="21">
        <v>45052</v>
      </c>
      <c r="L779" t="s">
        <v>234</v>
      </c>
      <c r="M779" t="s">
        <v>146</v>
      </c>
      <c r="N779" t="s">
        <v>73</v>
      </c>
      <c r="O779">
        <v>1</v>
      </c>
      <c r="P779" t="s">
        <v>667</v>
      </c>
      <c r="Q779" t="s">
        <v>4553</v>
      </c>
      <c r="R779" t="s">
        <v>4722</v>
      </c>
      <c r="S779" t="s">
        <v>4718</v>
      </c>
      <c r="T779">
        <f t="shared" si="24"/>
        <v>7</v>
      </c>
      <c r="U779" s="21">
        <f t="shared" si="25"/>
        <v>45052</v>
      </c>
    </row>
    <row r="780" spans="1:21" x14ac:dyDescent="0.35">
      <c r="A780" t="s">
        <v>668</v>
      </c>
      <c r="B780" t="s">
        <v>669</v>
      </c>
      <c r="C780" t="s">
        <v>30</v>
      </c>
      <c r="D780" t="s">
        <v>21</v>
      </c>
      <c r="E780" s="1">
        <v>385.28800000000001</v>
      </c>
      <c r="F780" t="s">
        <v>22</v>
      </c>
      <c r="G780">
        <v>0</v>
      </c>
      <c r="H780" s="1">
        <v>0</v>
      </c>
      <c r="I780" s="21">
        <v>45045</v>
      </c>
      <c r="J780" s="21">
        <v>45048</v>
      </c>
      <c r="K780" s="21">
        <v>45048</v>
      </c>
      <c r="L780" t="s">
        <v>63</v>
      </c>
      <c r="M780" t="s">
        <v>97</v>
      </c>
      <c r="N780" t="s">
        <v>68</v>
      </c>
      <c r="O780">
        <v>1</v>
      </c>
      <c r="P780" t="s">
        <v>670</v>
      </c>
      <c r="Q780" t="s">
        <v>4585</v>
      </c>
      <c r="R780" t="s">
        <v>4711</v>
      </c>
      <c r="S780" t="s">
        <v>4719</v>
      </c>
      <c r="T780">
        <f t="shared" si="24"/>
        <v>3</v>
      </c>
      <c r="U780" s="21">
        <f t="shared" si="25"/>
        <v>45048</v>
      </c>
    </row>
    <row r="781" spans="1:21" x14ac:dyDescent="0.35">
      <c r="A781" t="s">
        <v>3062</v>
      </c>
      <c r="B781" t="s">
        <v>3063</v>
      </c>
      <c r="C781" t="s">
        <v>30</v>
      </c>
      <c r="D781" t="s">
        <v>205</v>
      </c>
      <c r="E781" s="1">
        <v>8.7360000000000007</v>
      </c>
      <c r="F781" t="s">
        <v>206</v>
      </c>
      <c r="G781">
        <v>80</v>
      </c>
      <c r="H781" s="1">
        <v>6.9888000000000012</v>
      </c>
      <c r="I781" s="21">
        <v>45045</v>
      </c>
      <c r="J781" s="21">
        <v>45049</v>
      </c>
      <c r="K781" s="21">
        <v>45049</v>
      </c>
      <c r="L781" t="s">
        <v>220</v>
      </c>
      <c r="M781" t="s">
        <v>82</v>
      </c>
      <c r="N781" t="s">
        <v>47</v>
      </c>
      <c r="O781">
        <v>1</v>
      </c>
      <c r="P781" t="s">
        <v>3064</v>
      </c>
      <c r="Q781" t="s">
        <v>4515</v>
      </c>
      <c r="R781" t="s">
        <v>4726</v>
      </c>
      <c r="S781" t="s">
        <v>4717</v>
      </c>
      <c r="T781">
        <f t="shared" si="24"/>
        <v>4</v>
      </c>
      <c r="U781" s="21">
        <f t="shared" si="25"/>
        <v>45049</v>
      </c>
    </row>
    <row r="782" spans="1:21" x14ac:dyDescent="0.35">
      <c r="A782" t="s">
        <v>1924</v>
      </c>
      <c r="B782" t="s">
        <v>1925</v>
      </c>
      <c r="C782" t="s">
        <v>30</v>
      </c>
      <c r="D782" t="s">
        <v>212</v>
      </c>
      <c r="E782" s="1">
        <v>7.7</v>
      </c>
      <c r="F782" t="s">
        <v>206</v>
      </c>
      <c r="G782">
        <v>100</v>
      </c>
      <c r="H782" s="1">
        <v>7.7</v>
      </c>
      <c r="I782" s="21">
        <v>45043</v>
      </c>
      <c r="J782" s="21">
        <v>45048</v>
      </c>
      <c r="K782" s="21">
        <v>45048</v>
      </c>
      <c r="L782" t="s">
        <v>207</v>
      </c>
      <c r="M782" t="s">
        <v>97</v>
      </c>
      <c r="N782" t="s">
        <v>68</v>
      </c>
      <c r="O782">
        <v>1</v>
      </c>
      <c r="P782" t="s">
        <v>1926</v>
      </c>
      <c r="Q782" t="s">
        <v>4517</v>
      </c>
      <c r="R782" t="s">
        <v>4726</v>
      </c>
      <c r="S782" t="s">
        <v>4717</v>
      </c>
      <c r="T782">
        <f t="shared" si="24"/>
        <v>5</v>
      </c>
      <c r="U782" s="21">
        <f t="shared" si="25"/>
        <v>45048</v>
      </c>
    </row>
    <row r="783" spans="1:21" x14ac:dyDescent="0.35">
      <c r="A783" t="s">
        <v>3056</v>
      </c>
      <c r="B783" t="s">
        <v>3057</v>
      </c>
      <c r="C783" t="s">
        <v>19</v>
      </c>
      <c r="D783" t="s">
        <v>205</v>
      </c>
      <c r="E783" s="1">
        <v>539.65800000000002</v>
      </c>
      <c r="F783" t="s">
        <v>206</v>
      </c>
      <c r="G783">
        <v>80</v>
      </c>
      <c r="H783" s="1">
        <v>431.72640000000001</v>
      </c>
      <c r="I783" s="21">
        <v>45041</v>
      </c>
      <c r="J783" s="21">
        <v>45044</v>
      </c>
      <c r="K783" s="21">
        <v>45044</v>
      </c>
      <c r="L783" t="s">
        <v>207</v>
      </c>
      <c r="M783" t="s">
        <v>46</v>
      </c>
      <c r="N783" t="s">
        <v>47</v>
      </c>
      <c r="O783">
        <v>1</v>
      </c>
      <c r="P783" t="s">
        <v>3058</v>
      </c>
      <c r="Q783" t="s">
        <v>4567</v>
      </c>
      <c r="R783" t="s">
        <v>4714</v>
      </c>
      <c r="S783" t="s">
        <v>4718</v>
      </c>
      <c r="T783">
        <f t="shared" si="24"/>
        <v>3</v>
      </c>
      <c r="U783" s="21">
        <f t="shared" si="25"/>
        <v>45044</v>
      </c>
    </row>
    <row r="784" spans="1:21" x14ac:dyDescent="0.35">
      <c r="A784" t="s">
        <v>4055</v>
      </c>
      <c r="B784" t="s">
        <v>4056</v>
      </c>
      <c r="C784" t="s">
        <v>19</v>
      </c>
      <c r="D784" t="s">
        <v>205</v>
      </c>
      <c r="E784" s="1">
        <v>37.463999999999999</v>
      </c>
      <c r="F784" t="s">
        <v>206</v>
      </c>
      <c r="G784">
        <v>80</v>
      </c>
      <c r="H784" s="1">
        <v>29.9712</v>
      </c>
      <c r="I784" s="21">
        <v>45041</v>
      </c>
      <c r="J784" s="21">
        <v>45044</v>
      </c>
      <c r="K784" s="21">
        <v>45044</v>
      </c>
      <c r="L784" t="s">
        <v>220</v>
      </c>
      <c r="M784" t="s">
        <v>67</v>
      </c>
      <c r="N784" t="s">
        <v>68</v>
      </c>
      <c r="O784">
        <v>1</v>
      </c>
      <c r="P784" t="s">
        <v>4034</v>
      </c>
      <c r="Q784" t="s">
        <v>4729</v>
      </c>
      <c r="R784" t="s">
        <v>4726</v>
      </c>
      <c r="S784" t="s">
        <v>4717</v>
      </c>
      <c r="T784">
        <f t="shared" si="24"/>
        <v>3</v>
      </c>
      <c r="U784" s="21">
        <f t="shared" si="25"/>
        <v>45044</v>
      </c>
    </row>
    <row r="785" spans="1:21" x14ac:dyDescent="0.35">
      <c r="A785" t="s">
        <v>3052</v>
      </c>
      <c r="B785" t="s">
        <v>3053</v>
      </c>
      <c r="C785" t="s">
        <v>19</v>
      </c>
      <c r="D785" t="s">
        <v>21</v>
      </c>
      <c r="E785" s="1">
        <v>242.56</v>
      </c>
      <c r="F785" t="s">
        <v>22</v>
      </c>
      <c r="G785">
        <v>0</v>
      </c>
      <c r="H785" s="1">
        <v>0</v>
      </c>
      <c r="I785" s="21">
        <v>45040</v>
      </c>
      <c r="J785" s="21">
        <v>45043</v>
      </c>
      <c r="K785" s="21">
        <v>45043</v>
      </c>
      <c r="L785" t="s">
        <v>24</v>
      </c>
      <c r="M785" t="s">
        <v>72</v>
      </c>
      <c r="N785" t="s">
        <v>73</v>
      </c>
      <c r="O785">
        <v>1</v>
      </c>
      <c r="P785" t="s">
        <v>2106</v>
      </c>
      <c r="Q785" t="s">
        <v>4729</v>
      </c>
      <c r="R785" t="s">
        <v>4726</v>
      </c>
      <c r="S785" t="s">
        <v>4717</v>
      </c>
      <c r="T785">
        <f t="shared" si="24"/>
        <v>3</v>
      </c>
      <c r="U785" s="21">
        <f t="shared" si="25"/>
        <v>45043</v>
      </c>
    </row>
    <row r="786" spans="1:21" x14ac:dyDescent="0.35">
      <c r="A786" t="s">
        <v>3054</v>
      </c>
      <c r="B786" t="s">
        <v>3055</v>
      </c>
      <c r="C786" t="s">
        <v>30</v>
      </c>
      <c r="D786" t="s">
        <v>205</v>
      </c>
      <c r="E786" s="1">
        <v>5.3040000000000003</v>
      </c>
      <c r="F786" t="s">
        <v>206</v>
      </c>
      <c r="G786">
        <v>80</v>
      </c>
      <c r="H786" s="1">
        <v>4.2432000000000007</v>
      </c>
      <c r="I786" s="21">
        <v>45040</v>
      </c>
      <c r="J786" s="21">
        <v>45045</v>
      </c>
      <c r="K786" s="21">
        <v>45045</v>
      </c>
      <c r="L786" t="s">
        <v>213</v>
      </c>
      <c r="M786" t="s">
        <v>97</v>
      </c>
      <c r="N786" t="s">
        <v>68</v>
      </c>
      <c r="O786">
        <v>1</v>
      </c>
      <c r="P786" t="s">
        <v>926</v>
      </c>
      <c r="Q786" t="s">
        <v>4520</v>
      </c>
      <c r="R786" t="s">
        <v>4710</v>
      </c>
      <c r="S786" t="s">
        <v>4717</v>
      </c>
      <c r="T786">
        <f t="shared" si="24"/>
        <v>5</v>
      </c>
      <c r="U786" s="21">
        <f t="shared" si="25"/>
        <v>45045</v>
      </c>
    </row>
    <row r="787" spans="1:21" x14ac:dyDescent="0.35">
      <c r="A787" t="s">
        <v>1918</v>
      </c>
      <c r="B787" t="s">
        <v>1919</v>
      </c>
      <c r="C787" t="s">
        <v>19</v>
      </c>
      <c r="D787" t="s">
        <v>205</v>
      </c>
      <c r="E787" s="1">
        <v>835.17</v>
      </c>
      <c r="F787" t="s">
        <v>206</v>
      </c>
      <c r="G787">
        <v>80</v>
      </c>
      <c r="H787" s="1">
        <v>668.13599999999997</v>
      </c>
      <c r="I787" s="21">
        <v>45039</v>
      </c>
      <c r="J787" s="21">
        <v>45043</v>
      </c>
      <c r="K787" s="21">
        <v>45043</v>
      </c>
      <c r="L787" t="s">
        <v>220</v>
      </c>
      <c r="M787" t="s">
        <v>46</v>
      </c>
      <c r="N787" t="s">
        <v>47</v>
      </c>
      <c r="O787">
        <v>1</v>
      </c>
      <c r="P787" t="s">
        <v>1920</v>
      </c>
      <c r="Q787" t="s">
        <v>4642</v>
      </c>
      <c r="R787" t="s">
        <v>4726</v>
      </c>
      <c r="S787" t="s">
        <v>4717</v>
      </c>
      <c r="T787">
        <f t="shared" si="24"/>
        <v>4</v>
      </c>
      <c r="U787" s="21">
        <f t="shared" si="25"/>
        <v>45043</v>
      </c>
    </row>
    <row r="788" spans="1:21" x14ac:dyDescent="0.35">
      <c r="A788" t="s">
        <v>4053</v>
      </c>
      <c r="B788" t="s">
        <v>4054</v>
      </c>
      <c r="C788" t="s">
        <v>30</v>
      </c>
      <c r="D788" t="s">
        <v>205</v>
      </c>
      <c r="E788" s="1">
        <v>38.088000000000001</v>
      </c>
      <c r="F788" t="s">
        <v>206</v>
      </c>
      <c r="G788">
        <v>80</v>
      </c>
      <c r="H788" s="1">
        <v>30.470400000000001</v>
      </c>
      <c r="I788" s="21">
        <v>45039</v>
      </c>
      <c r="J788" s="21">
        <v>45044</v>
      </c>
      <c r="K788" s="21">
        <v>45044</v>
      </c>
      <c r="L788" t="s">
        <v>238</v>
      </c>
      <c r="M788" t="s">
        <v>82</v>
      </c>
      <c r="N788" t="s">
        <v>47</v>
      </c>
      <c r="O788">
        <v>1</v>
      </c>
      <c r="P788" t="s">
        <v>2100</v>
      </c>
      <c r="Q788" t="s">
        <v>4528</v>
      </c>
      <c r="R788" t="s">
        <v>4726</v>
      </c>
      <c r="S788" t="s">
        <v>4717</v>
      </c>
      <c r="T788">
        <f t="shared" si="24"/>
        <v>5</v>
      </c>
      <c r="U788" s="21">
        <f t="shared" si="25"/>
        <v>45044</v>
      </c>
    </row>
    <row r="789" spans="1:21" x14ac:dyDescent="0.35">
      <c r="A789" t="s">
        <v>1921</v>
      </c>
      <c r="B789" t="s">
        <v>1922</v>
      </c>
      <c r="C789" t="s">
        <v>30</v>
      </c>
      <c r="D789" t="s">
        <v>212</v>
      </c>
      <c r="E789" s="1">
        <v>440.91</v>
      </c>
      <c r="F789" t="s">
        <v>206</v>
      </c>
      <c r="G789">
        <v>100</v>
      </c>
      <c r="H789" s="1">
        <v>440.91</v>
      </c>
      <c r="I789" s="21">
        <v>45039</v>
      </c>
      <c r="J789" s="21">
        <v>45043</v>
      </c>
      <c r="K789" s="21">
        <v>45043</v>
      </c>
      <c r="L789" t="s">
        <v>207</v>
      </c>
      <c r="M789" t="s">
        <v>82</v>
      </c>
      <c r="N789" t="s">
        <v>47</v>
      </c>
      <c r="O789">
        <v>1</v>
      </c>
      <c r="P789" t="s">
        <v>1923</v>
      </c>
      <c r="Q789" t="s">
        <v>4530</v>
      </c>
      <c r="R789" t="s">
        <v>4711</v>
      </c>
      <c r="S789" t="s">
        <v>4719</v>
      </c>
      <c r="T789">
        <f t="shared" si="24"/>
        <v>4</v>
      </c>
      <c r="U789" s="21">
        <f t="shared" si="25"/>
        <v>45043</v>
      </c>
    </row>
    <row r="790" spans="1:21" x14ac:dyDescent="0.35">
      <c r="A790" t="s">
        <v>3050</v>
      </c>
      <c r="B790" t="s">
        <v>3051</v>
      </c>
      <c r="C790" t="s">
        <v>19</v>
      </c>
      <c r="D790" t="s">
        <v>212</v>
      </c>
      <c r="E790" s="1">
        <v>376.86599999999999</v>
      </c>
      <c r="F790" t="s">
        <v>206</v>
      </c>
      <c r="G790">
        <v>100</v>
      </c>
      <c r="H790" s="1">
        <v>376.86599999999999</v>
      </c>
      <c r="I790" s="21">
        <v>45038</v>
      </c>
      <c r="J790" s="21">
        <v>45041</v>
      </c>
      <c r="K790" s="21">
        <v>45041</v>
      </c>
      <c r="L790" t="s">
        <v>213</v>
      </c>
      <c r="M790" t="s">
        <v>25</v>
      </c>
      <c r="N790" t="s">
        <v>26</v>
      </c>
      <c r="O790">
        <v>1</v>
      </c>
      <c r="P790" t="s">
        <v>403</v>
      </c>
      <c r="Q790" t="s">
        <v>4729</v>
      </c>
      <c r="R790" t="s">
        <v>4712</v>
      </c>
      <c r="S790" t="s">
        <v>4718</v>
      </c>
      <c r="T790">
        <f t="shared" si="24"/>
        <v>3</v>
      </c>
      <c r="U790" s="21">
        <f t="shared" si="25"/>
        <v>45041</v>
      </c>
    </row>
    <row r="791" spans="1:21" x14ac:dyDescent="0.35">
      <c r="A791" t="s">
        <v>3048</v>
      </c>
      <c r="B791" t="s">
        <v>3049</v>
      </c>
      <c r="C791" t="s">
        <v>30</v>
      </c>
      <c r="D791" t="s">
        <v>205</v>
      </c>
      <c r="E791" s="1">
        <v>52.56</v>
      </c>
      <c r="F791" t="s">
        <v>206</v>
      </c>
      <c r="G791">
        <v>80</v>
      </c>
      <c r="H791" s="1">
        <v>42.048000000000002</v>
      </c>
      <c r="I791" s="21">
        <v>45034</v>
      </c>
      <c r="J791" s="21">
        <v>45038</v>
      </c>
      <c r="K791" s="21">
        <v>45038</v>
      </c>
      <c r="L791" t="s">
        <v>234</v>
      </c>
      <c r="M791" t="s">
        <v>54</v>
      </c>
      <c r="N791" t="s">
        <v>26</v>
      </c>
      <c r="O791">
        <v>1</v>
      </c>
      <c r="P791" t="s">
        <v>279</v>
      </c>
      <c r="Q791" t="s">
        <v>4543</v>
      </c>
      <c r="R791" t="s">
        <v>4727</v>
      </c>
      <c r="S791" t="s">
        <v>4719</v>
      </c>
      <c r="T791">
        <f t="shared" si="24"/>
        <v>4</v>
      </c>
      <c r="U791" s="21">
        <f t="shared" si="25"/>
        <v>45038</v>
      </c>
    </row>
    <row r="792" spans="1:21" x14ac:dyDescent="0.35">
      <c r="A792" t="s">
        <v>662</v>
      </c>
      <c r="B792" t="s">
        <v>663</v>
      </c>
      <c r="C792" t="s">
        <v>30</v>
      </c>
      <c r="D792" t="s">
        <v>205</v>
      </c>
      <c r="E792" s="1">
        <v>337.17599999999999</v>
      </c>
      <c r="F792" t="s">
        <v>206</v>
      </c>
      <c r="G792">
        <v>80</v>
      </c>
      <c r="H792" s="1">
        <v>269.74079999999998</v>
      </c>
      <c r="I792" s="21">
        <v>45034</v>
      </c>
      <c r="J792" s="21">
        <v>45039</v>
      </c>
      <c r="K792" s="21">
        <v>45039</v>
      </c>
      <c r="L792" t="s">
        <v>234</v>
      </c>
      <c r="M792" t="s">
        <v>67</v>
      </c>
      <c r="N792" t="s">
        <v>68</v>
      </c>
      <c r="O792">
        <v>1</v>
      </c>
      <c r="P792" t="s">
        <v>664</v>
      </c>
      <c r="Q792" t="s">
        <v>4567</v>
      </c>
      <c r="R792" t="s">
        <v>4712</v>
      </c>
      <c r="S792" t="s">
        <v>4718</v>
      </c>
      <c r="T792">
        <f t="shared" si="24"/>
        <v>5</v>
      </c>
      <c r="U792" s="21">
        <f t="shared" si="25"/>
        <v>45039</v>
      </c>
    </row>
    <row r="793" spans="1:21" x14ac:dyDescent="0.35">
      <c r="A793" t="s">
        <v>1915</v>
      </c>
      <c r="B793" t="s">
        <v>1916</v>
      </c>
      <c r="C793" t="s">
        <v>19</v>
      </c>
      <c r="D793" t="s">
        <v>212</v>
      </c>
      <c r="E793" s="1">
        <v>1115.17</v>
      </c>
      <c r="F793" t="s">
        <v>206</v>
      </c>
      <c r="G793">
        <v>100</v>
      </c>
      <c r="H793" s="1">
        <v>1115.17</v>
      </c>
      <c r="I793" s="21">
        <v>45034</v>
      </c>
      <c r="J793" s="21">
        <v>45038</v>
      </c>
      <c r="K793" s="21">
        <v>45038</v>
      </c>
      <c r="L793" t="s">
        <v>220</v>
      </c>
      <c r="M793" t="s">
        <v>146</v>
      </c>
      <c r="N793" t="s">
        <v>73</v>
      </c>
      <c r="O793">
        <v>1</v>
      </c>
      <c r="P793" t="s">
        <v>1917</v>
      </c>
      <c r="Q793" t="s">
        <v>4729</v>
      </c>
      <c r="R793" t="s">
        <v>4712</v>
      </c>
      <c r="S793" t="s">
        <v>4718</v>
      </c>
      <c r="T793">
        <f t="shared" si="24"/>
        <v>4</v>
      </c>
      <c r="U793" s="21">
        <f t="shared" si="25"/>
        <v>45038</v>
      </c>
    </row>
    <row r="794" spans="1:21" x14ac:dyDescent="0.35">
      <c r="A794" t="s">
        <v>659</v>
      </c>
      <c r="B794" t="s">
        <v>660</v>
      </c>
      <c r="C794" t="s">
        <v>19</v>
      </c>
      <c r="D794" t="s">
        <v>205</v>
      </c>
      <c r="E794" s="1">
        <v>92.94</v>
      </c>
      <c r="F794" t="s">
        <v>206</v>
      </c>
      <c r="G794">
        <v>80</v>
      </c>
      <c r="H794" s="1">
        <v>74.352000000000004</v>
      </c>
      <c r="I794" s="21">
        <v>45033</v>
      </c>
      <c r="J794" s="21">
        <v>45040</v>
      </c>
      <c r="K794" s="21">
        <v>45040</v>
      </c>
      <c r="L794" t="s">
        <v>213</v>
      </c>
      <c r="M794" t="s">
        <v>40</v>
      </c>
      <c r="N794" t="s">
        <v>34</v>
      </c>
      <c r="O794">
        <v>1</v>
      </c>
      <c r="P794" t="s">
        <v>661</v>
      </c>
      <c r="Q794" t="s">
        <v>4584</v>
      </c>
      <c r="R794" t="s">
        <v>4726</v>
      </c>
      <c r="S794" t="s">
        <v>4717</v>
      </c>
      <c r="T794">
        <f t="shared" si="24"/>
        <v>7</v>
      </c>
      <c r="U794" s="21">
        <f t="shared" si="25"/>
        <v>45040</v>
      </c>
    </row>
    <row r="795" spans="1:21" x14ac:dyDescent="0.35">
      <c r="A795" t="s">
        <v>3045</v>
      </c>
      <c r="B795" t="s">
        <v>3046</v>
      </c>
      <c r="C795" t="s">
        <v>19</v>
      </c>
      <c r="D795" t="s">
        <v>212</v>
      </c>
      <c r="E795" s="1">
        <v>12.544</v>
      </c>
      <c r="F795" t="s">
        <v>206</v>
      </c>
      <c r="G795">
        <v>100</v>
      </c>
      <c r="H795" s="1">
        <v>12.544</v>
      </c>
      <c r="I795" s="21">
        <v>45033</v>
      </c>
      <c r="J795" s="21">
        <v>45035</v>
      </c>
      <c r="K795" s="21">
        <v>45035</v>
      </c>
      <c r="L795" t="s">
        <v>207</v>
      </c>
      <c r="M795" t="s">
        <v>40</v>
      </c>
      <c r="N795" t="s">
        <v>34</v>
      </c>
      <c r="O795">
        <v>1</v>
      </c>
      <c r="P795" t="s">
        <v>3047</v>
      </c>
      <c r="Q795" t="s">
        <v>4729</v>
      </c>
      <c r="R795" t="s">
        <v>4721</v>
      </c>
      <c r="S795" t="s">
        <v>4718</v>
      </c>
      <c r="T795">
        <f t="shared" si="24"/>
        <v>2</v>
      </c>
      <c r="U795" s="21">
        <f t="shared" si="25"/>
        <v>45035</v>
      </c>
    </row>
    <row r="796" spans="1:21" x14ac:dyDescent="0.35">
      <c r="A796" t="s">
        <v>4050</v>
      </c>
      <c r="B796" t="s">
        <v>4051</v>
      </c>
      <c r="C796" t="s">
        <v>19</v>
      </c>
      <c r="D796" t="s">
        <v>205</v>
      </c>
      <c r="E796" s="1">
        <v>692.94</v>
      </c>
      <c r="F796" t="s">
        <v>206</v>
      </c>
      <c r="G796">
        <v>80</v>
      </c>
      <c r="H796" s="1">
        <v>554.35200000000009</v>
      </c>
      <c r="I796" s="21">
        <v>45032</v>
      </c>
      <c r="J796" s="21">
        <v>45034</v>
      </c>
      <c r="K796" s="21">
        <v>45034</v>
      </c>
      <c r="L796" t="s">
        <v>234</v>
      </c>
      <c r="M796" t="s">
        <v>67</v>
      </c>
      <c r="N796" t="s">
        <v>68</v>
      </c>
      <c r="O796">
        <v>1</v>
      </c>
      <c r="P796" t="s">
        <v>4052</v>
      </c>
      <c r="Q796" t="s">
        <v>4566</v>
      </c>
      <c r="R796" t="s">
        <v>4712</v>
      </c>
      <c r="S796" t="s">
        <v>4718</v>
      </c>
      <c r="T796">
        <f t="shared" si="24"/>
        <v>2</v>
      </c>
      <c r="U796" s="21">
        <f t="shared" si="25"/>
        <v>45034</v>
      </c>
    </row>
    <row r="797" spans="1:21" x14ac:dyDescent="0.35">
      <c r="A797" t="s">
        <v>3043</v>
      </c>
      <c r="B797" t="s">
        <v>3044</v>
      </c>
      <c r="C797" t="s">
        <v>30</v>
      </c>
      <c r="D797" t="s">
        <v>205</v>
      </c>
      <c r="E797" s="1">
        <v>8.2719999999999896</v>
      </c>
      <c r="F797" t="s">
        <v>206</v>
      </c>
      <c r="G797">
        <v>80</v>
      </c>
      <c r="H797" s="1">
        <v>6.6175999999999924</v>
      </c>
      <c r="I797" s="21">
        <v>45032</v>
      </c>
      <c r="J797" s="21">
        <v>45034</v>
      </c>
      <c r="K797" s="21">
        <v>45034</v>
      </c>
      <c r="L797" t="s">
        <v>220</v>
      </c>
      <c r="M797" t="s">
        <v>72</v>
      </c>
      <c r="N797" t="s">
        <v>73</v>
      </c>
      <c r="O797">
        <v>1</v>
      </c>
      <c r="P797" t="s">
        <v>816</v>
      </c>
      <c r="Q797" t="s">
        <v>4528</v>
      </c>
      <c r="R797" t="s">
        <v>4726</v>
      </c>
      <c r="S797" t="s">
        <v>4717</v>
      </c>
      <c r="T797">
        <f t="shared" si="24"/>
        <v>2</v>
      </c>
      <c r="U797" s="21">
        <f t="shared" si="25"/>
        <v>45034</v>
      </c>
    </row>
    <row r="798" spans="1:21" x14ac:dyDescent="0.35">
      <c r="A798" t="s">
        <v>4048</v>
      </c>
      <c r="B798" t="s">
        <v>4049</v>
      </c>
      <c r="C798" t="s">
        <v>30</v>
      </c>
      <c r="D798" t="s">
        <v>212</v>
      </c>
      <c r="E798" s="1">
        <v>22.05</v>
      </c>
      <c r="F798" t="s">
        <v>206</v>
      </c>
      <c r="G798">
        <v>100</v>
      </c>
      <c r="H798" s="1">
        <v>22.05</v>
      </c>
      <c r="I798" s="21">
        <v>45031</v>
      </c>
      <c r="J798" s="21">
        <v>45036</v>
      </c>
      <c r="K798" s="21">
        <v>45036</v>
      </c>
      <c r="L798" t="s">
        <v>213</v>
      </c>
      <c r="M798" t="s">
        <v>46</v>
      </c>
      <c r="N798" t="s">
        <v>47</v>
      </c>
      <c r="O798">
        <v>1</v>
      </c>
      <c r="P798" t="s">
        <v>2673</v>
      </c>
      <c r="Q798" t="s">
        <v>4517</v>
      </c>
      <c r="R798" t="s">
        <v>4726</v>
      </c>
      <c r="S798" t="s">
        <v>4717</v>
      </c>
      <c r="T798">
        <f t="shared" si="24"/>
        <v>5</v>
      </c>
      <c r="U798" s="21">
        <f t="shared" si="25"/>
        <v>45036</v>
      </c>
    </row>
    <row r="799" spans="1:21" x14ac:dyDescent="0.35">
      <c r="A799" t="s">
        <v>3040</v>
      </c>
      <c r="B799" t="s">
        <v>3041</v>
      </c>
      <c r="C799" t="s">
        <v>19</v>
      </c>
      <c r="D799" t="s">
        <v>212</v>
      </c>
      <c r="E799" s="1">
        <v>477.6</v>
      </c>
      <c r="F799" t="s">
        <v>206</v>
      </c>
      <c r="G799">
        <v>100</v>
      </c>
      <c r="H799" s="1">
        <v>477.6</v>
      </c>
      <c r="I799" s="21">
        <v>45031</v>
      </c>
      <c r="J799" s="21">
        <v>45035</v>
      </c>
      <c r="K799" s="21">
        <v>45035</v>
      </c>
      <c r="L799" t="s">
        <v>234</v>
      </c>
      <c r="M799" t="s">
        <v>46</v>
      </c>
      <c r="N799" t="s">
        <v>47</v>
      </c>
      <c r="O799">
        <v>1</v>
      </c>
      <c r="P799" t="s">
        <v>3042</v>
      </c>
      <c r="Q799" t="s">
        <v>4677</v>
      </c>
      <c r="R799" t="s">
        <v>4711</v>
      </c>
      <c r="S799" t="s">
        <v>4719</v>
      </c>
      <c r="T799">
        <f t="shared" si="24"/>
        <v>4</v>
      </c>
      <c r="U799" s="21">
        <f t="shared" si="25"/>
        <v>45035</v>
      </c>
    </row>
    <row r="800" spans="1:21" x14ac:dyDescent="0.35">
      <c r="A800" t="s">
        <v>656</v>
      </c>
      <c r="B800" t="s">
        <v>657</v>
      </c>
      <c r="C800" t="s">
        <v>19</v>
      </c>
      <c r="D800" t="s">
        <v>205</v>
      </c>
      <c r="E800" s="1">
        <v>389.97</v>
      </c>
      <c r="F800" t="s">
        <v>206</v>
      </c>
      <c r="G800">
        <v>80</v>
      </c>
      <c r="H800" s="1">
        <v>311.97600000000006</v>
      </c>
      <c r="I800" s="21">
        <v>45031</v>
      </c>
      <c r="J800" s="21">
        <v>45034</v>
      </c>
      <c r="K800" s="21">
        <v>45034</v>
      </c>
      <c r="L800" t="s">
        <v>207</v>
      </c>
      <c r="M800" t="s">
        <v>46</v>
      </c>
      <c r="N800" t="s">
        <v>47</v>
      </c>
      <c r="O800">
        <v>1</v>
      </c>
      <c r="P800" t="s">
        <v>658</v>
      </c>
      <c r="Q800" t="s">
        <v>4513</v>
      </c>
      <c r="R800" t="s">
        <v>4713</v>
      </c>
      <c r="S800" t="s">
        <v>4719</v>
      </c>
      <c r="T800">
        <f t="shared" si="24"/>
        <v>3</v>
      </c>
      <c r="U800" s="21">
        <f t="shared" si="25"/>
        <v>45034</v>
      </c>
    </row>
    <row r="801" spans="1:21" x14ac:dyDescent="0.35">
      <c r="A801" t="s">
        <v>653</v>
      </c>
      <c r="B801" t="s">
        <v>654</v>
      </c>
      <c r="C801" t="s">
        <v>19</v>
      </c>
      <c r="D801" t="s">
        <v>212</v>
      </c>
      <c r="E801" s="1">
        <v>26.96</v>
      </c>
      <c r="F801" t="s">
        <v>206</v>
      </c>
      <c r="G801">
        <v>100</v>
      </c>
      <c r="H801" s="1">
        <v>26.96</v>
      </c>
      <c r="I801" s="21">
        <v>45030</v>
      </c>
      <c r="J801" s="21">
        <v>45032</v>
      </c>
      <c r="K801" s="21">
        <v>45032</v>
      </c>
      <c r="L801" t="s">
        <v>207</v>
      </c>
      <c r="M801" t="s">
        <v>72</v>
      </c>
      <c r="N801" t="s">
        <v>73</v>
      </c>
      <c r="O801">
        <v>1</v>
      </c>
      <c r="P801" t="s">
        <v>655</v>
      </c>
      <c r="Q801" t="s">
        <v>4583</v>
      </c>
      <c r="R801" t="s">
        <v>4721</v>
      </c>
      <c r="S801" t="s">
        <v>4717</v>
      </c>
      <c r="T801">
        <f t="shared" si="24"/>
        <v>2</v>
      </c>
      <c r="U801" s="21">
        <f t="shared" si="25"/>
        <v>45032</v>
      </c>
    </row>
    <row r="802" spans="1:21" x14ac:dyDescent="0.35">
      <c r="A802" t="s">
        <v>1912</v>
      </c>
      <c r="B802" t="s">
        <v>1913</v>
      </c>
      <c r="C802" t="s">
        <v>19</v>
      </c>
      <c r="D802" t="s">
        <v>21</v>
      </c>
      <c r="E802" s="1">
        <v>250.416</v>
      </c>
      <c r="F802" t="s">
        <v>22</v>
      </c>
      <c r="G802">
        <v>0</v>
      </c>
      <c r="H802" s="1">
        <v>0</v>
      </c>
      <c r="I802" s="21">
        <v>45029</v>
      </c>
      <c r="J802" s="21">
        <v>45031</v>
      </c>
      <c r="K802" s="21">
        <v>45031</v>
      </c>
      <c r="L802" t="s">
        <v>24</v>
      </c>
      <c r="M802" t="s">
        <v>72</v>
      </c>
      <c r="N802" t="s">
        <v>73</v>
      </c>
      <c r="O802">
        <v>1</v>
      </c>
      <c r="P802" t="s">
        <v>1914</v>
      </c>
      <c r="Q802" t="s">
        <v>4519</v>
      </c>
      <c r="R802" t="s">
        <v>4726</v>
      </c>
      <c r="S802" t="s">
        <v>4717</v>
      </c>
      <c r="T802">
        <f t="shared" si="24"/>
        <v>2</v>
      </c>
      <c r="U802" s="21">
        <f t="shared" si="25"/>
        <v>45031</v>
      </c>
    </row>
    <row r="803" spans="1:21" x14ac:dyDescent="0.35">
      <c r="A803" t="s">
        <v>650</v>
      </c>
      <c r="B803" t="s">
        <v>651</v>
      </c>
      <c r="C803" t="s">
        <v>30</v>
      </c>
      <c r="D803" t="s">
        <v>212</v>
      </c>
      <c r="E803" s="1">
        <v>466.32</v>
      </c>
      <c r="F803" t="s">
        <v>206</v>
      </c>
      <c r="G803">
        <v>100</v>
      </c>
      <c r="H803" s="1">
        <v>466.32</v>
      </c>
      <c r="I803" s="21">
        <v>45027</v>
      </c>
      <c r="J803" s="21">
        <v>45032</v>
      </c>
      <c r="K803" s="21">
        <v>45032</v>
      </c>
      <c r="L803" t="s">
        <v>248</v>
      </c>
      <c r="M803" t="s">
        <v>72</v>
      </c>
      <c r="N803" t="s">
        <v>73</v>
      </c>
      <c r="O803">
        <v>1</v>
      </c>
      <c r="P803" t="s">
        <v>652</v>
      </c>
      <c r="Q803" t="s">
        <v>4582</v>
      </c>
      <c r="R803" t="s">
        <v>4725</v>
      </c>
      <c r="S803" t="s">
        <v>4718</v>
      </c>
      <c r="T803">
        <f t="shared" si="24"/>
        <v>5</v>
      </c>
      <c r="U803" s="21">
        <f t="shared" si="25"/>
        <v>45032</v>
      </c>
    </row>
    <row r="804" spans="1:21" x14ac:dyDescent="0.35">
      <c r="A804" t="s">
        <v>4045</v>
      </c>
      <c r="B804" t="s">
        <v>4046</v>
      </c>
      <c r="C804" t="s">
        <v>30</v>
      </c>
      <c r="D804" t="s">
        <v>205</v>
      </c>
      <c r="E804" s="1">
        <v>11.16</v>
      </c>
      <c r="F804" t="s">
        <v>206</v>
      </c>
      <c r="G804">
        <v>80</v>
      </c>
      <c r="H804" s="1">
        <v>8.9280000000000008</v>
      </c>
      <c r="I804" s="21">
        <v>45027</v>
      </c>
      <c r="J804" s="21">
        <v>45029</v>
      </c>
      <c r="K804" s="21">
        <v>45029</v>
      </c>
      <c r="L804" t="s">
        <v>234</v>
      </c>
      <c r="M804" t="s">
        <v>54</v>
      </c>
      <c r="N804" t="s">
        <v>26</v>
      </c>
      <c r="O804">
        <v>1</v>
      </c>
      <c r="P804" t="s">
        <v>4047</v>
      </c>
      <c r="Q804" t="s">
        <v>4520</v>
      </c>
      <c r="R804" t="s">
        <v>4726</v>
      </c>
      <c r="S804" t="s">
        <v>4717</v>
      </c>
      <c r="T804">
        <f t="shared" si="24"/>
        <v>2</v>
      </c>
      <c r="U804" s="21">
        <f t="shared" si="25"/>
        <v>45029</v>
      </c>
    </row>
    <row r="805" spans="1:21" x14ac:dyDescent="0.35">
      <c r="A805" t="s">
        <v>3038</v>
      </c>
      <c r="B805" t="s">
        <v>3039</v>
      </c>
      <c r="C805" t="s">
        <v>30</v>
      </c>
      <c r="D805" t="s">
        <v>212</v>
      </c>
      <c r="E805" s="1">
        <v>61.38</v>
      </c>
      <c r="F805" t="s">
        <v>206</v>
      </c>
      <c r="G805">
        <v>100</v>
      </c>
      <c r="H805" s="1">
        <v>61.38</v>
      </c>
      <c r="I805" s="21">
        <v>45026</v>
      </c>
      <c r="J805" s="21">
        <v>45030</v>
      </c>
      <c r="K805" s="21">
        <v>45030</v>
      </c>
      <c r="L805" t="s">
        <v>238</v>
      </c>
      <c r="M805" t="s">
        <v>40</v>
      </c>
      <c r="N805" t="s">
        <v>34</v>
      </c>
      <c r="O805">
        <v>1</v>
      </c>
      <c r="P805" t="s">
        <v>2692</v>
      </c>
      <c r="Q805" t="s">
        <v>4546</v>
      </c>
      <c r="R805" t="s">
        <v>4726</v>
      </c>
      <c r="S805" t="s">
        <v>4717</v>
      </c>
      <c r="T805">
        <f t="shared" si="24"/>
        <v>4</v>
      </c>
      <c r="U805" s="21">
        <f t="shared" si="25"/>
        <v>45030</v>
      </c>
    </row>
    <row r="806" spans="1:21" x14ac:dyDescent="0.35">
      <c r="A806" t="s">
        <v>647</v>
      </c>
      <c r="B806" t="s">
        <v>648</v>
      </c>
      <c r="C806" t="s">
        <v>30</v>
      </c>
      <c r="D806" t="s">
        <v>205</v>
      </c>
      <c r="E806" s="1">
        <v>7.56</v>
      </c>
      <c r="F806" t="s">
        <v>206</v>
      </c>
      <c r="G806">
        <v>80</v>
      </c>
      <c r="H806" s="1">
        <v>6.048</v>
      </c>
      <c r="I806" s="21">
        <v>45026</v>
      </c>
      <c r="J806" s="21">
        <v>45031</v>
      </c>
      <c r="K806" s="21">
        <v>45031</v>
      </c>
      <c r="L806" t="s">
        <v>207</v>
      </c>
      <c r="M806" t="s">
        <v>67</v>
      </c>
      <c r="N806" t="s">
        <v>68</v>
      </c>
      <c r="O806">
        <v>1</v>
      </c>
      <c r="P806" t="s">
        <v>649</v>
      </c>
      <c r="Q806" t="s">
        <v>4517</v>
      </c>
      <c r="R806" t="s">
        <v>4726</v>
      </c>
      <c r="S806" t="s">
        <v>4717</v>
      </c>
      <c r="T806">
        <f t="shared" si="24"/>
        <v>5</v>
      </c>
      <c r="U806" s="21">
        <f t="shared" si="25"/>
        <v>45031</v>
      </c>
    </row>
    <row r="807" spans="1:21" x14ac:dyDescent="0.35">
      <c r="A807" t="s">
        <v>3035</v>
      </c>
      <c r="B807" t="s">
        <v>3036</v>
      </c>
      <c r="C807" t="s">
        <v>19</v>
      </c>
      <c r="D807" t="s">
        <v>205</v>
      </c>
      <c r="E807" s="1">
        <v>191.07900000000001</v>
      </c>
      <c r="F807" t="s">
        <v>206</v>
      </c>
      <c r="G807">
        <v>80</v>
      </c>
      <c r="H807" s="1">
        <v>152.86320000000001</v>
      </c>
      <c r="I807" s="21">
        <v>45025</v>
      </c>
      <c r="J807" s="21">
        <v>45031</v>
      </c>
      <c r="K807" s="21">
        <v>45031</v>
      </c>
      <c r="L807" t="s">
        <v>220</v>
      </c>
      <c r="M807" t="s">
        <v>97</v>
      </c>
      <c r="N807" t="s">
        <v>68</v>
      </c>
      <c r="O807">
        <v>1</v>
      </c>
      <c r="P807" t="s">
        <v>3037</v>
      </c>
      <c r="Q807" t="s">
        <v>4567</v>
      </c>
      <c r="R807" t="s">
        <v>4721</v>
      </c>
      <c r="S807" t="s">
        <v>4718</v>
      </c>
      <c r="T807">
        <f t="shared" si="24"/>
        <v>6</v>
      </c>
      <c r="U807" s="21">
        <f t="shared" si="25"/>
        <v>45031</v>
      </c>
    </row>
    <row r="808" spans="1:21" x14ac:dyDescent="0.35">
      <c r="A808" t="s">
        <v>1909</v>
      </c>
      <c r="B808" t="s">
        <v>1910</v>
      </c>
      <c r="C808" t="s">
        <v>30</v>
      </c>
      <c r="D808" t="s">
        <v>212</v>
      </c>
      <c r="E808" s="1">
        <v>18.495999999999999</v>
      </c>
      <c r="F808" t="s">
        <v>206</v>
      </c>
      <c r="G808">
        <v>100</v>
      </c>
      <c r="H808" s="1">
        <v>18.495999999999999</v>
      </c>
      <c r="I808" s="21">
        <v>45025</v>
      </c>
      <c r="J808" s="21">
        <v>45031</v>
      </c>
      <c r="K808" s="21">
        <v>45031</v>
      </c>
      <c r="L808" t="s">
        <v>248</v>
      </c>
      <c r="M808" t="s">
        <v>33</v>
      </c>
      <c r="N808" t="s">
        <v>34</v>
      </c>
      <c r="O808">
        <v>1</v>
      </c>
      <c r="P808" t="s">
        <v>1911</v>
      </c>
      <c r="Q808" t="s">
        <v>4519</v>
      </c>
      <c r="R808" t="s">
        <v>4726</v>
      </c>
      <c r="S808" t="s">
        <v>4717</v>
      </c>
      <c r="T808">
        <f t="shared" si="24"/>
        <v>6</v>
      </c>
      <c r="U808" s="21">
        <f t="shared" si="25"/>
        <v>45031</v>
      </c>
    </row>
    <row r="809" spans="1:21" x14ac:dyDescent="0.35">
      <c r="A809" t="s">
        <v>3033</v>
      </c>
      <c r="B809" t="s">
        <v>3034</v>
      </c>
      <c r="C809" t="s">
        <v>30</v>
      </c>
      <c r="D809" t="s">
        <v>212</v>
      </c>
      <c r="E809" s="1">
        <v>10.368</v>
      </c>
      <c r="F809" t="s">
        <v>206</v>
      </c>
      <c r="G809">
        <v>100</v>
      </c>
      <c r="H809" s="1">
        <v>10.368</v>
      </c>
      <c r="I809" s="21">
        <v>45025</v>
      </c>
      <c r="J809" s="21">
        <v>45028</v>
      </c>
      <c r="K809" s="21">
        <v>45028</v>
      </c>
      <c r="L809" t="s">
        <v>248</v>
      </c>
      <c r="M809" t="s">
        <v>146</v>
      </c>
      <c r="N809" t="s">
        <v>73</v>
      </c>
      <c r="O809">
        <v>1</v>
      </c>
      <c r="P809" t="s">
        <v>551</v>
      </c>
      <c r="Q809" t="s">
        <v>4519</v>
      </c>
      <c r="R809" t="s">
        <v>4726</v>
      </c>
      <c r="S809" t="s">
        <v>4717</v>
      </c>
      <c r="T809">
        <f t="shared" si="24"/>
        <v>3</v>
      </c>
      <c r="U809" s="21">
        <f t="shared" si="25"/>
        <v>45028</v>
      </c>
    </row>
    <row r="810" spans="1:21" x14ac:dyDescent="0.35">
      <c r="A810" t="s">
        <v>1906</v>
      </c>
      <c r="B810" t="s">
        <v>1907</v>
      </c>
      <c r="C810" t="s">
        <v>19</v>
      </c>
      <c r="D810" t="s">
        <v>205</v>
      </c>
      <c r="E810" s="1">
        <v>32.064</v>
      </c>
      <c r="F810" t="s">
        <v>206</v>
      </c>
      <c r="G810">
        <v>80</v>
      </c>
      <c r="H810" s="1">
        <v>25.651200000000003</v>
      </c>
      <c r="I810" s="21">
        <v>45024</v>
      </c>
      <c r="J810" s="21">
        <v>45026</v>
      </c>
      <c r="K810" s="21">
        <v>45026</v>
      </c>
      <c r="L810" t="s">
        <v>248</v>
      </c>
      <c r="M810" t="s">
        <v>25</v>
      </c>
      <c r="N810" t="s">
        <v>26</v>
      </c>
      <c r="O810">
        <v>1</v>
      </c>
      <c r="P810" t="s">
        <v>1908</v>
      </c>
      <c r="Q810" t="s">
        <v>4729</v>
      </c>
      <c r="R810" t="s">
        <v>4722</v>
      </c>
      <c r="S810" t="s">
        <v>4718</v>
      </c>
      <c r="T810">
        <f t="shared" si="24"/>
        <v>2</v>
      </c>
      <c r="U810" s="21">
        <f t="shared" si="25"/>
        <v>45026</v>
      </c>
    </row>
    <row r="811" spans="1:21" x14ac:dyDescent="0.35">
      <c r="A811" t="s">
        <v>4043</v>
      </c>
      <c r="B811" t="s">
        <v>4044</v>
      </c>
      <c r="C811" t="s">
        <v>30</v>
      </c>
      <c r="D811" t="s">
        <v>212</v>
      </c>
      <c r="E811" s="1">
        <v>5.56</v>
      </c>
      <c r="F811" t="s">
        <v>206</v>
      </c>
      <c r="G811">
        <v>100</v>
      </c>
      <c r="H811" s="1">
        <v>5.56</v>
      </c>
      <c r="I811" s="21">
        <v>45024</v>
      </c>
      <c r="J811" s="21">
        <v>45026</v>
      </c>
      <c r="K811" s="21">
        <v>45026</v>
      </c>
      <c r="L811" t="s">
        <v>248</v>
      </c>
      <c r="M811" t="s">
        <v>97</v>
      </c>
      <c r="N811" t="s">
        <v>68</v>
      </c>
      <c r="O811">
        <v>1</v>
      </c>
      <c r="P811" t="s">
        <v>3838</v>
      </c>
      <c r="Q811" t="s">
        <v>4520</v>
      </c>
      <c r="R811" t="s">
        <v>4726</v>
      </c>
      <c r="S811" t="s">
        <v>4717</v>
      </c>
      <c r="T811">
        <f t="shared" si="24"/>
        <v>2</v>
      </c>
      <c r="U811" s="21">
        <f t="shared" si="25"/>
        <v>45026</v>
      </c>
    </row>
    <row r="812" spans="1:21" x14ac:dyDescent="0.35">
      <c r="A812" t="s">
        <v>3031</v>
      </c>
      <c r="B812" t="s">
        <v>3032</v>
      </c>
      <c r="C812" t="s">
        <v>19</v>
      </c>
      <c r="D812" t="s">
        <v>212</v>
      </c>
      <c r="E812" s="1">
        <v>125.99</v>
      </c>
      <c r="F812" t="s">
        <v>206</v>
      </c>
      <c r="G812">
        <v>100</v>
      </c>
      <c r="H812" s="1">
        <v>125.99</v>
      </c>
      <c r="I812" s="21">
        <v>45024</v>
      </c>
      <c r="J812" s="21">
        <v>45028</v>
      </c>
      <c r="K812" s="21">
        <v>45028</v>
      </c>
      <c r="L812" t="s">
        <v>234</v>
      </c>
      <c r="M812" t="s">
        <v>82</v>
      </c>
      <c r="N812" t="s">
        <v>47</v>
      </c>
      <c r="O812">
        <v>1</v>
      </c>
      <c r="P812" t="s">
        <v>361</v>
      </c>
      <c r="Q812" t="s">
        <v>4557</v>
      </c>
      <c r="R812" t="s">
        <v>4711</v>
      </c>
      <c r="S812" t="s">
        <v>4719</v>
      </c>
      <c r="T812">
        <f t="shared" si="24"/>
        <v>4</v>
      </c>
      <c r="U812" s="21">
        <f t="shared" si="25"/>
        <v>45028</v>
      </c>
    </row>
    <row r="813" spans="1:21" x14ac:dyDescent="0.35">
      <c r="A813" t="s">
        <v>1903</v>
      </c>
      <c r="B813" t="s">
        <v>1904</v>
      </c>
      <c r="C813" t="s">
        <v>19</v>
      </c>
      <c r="D813" t="s">
        <v>212</v>
      </c>
      <c r="E813" s="1">
        <v>629.099999999999</v>
      </c>
      <c r="F813" t="s">
        <v>206</v>
      </c>
      <c r="G813">
        <v>100</v>
      </c>
      <c r="H813" s="1">
        <v>629.099999999999</v>
      </c>
      <c r="I813" s="21">
        <v>45024</v>
      </c>
      <c r="J813" s="21">
        <v>45029</v>
      </c>
      <c r="K813" s="21">
        <v>45029</v>
      </c>
      <c r="L813" t="s">
        <v>248</v>
      </c>
      <c r="M813" t="s">
        <v>72</v>
      </c>
      <c r="N813" t="s">
        <v>73</v>
      </c>
      <c r="O813">
        <v>1</v>
      </c>
      <c r="P813" t="s">
        <v>1905</v>
      </c>
      <c r="Q813" t="s">
        <v>4519</v>
      </c>
      <c r="R813" t="s">
        <v>4726</v>
      </c>
      <c r="S813" t="s">
        <v>4717</v>
      </c>
      <c r="T813">
        <f t="shared" si="24"/>
        <v>5</v>
      </c>
      <c r="U813" s="21">
        <f t="shared" si="25"/>
        <v>45029</v>
      </c>
    </row>
    <row r="814" spans="1:21" x14ac:dyDescent="0.35">
      <c r="A814" t="s">
        <v>1900</v>
      </c>
      <c r="B814" t="s">
        <v>1901</v>
      </c>
      <c r="C814" t="s">
        <v>30</v>
      </c>
      <c r="D814" t="s">
        <v>212</v>
      </c>
      <c r="E814" s="1">
        <v>49.76</v>
      </c>
      <c r="F814" t="s">
        <v>206</v>
      </c>
      <c r="G814">
        <v>100</v>
      </c>
      <c r="H814" s="1">
        <v>49.76</v>
      </c>
      <c r="I814" s="21">
        <v>45023</v>
      </c>
      <c r="J814" s="21">
        <v>45027</v>
      </c>
      <c r="K814" s="21">
        <v>45027</v>
      </c>
      <c r="L814" t="s">
        <v>248</v>
      </c>
      <c r="M814" t="s">
        <v>25</v>
      </c>
      <c r="N814" t="s">
        <v>26</v>
      </c>
      <c r="O814">
        <v>1</v>
      </c>
      <c r="P814" t="s">
        <v>1902</v>
      </c>
      <c r="Q814" t="s">
        <v>4533</v>
      </c>
      <c r="R814" t="s">
        <v>4709</v>
      </c>
      <c r="S814" t="s">
        <v>4717</v>
      </c>
      <c r="T814">
        <f t="shared" si="24"/>
        <v>4</v>
      </c>
      <c r="U814" s="21">
        <f t="shared" si="25"/>
        <v>45027</v>
      </c>
    </row>
    <row r="815" spans="1:21" x14ac:dyDescent="0.35">
      <c r="A815" t="s">
        <v>4041</v>
      </c>
      <c r="B815" t="s">
        <v>4042</v>
      </c>
      <c r="C815" t="s">
        <v>19</v>
      </c>
      <c r="D815" t="s">
        <v>212</v>
      </c>
      <c r="E815" s="1">
        <v>47.4</v>
      </c>
      <c r="F815" t="s">
        <v>206</v>
      </c>
      <c r="G815">
        <v>100</v>
      </c>
      <c r="H815" s="1">
        <v>47.4</v>
      </c>
      <c r="I815" s="21">
        <v>45022</v>
      </c>
      <c r="J815" s="21">
        <v>45027</v>
      </c>
      <c r="K815" s="21">
        <v>45027</v>
      </c>
      <c r="L815" t="s">
        <v>220</v>
      </c>
      <c r="M815" t="s">
        <v>25</v>
      </c>
      <c r="N815" t="s">
        <v>26</v>
      </c>
      <c r="O815">
        <v>1</v>
      </c>
      <c r="P815" t="s">
        <v>3794</v>
      </c>
      <c r="Q815" t="s">
        <v>4603</v>
      </c>
      <c r="R815" t="s">
        <v>4721</v>
      </c>
      <c r="S815" t="s">
        <v>4717</v>
      </c>
      <c r="T815">
        <f t="shared" si="24"/>
        <v>5</v>
      </c>
      <c r="U815" s="21">
        <f t="shared" si="25"/>
        <v>45027</v>
      </c>
    </row>
    <row r="816" spans="1:21" x14ac:dyDescent="0.35">
      <c r="A816" t="s">
        <v>4039</v>
      </c>
      <c r="B816" t="s">
        <v>4040</v>
      </c>
      <c r="C816" t="s">
        <v>19</v>
      </c>
      <c r="D816" t="s">
        <v>21</v>
      </c>
      <c r="E816" s="1">
        <v>177.78</v>
      </c>
      <c r="F816" t="s">
        <v>22</v>
      </c>
      <c r="G816">
        <v>0</v>
      </c>
      <c r="H816" s="1">
        <v>0</v>
      </c>
      <c r="I816" s="21">
        <v>45021</v>
      </c>
      <c r="J816" s="21">
        <v>45022</v>
      </c>
      <c r="K816" s="21">
        <v>45022</v>
      </c>
      <c r="L816" t="s">
        <v>53</v>
      </c>
      <c r="M816" t="s">
        <v>67</v>
      </c>
      <c r="N816" t="s">
        <v>68</v>
      </c>
      <c r="O816">
        <v>1</v>
      </c>
      <c r="P816" t="s">
        <v>2362</v>
      </c>
      <c r="Q816" t="s">
        <v>4729</v>
      </c>
      <c r="R816" t="s">
        <v>4711</v>
      </c>
      <c r="S816" t="s">
        <v>4719</v>
      </c>
      <c r="T816">
        <f t="shared" si="24"/>
        <v>1</v>
      </c>
      <c r="U816" s="21">
        <f t="shared" si="25"/>
        <v>45022</v>
      </c>
    </row>
    <row r="817" spans="1:21" x14ac:dyDescent="0.35">
      <c r="A817" t="s">
        <v>4037</v>
      </c>
      <c r="B817" t="s">
        <v>4038</v>
      </c>
      <c r="C817" t="s">
        <v>19</v>
      </c>
      <c r="D817" t="s">
        <v>212</v>
      </c>
      <c r="E817" s="1">
        <v>62.1</v>
      </c>
      <c r="F817" t="s">
        <v>206</v>
      </c>
      <c r="G817">
        <v>100</v>
      </c>
      <c r="H817" s="1">
        <v>62.1</v>
      </c>
      <c r="I817" s="21">
        <v>45021</v>
      </c>
      <c r="J817" s="21">
        <v>45026</v>
      </c>
      <c r="K817" s="21">
        <v>45026</v>
      </c>
      <c r="L817" t="s">
        <v>238</v>
      </c>
      <c r="M817" t="s">
        <v>54</v>
      </c>
      <c r="N817" t="s">
        <v>26</v>
      </c>
      <c r="O817">
        <v>1</v>
      </c>
      <c r="P817" t="s">
        <v>2103</v>
      </c>
      <c r="Q817" t="s">
        <v>4517</v>
      </c>
      <c r="R817" t="s">
        <v>4726</v>
      </c>
      <c r="S817" t="s">
        <v>4717</v>
      </c>
      <c r="T817">
        <f t="shared" si="24"/>
        <v>5</v>
      </c>
      <c r="U817" s="21">
        <f t="shared" si="25"/>
        <v>45026</v>
      </c>
    </row>
    <row r="818" spans="1:21" x14ac:dyDescent="0.35">
      <c r="A818" t="s">
        <v>1897</v>
      </c>
      <c r="B818" t="s">
        <v>1898</v>
      </c>
      <c r="C818" t="s">
        <v>19</v>
      </c>
      <c r="D818" t="s">
        <v>212</v>
      </c>
      <c r="E818" s="1">
        <v>2275.5</v>
      </c>
      <c r="F818" t="s">
        <v>206</v>
      </c>
      <c r="G818">
        <v>100</v>
      </c>
      <c r="H818" s="1">
        <v>2275.5</v>
      </c>
      <c r="I818" s="21">
        <v>45020</v>
      </c>
      <c r="J818" s="21">
        <v>45024</v>
      </c>
      <c r="K818" s="21">
        <v>45024</v>
      </c>
      <c r="L818" t="s">
        <v>213</v>
      </c>
      <c r="M818" t="s">
        <v>72</v>
      </c>
      <c r="N818" t="s">
        <v>73</v>
      </c>
      <c r="O818">
        <v>1</v>
      </c>
      <c r="P818" t="s">
        <v>1899</v>
      </c>
      <c r="Q818" t="s">
        <v>4729</v>
      </c>
      <c r="R818" t="s">
        <v>4712</v>
      </c>
      <c r="S818" t="s">
        <v>4718</v>
      </c>
      <c r="T818">
        <f t="shared" si="24"/>
        <v>4</v>
      </c>
      <c r="U818" s="21">
        <f t="shared" si="25"/>
        <v>45024</v>
      </c>
    </row>
    <row r="819" spans="1:21" x14ac:dyDescent="0.35">
      <c r="A819" t="s">
        <v>644</v>
      </c>
      <c r="B819" t="s">
        <v>645</v>
      </c>
      <c r="C819" t="s">
        <v>30</v>
      </c>
      <c r="D819" t="s">
        <v>212</v>
      </c>
      <c r="E819" s="1">
        <v>1979.7</v>
      </c>
      <c r="F819" t="s">
        <v>206</v>
      </c>
      <c r="G819">
        <v>100</v>
      </c>
      <c r="H819" s="1">
        <v>1979.7</v>
      </c>
      <c r="I819" s="21">
        <v>45020</v>
      </c>
      <c r="J819" s="21">
        <v>45020</v>
      </c>
      <c r="K819" s="21">
        <v>45020</v>
      </c>
      <c r="L819" t="s">
        <v>248</v>
      </c>
      <c r="M819" t="s">
        <v>46</v>
      </c>
      <c r="N819" t="s">
        <v>47</v>
      </c>
      <c r="O819">
        <v>1</v>
      </c>
      <c r="P819" t="s">
        <v>646</v>
      </c>
      <c r="Q819" t="s">
        <v>4552</v>
      </c>
      <c r="R819" t="s">
        <v>4713</v>
      </c>
      <c r="S819" t="s">
        <v>4719</v>
      </c>
      <c r="T819">
        <f t="shared" si="24"/>
        <v>0</v>
      </c>
      <c r="U819" s="21">
        <f t="shared" si="25"/>
        <v>45020</v>
      </c>
    </row>
    <row r="820" spans="1:21" x14ac:dyDescent="0.35">
      <c r="A820" t="s">
        <v>4035</v>
      </c>
      <c r="B820" t="s">
        <v>4036</v>
      </c>
      <c r="C820" t="s">
        <v>19</v>
      </c>
      <c r="D820" t="s">
        <v>212</v>
      </c>
      <c r="E820" s="1">
        <v>558.4</v>
      </c>
      <c r="F820" t="s">
        <v>206</v>
      </c>
      <c r="G820">
        <v>100</v>
      </c>
      <c r="H820" s="1">
        <v>558.4</v>
      </c>
      <c r="I820" s="21">
        <v>45019</v>
      </c>
      <c r="J820" s="21">
        <v>45023</v>
      </c>
      <c r="K820" s="21">
        <v>45023</v>
      </c>
      <c r="L820" t="s">
        <v>213</v>
      </c>
      <c r="M820" t="s">
        <v>33</v>
      </c>
      <c r="N820" t="s">
        <v>34</v>
      </c>
      <c r="O820">
        <v>1</v>
      </c>
      <c r="P820" t="s">
        <v>1606</v>
      </c>
      <c r="Q820" t="s">
        <v>4729</v>
      </c>
      <c r="R820" t="s">
        <v>4720</v>
      </c>
      <c r="S820" t="s">
        <v>4719</v>
      </c>
      <c r="T820">
        <f t="shared" si="24"/>
        <v>4</v>
      </c>
      <c r="U820" s="21">
        <f t="shared" si="25"/>
        <v>45023</v>
      </c>
    </row>
    <row r="821" spans="1:21" x14ac:dyDescent="0.35">
      <c r="A821" t="s">
        <v>642</v>
      </c>
      <c r="B821" t="s">
        <v>643</v>
      </c>
      <c r="C821" t="s">
        <v>30</v>
      </c>
      <c r="D821" t="s">
        <v>205</v>
      </c>
      <c r="E821" s="1">
        <v>390.27199999999999</v>
      </c>
      <c r="F821" t="s">
        <v>206</v>
      </c>
      <c r="G821">
        <v>80</v>
      </c>
      <c r="H821" s="1">
        <v>312.2176</v>
      </c>
      <c r="I821" s="21">
        <v>45018</v>
      </c>
      <c r="J821" s="21">
        <v>45023</v>
      </c>
      <c r="K821" s="21">
        <v>45023</v>
      </c>
      <c r="L821" t="s">
        <v>248</v>
      </c>
      <c r="M821" t="s">
        <v>46</v>
      </c>
      <c r="N821" t="s">
        <v>47</v>
      </c>
      <c r="O821">
        <v>1</v>
      </c>
      <c r="P821" t="s">
        <v>364</v>
      </c>
      <c r="Q821" t="s">
        <v>4525</v>
      </c>
      <c r="R821" t="s">
        <v>4714</v>
      </c>
      <c r="S821" t="s">
        <v>4718</v>
      </c>
      <c r="T821">
        <f t="shared" si="24"/>
        <v>5</v>
      </c>
      <c r="U821" s="21">
        <f t="shared" si="25"/>
        <v>45023</v>
      </c>
    </row>
    <row r="822" spans="1:21" x14ac:dyDescent="0.35">
      <c r="A822" t="s">
        <v>1895</v>
      </c>
      <c r="B822" t="s">
        <v>1896</v>
      </c>
      <c r="C822" t="s">
        <v>19</v>
      </c>
      <c r="D822" t="s">
        <v>212</v>
      </c>
      <c r="E822" s="1">
        <v>22.72</v>
      </c>
      <c r="F822" t="s">
        <v>206</v>
      </c>
      <c r="G822">
        <v>100</v>
      </c>
      <c r="H822" s="1">
        <v>22.72</v>
      </c>
      <c r="I822" s="21">
        <v>45018</v>
      </c>
      <c r="J822" s="21">
        <v>45024</v>
      </c>
      <c r="K822" s="21">
        <v>45024</v>
      </c>
      <c r="L822" t="s">
        <v>207</v>
      </c>
      <c r="M822" t="s">
        <v>97</v>
      </c>
      <c r="N822" t="s">
        <v>68</v>
      </c>
      <c r="O822">
        <v>1</v>
      </c>
      <c r="P822" t="s">
        <v>1377</v>
      </c>
      <c r="Q822" t="s">
        <v>4515</v>
      </c>
      <c r="R822" t="s">
        <v>4726</v>
      </c>
      <c r="S822" t="s">
        <v>4717</v>
      </c>
      <c r="T822">
        <f t="shared" si="24"/>
        <v>6</v>
      </c>
      <c r="U822" s="21">
        <f t="shared" si="25"/>
        <v>45024</v>
      </c>
    </row>
    <row r="823" spans="1:21" x14ac:dyDescent="0.35">
      <c r="A823" t="s">
        <v>4032</v>
      </c>
      <c r="B823" t="s">
        <v>4033</v>
      </c>
      <c r="C823" t="s">
        <v>30</v>
      </c>
      <c r="D823" t="s">
        <v>212</v>
      </c>
      <c r="E823" s="1">
        <v>13.38</v>
      </c>
      <c r="F823" t="s">
        <v>206</v>
      </c>
      <c r="G823">
        <v>100</v>
      </c>
      <c r="H823" s="1">
        <v>13.38</v>
      </c>
      <c r="I823" s="21">
        <v>45018</v>
      </c>
      <c r="J823" s="21">
        <v>45022</v>
      </c>
      <c r="K823" s="21">
        <v>45022</v>
      </c>
      <c r="L823" t="s">
        <v>248</v>
      </c>
      <c r="M823" t="s">
        <v>40</v>
      </c>
      <c r="N823" t="s">
        <v>34</v>
      </c>
      <c r="O823">
        <v>1</v>
      </c>
      <c r="P823" t="s">
        <v>4034</v>
      </c>
      <c r="Q823" t="s">
        <v>4729</v>
      </c>
      <c r="R823" t="s">
        <v>4726</v>
      </c>
      <c r="S823" t="s">
        <v>4717</v>
      </c>
      <c r="T823">
        <f t="shared" si="24"/>
        <v>4</v>
      </c>
      <c r="U823" s="21">
        <f t="shared" si="25"/>
        <v>45022</v>
      </c>
    </row>
    <row r="824" spans="1:21" x14ac:dyDescent="0.35">
      <c r="A824" t="s">
        <v>3028</v>
      </c>
      <c r="B824" t="s">
        <v>3029</v>
      </c>
      <c r="C824" t="s">
        <v>30</v>
      </c>
      <c r="D824" t="s">
        <v>205</v>
      </c>
      <c r="E824" s="1">
        <v>11.276999999999999</v>
      </c>
      <c r="F824" t="s">
        <v>206</v>
      </c>
      <c r="G824">
        <v>80</v>
      </c>
      <c r="H824" s="1">
        <v>9.0215999999999994</v>
      </c>
      <c r="I824" s="21">
        <v>45017</v>
      </c>
      <c r="J824" s="21">
        <v>45023</v>
      </c>
      <c r="K824" s="21">
        <v>45023</v>
      </c>
      <c r="L824" t="s">
        <v>238</v>
      </c>
      <c r="M824" t="s">
        <v>54</v>
      </c>
      <c r="N824" t="s">
        <v>26</v>
      </c>
      <c r="O824">
        <v>1</v>
      </c>
      <c r="P824" t="s">
        <v>3030</v>
      </c>
      <c r="Q824" t="s">
        <v>4528</v>
      </c>
      <c r="R824" t="s">
        <v>4726</v>
      </c>
      <c r="S824" t="s">
        <v>4717</v>
      </c>
      <c r="T824">
        <f t="shared" si="24"/>
        <v>6</v>
      </c>
      <c r="U824" s="21">
        <f t="shared" si="25"/>
        <v>45023</v>
      </c>
    </row>
    <row r="825" spans="1:21" x14ac:dyDescent="0.35">
      <c r="A825" t="s">
        <v>639</v>
      </c>
      <c r="B825" t="s">
        <v>640</v>
      </c>
      <c r="C825" t="s">
        <v>30</v>
      </c>
      <c r="D825" t="s">
        <v>205</v>
      </c>
      <c r="E825" s="1">
        <v>12.7</v>
      </c>
      <c r="F825" t="s">
        <v>206</v>
      </c>
      <c r="G825">
        <v>80</v>
      </c>
      <c r="H825" s="1">
        <v>10.16</v>
      </c>
      <c r="I825" s="21">
        <v>45016</v>
      </c>
      <c r="J825" s="21">
        <v>45018</v>
      </c>
      <c r="K825" s="21">
        <v>45018</v>
      </c>
      <c r="L825" t="s">
        <v>234</v>
      </c>
      <c r="M825" t="s">
        <v>25</v>
      </c>
      <c r="N825" t="s">
        <v>26</v>
      </c>
      <c r="O825">
        <v>1</v>
      </c>
      <c r="P825" t="s">
        <v>641</v>
      </c>
      <c r="Q825" t="s">
        <v>4729</v>
      </c>
      <c r="R825" t="s">
        <v>4726</v>
      </c>
      <c r="S825" t="s">
        <v>4717</v>
      </c>
      <c r="T825">
        <f t="shared" si="24"/>
        <v>2</v>
      </c>
      <c r="U825" s="21">
        <f t="shared" si="25"/>
        <v>45018</v>
      </c>
    </row>
    <row r="826" spans="1:21" x14ac:dyDescent="0.35">
      <c r="A826" t="s">
        <v>636</v>
      </c>
      <c r="B826" t="s">
        <v>637</v>
      </c>
      <c r="C826" t="s">
        <v>19</v>
      </c>
      <c r="D826" t="s">
        <v>212</v>
      </c>
      <c r="E826" s="1">
        <v>1297.3679999999999</v>
      </c>
      <c r="F826" t="s">
        <v>206</v>
      </c>
      <c r="G826">
        <v>100</v>
      </c>
      <c r="H826" s="1">
        <v>1297.3679999999999</v>
      </c>
      <c r="I826" s="21">
        <v>45014</v>
      </c>
      <c r="J826" s="21">
        <v>45017</v>
      </c>
      <c r="K826" s="21">
        <v>45017</v>
      </c>
      <c r="L826" t="s">
        <v>207</v>
      </c>
      <c r="M826" t="s">
        <v>46</v>
      </c>
      <c r="N826" t="s">
        <v>47</v>
      </c>
      <c r="O826">
        <v>1</v>
      </c>
      <c r="P826" t="s">
        <v>638</v>
      </c>
      <c r="Q826" t="s">
        <v>4729</v>
      </c>
      <c r="R826" t="s">
        <v>4709</v>
      </c>
      <c r="S826" t="s">
        <v>4717</v>
      </c>
      <c r="T826">
        <f t="shared" si="24"/>
        <v>3</v>
      </c>
      <c r="U826" s="21">
        <f t="shared" si="25"/>
        <v>45017</v>
      </c>
    </row>
    <row r="827" spans="1:21" x14ac:dyDescent="0.35">
      <c r="A827" t="s">
        <v>1892</v>
      </c>
      <c r="B827" t="s">
        <v>1893</v>
      </c>
      <c r="C827" t="s">
        <v>19</v>
      </c>
      <c r="D827" t="s">
        <v>212</v>
      </c>
      <c r="E827" s="1">
        <v>5.5839999999999996</v>
      </c>
      <c r="F827" t="s">
        <v>206</v>
      </c>
      <c r="G827">
        <v>100</v>
      </c>
      <c r="H827" s="1">
        <v>5.5839999999999996</v>
      </c>
      <c r="I827" s="21">
        <v>45012</v>
      </c>
      <c r="J827" s="21">
        <v>45016</v>
      </c>
      <c r="K827" s="21">
        <v>45016</v>
      </c>
      <c r="L827" t="s">
        <v>207</v>
      </c>
      <c r="M827" t="s">
        <v>97</v>
      </c>
      <c r="N827" t="s">
        <v>68</v>
      </c>
      <c r="O827">
        <v>1</v>
      </c>
      <c r="P827" t="s">
        <v>1894</v>
      </c>
      <c r="Q827" t="s">
        <v>4524</v>
      </c>
      <c r="R827" t="s">
        <v>4710</v>
      </c>
      <c r="S827" t="s">
        <v>4717</v>
      </c>
      <c r="T827">
        <f t="shared" si="24"/>
        <v>4</v>
      </c>
      <c r="U827" s="21">
        <f t="shared" si="25"/>
        <v>45016</v>
      </c>
    </row>
    <row r="828" spans="1:21" x14ac:dyDescent="0.35">
      <c r="A828" t="s">
        <v>4029</v>
      </c>
      <c r="B828" t="s">
        <v>4030</v>
      </c>
      <c r="C828" t="s">
        <v>19</v>
      </c>
      <c r="D828" t="s">
        <v>21</v>
      </c>
      <c r="E828" s="1">
        <v>187.61599999999999</v>
      </c>
      <c r="F828" t="s">
        <v>22</v>
      </c>
      <c r="G828">
        <v>0</v>
      </c>
      <c r="H828" s="1">
        <v>0</v>
      </c>
      <c r="I828" s="21">
        <v>45012</v>
      </c>
      <c r="J828" s="21">
        <v>45013</v>
      </c>
      <c r="K828" s="21">
        <v>45013</v>
      </c>
      <c r="L828" t="s">
        <v>32</v>
      </c>
      <c r="M828" t="s">
        <v>67</v>
      </c>
      <c r="N828" t="s">
        <v>68</v>
      </c>
      <c r="O828">
        <v>1</v>
      </c>
      <c r="P828" t="s">
        <v>4031</v>
      </c>
      <c r="Q828" t="s">
        <v>4729</v>
      </c>
      <c r="R828" t="s">
        <v>4721</v>
      </c>
      <c r="S828" t="s">
        <v>4717</v>
      </c>
      <c r="T828">
        <f t="shared" si="24"/>
        <v>1</v>
      </c>
      <c r="U828" s="21">
        <f t="shared" si="25"/>
        <v>45013</v>
      </c>
    </row>
    <row r="829" spans="1:21" x14ac:dyDescent="0.35">
      <c r="A829" t="s">
        <v>1889</v>
      </c>
      <c r="B829" t="s">
        <v>1890</v>
      </c>
      <c r="C829" t="s">
        <v>19</v>
      </c>
      <c r="D829" t="s">
        <v>205</v>
      </c>
      <c r="E829" s="1">
        <v>484.70400000000001</v>
      </c>
      <c r="F829" t="s">
        <v>206</v>
      </c>
      <c r="G829">
        <v>80</v>
      </c>
      <c r="H829" s="1">
        <v>387.76320000000004</v>
      </c>
      <c r="I829" s="21">
        <v>45011</v>
      </c>
      <c r="J829" s="21">
        <v>45011</v>
      </c>
      <c r="K829" s="21">
        <v>45011</v>
      </c>
      <c r="L829" t="s">
        <v>248</v>
      </c>
      <c r="M829" t="s">
        <v>67</v>
      </c>
      <c r="N829" t="s">
        <v>68</v>
      </c>
      <c r="O829">
        <v>1</v>
      </c>
      <c r="P829" t="s">
        <v>1891</v>
      </c>
      <c r="Q829" t="s">
        <v>4567</v>
      </c>
      <c r="R829" t="s">
        <v>4714</v>
      </c>
      <c r="S829" t="s">
        <v>4718</v>
      </c>
      <c r="T829">
        <f t="shared" si="24"/>
        <v>0</v>
      </c>
      <c r="U829" s="21">
        <f t="shared" si="25"/>
        <v>45011</v>
      </c>
    </row>
    <row r="830" spans="1:21" x14ac:dyDescent="0.35">
      <c r="A830" t="s">
        <v>1887</v>
      </c>
      <c r="B830" t="s">
        <v>1888</v>
      </c>
      <c r="C830" t="s">
        <v>19</v>
      </c>
      <c r="D830" t="s">
        <v>205</v>
      </c>
      <c r="E830" s="1">
        <v>19.36</v>
      </c>
      <c r="F830" t="s">
        <v>206</v>
      </c>
      <c r="G830">
        <v>80</v>
      </c>
      <c r="H830" s="1">
        <v>15.488</v>
      </c>
      <c r="I830" s="21">
        <v>45011</v>
      </c>
      <c r="J830" s="21">
        <v>45013</v>
      </c>
      <c r="K830" s="21">
        <v>45013</v>
      </c>
      <c r="L830" t="s">
        <v>234</v>
      </c>
      <c r="M830" t="s">
        <v>46</v>
      </c>
      <c r="N830" t="s">
        <v>47</v>
      </c>
      <c r="O830">
        <v>1</v>
      </c>
      <c r="P830" t="s">
        <v>1288</v>
      </c>
      <c r="Q830" t="s">
        <v>4729</v>
      </c>
      <c r="R830" t="s">
        <v>4726</v>
      </c>
      <c r="S830" t="s">
        <v>4717</v>
      </c>
      <c r="T830">
        <f t="shared" si="24"/>
        <v>2</v>
      </c>
      <c r="U830" s="21">
        <f t="shared" si="25"/>
        <v>45013</v>
      </c>
    </row>
    <row r="831" spans="1:21" x14ac:dyDescent="0.35">
      <c r="A831" t="s">
        <v>633</v>
      </c>
      <c r="B831" t="s">
        <v>634</v>
      </c>
      <c r="C831" t="s">
        <v>30</v>
      </c>
      <c r="D831" t="s">
        <v>205</v>
      </c>
      <c r="E831" s="1">
        <v>24.96</v>
      </c>
      <c r="F831" t="s">
        <v>206</v>
      </c>
      <c r="G831">
        <v>80</v>
      </c>
      <c r="H831" s="1">
        <v>19.968000000000004</v>
      </c>
      <c r="I831" s="21">
        <v>45010</v>
      </c>
      <c r="J831" s="21">
        <v>45014</v>
      </c>
      <c r="K831" s="21">
        <v>45014</v>
      </c>
      <c r="L831" t="s">
        <v>248</v>
      </c>
      <c r="M831" t="s">
        <v>46</v>
      </c>
      <c r="N831" t="s">
        <v>47</v>
      </c>
      <c r="O831">
        <v>1</v>
      </c>
      <c r="P831" t="s">
        <v>635</v>
      </c>
      <c r="Q831" t="s">
        <v>4533</v>
      </c>
      <c r="R831" t="s">
        <v>4724</v>
      </c>
      <c r="S831" t="s">
        <v>4718</v>
      </c>
      <c r="T831">
        <f t="shared" si="24"/>
        <v>4</v>
      </c>
      <c r="U831" s="21">
        <f t="shared" si="25"/>
        <v>45014</v>
      </c>
    </row>
    <row r="832" spans="1:21" x14ac:dyDescent="0.35">
      <c r="A832" t="s">
        <v>1884</v>
      </c>
      <c r="B832" t="s">
        <v>1885</v>
      </c>
      <c r="C832" t="s">
        <v>19</v>
      </c>
      <c r="D832" t="s">
        <v>205</v>
      </c>
      <c r="E832" s="1">
        <v>222.38399999999999</v>
      </c>
      <c r="F832" t="s">
        <v>206</v>
      </c>
      <c r="G832">
        <v>80</v>
      </c>
      <c r="H832" s="1">
        <v>177.90719999999999</v>
      </c>
      <c r="I832" s="21">
        <v>45010</v>
      </c>
      <c r="J832" s="21">
        <v>45012</v>
      </c>
      <c r="K832" s="21">
        <v>45012</v>
      </c>
      <c r="L832" t="s">
        <v>220</v>
      </c>
      <c r="M832" t="s">
        <v>67</v>
      </c>
      <c r="N832" t="s">
        <v>68</v>
      </c>
      <c r="O832">
        <v>1</v>
      </c>
      <c r="P832" t="s">
        <v>1886</v>
      </c>
      <c r="Q832" t="s">
        <v>4585</v>
      </c>
      <c r="R832" t="s">
        <v>4711</v>
      </c>
      <c r="S832" t="s">
        <v>4719</v>
      </c>
      <c r="T832">
        <f t="shared" si="24"/>
        <v>2</v>
      </c>
      <c r="U832" s="21">
        <f t="shared" si="25"/>
        <v>45012</v>
      </c>
    </row>
    <row r="833" spans="1:21" x14ac:dyDescent="0.35">
      <c r="A833" t="s">
        <v>630</v>
      </c>
      <c r="B833" t="s">
        <v>631</v>
      </c>
      <c r="C833" t="s">
        <v>30</v>
      </c>
      <c r="D833" t="s">
        <v>212</v>
      </c>
      <c r="E833" s="1">
        <v>16.655999999999999</v>
      </c>
      <c r="F833" t="s">
        <v>206</v>
      </c>
      <c r="G833">
        <v>100</v>
      </c>
      <c r="H833" s="1">
        <v>16.655999999999999</v>
      </c>
      <c r="I833" s="21">
        <v>45008</v>
      </c>
      <c r="J833" s="21">
        <v>45011</v>
      </c>
      <c r="K833" s="21">
        <v>45011</v>
      </c>
      <c r="L833" t="s">
        <v>207</v>
      </c>
      <c r="M833" t="s">
        <v>33</v>
      </c>
      <c r="N833" t="s">
        <v>34</v>
      </c>
      <c r="O833">
        <v>1</v>
      </c>
      <c r="P833" t="s">
        <v>632</v>
      </c>
      <c r="Q833" t="s">
        <v>4549</v>
      </c>
      <c r="R833" t="s">
        <v>4726</v>
      </c>
      <c r="S833" t="s">
        <v>4717</v>
      </c>
      <c r="T833">
        <f t="shared" si="24"/>
        <v>3</v>
      </c>
      <c r="U833" s="21">
        <f t="shared" si="25"/>
        <v>45011</v>
      </c>
    </row>
    <row r="834" spans="1:21" x14ac:dyDescent="0.35">
      <c r="A834" t="s">
        <v>4026</v>
      </c>
      <c r="B834" t="s">
        <v>4027</v>
      </c>
      <c r="C834" t="s">
        <v>19</v>
      </c>
      <c r="D834" t="s">
        <v>205</v>
      </c>
      <c r="E834" s="1">
        <v>3.7979999999999898</v>
      </c>
      <c r="F834" t="s">
        <v>206</v>
      </c>
      <c r="G834">
        <v>80</v>
      </c>
      <c r="H834" s="1">
        <v>3.0383999999999922</v>
      </c>
      <c r="I834" s="21">
        <v>45008</v>
      </c>
      <c r="J834" s="21">
        <v>45008</v>
      </c>
      <c r="K834" s="21">
        <v>45008</v>
      </c>
      <c r="L834" t="s">
        <v>248</v>
      </c>
      <c r="M834" t="s">
        <v>40</v>
      </c>
      <c r="N834" t="s">
        <v>34</v>
      </c>
      <c r="O834">
        <v>1</v>
      </c>
      <c r="P834" t="s">
        <v>4028</v>
      </c>
      <c r="Q834" t="s">
        <v>4596</v>
      </c>
      <c r="R834" t="s">
        <v>4726</v>
      </c>
      <c r="S834" t="s">
        <v>4717</v>
      </c>
      <c r="T834">
        <f t="shared" ref="T834:T897" si="26">J834-I834</f>
        <v>0</v>
      </c>
      <c r="U834" s="21">
        <f t="shared" si="25"/>
        <v>45008</v>
      </c>
    </row>
    <row r="835" spans="1:21" x14ac:dyDescent="0.35">
      <c r="A835" t="s">
        <v>4023</v>
      </c>
      <c r="B835" t="s">
        <v>4024</v>
      </c>
      <c r="C835" t="s">
        <v>19</v>
      </c>
      <c r="D835" t="s">
        <v>212</v>
      </c>
      <c r="E835" s="1">
        <v>6.2939999999999996</v>
      </c>
      <c r="F835" t="s">
        <v>206</v>
      </c>
      <c r="G835">
        <v>100</v>
      </c>
      <c r="H835" s="1">
        <v>6.2939999999999996</v>
      </c>
      <c r="I835" s="21">
        <v>45006</v>
      </c>
      <c r="J835" s="21">
        <v>45010</v>
      </c>
      <c r="K835" s="21">
        <v>45010</v>
      </c>
      <c r="L835" t="s">
        <v>213</v>
      </c>
      <c r="M835" t="s">
        <v>97</v>
      </c>
      <c r="N835" t="s">
        <v>68</v>
      </c>
      <c r="O835">
        <v>1</v>
      </c>
      <c r="P835" t="s">
        <v>4025</v>
      </c>
      <c r="Q835" t="s">
        <v>4517</v>
      </c>
      <c r="R835" t="s">
        <v>4726</v>
      </c>
      <c r="S835" t="s">
        <v>4717</v>
      </c>
      <c r="T835">
        <f t="shared" si="26"/>
        <v>4</v>
      </c>
      <c r="U835" s="21">
        <f t="shared" ref="U835:U898" si="27">J835</f>
        <v>45010</v>
      </c>
    </row>
    <row r="836" spans="1:21" x14ac:dyDescent="0.35">
      <c r="A836" t="s">
        <v>1881</v>
      </c>
      <c r="B836" t="s">
        <v>1882</v>
      </c>
      <c r="C836" t="s">
        <v>30</v>
      </c>
      <c r="D836" t="s">
        <v>212</v>
      </c>
      <c r="E836" s="1">
        <v>2396.4</v>
      </c>
      <c r="F836" t="s">
        <v>206</v>
      </c>
      <c r="G836">
        <v>100</v>
      </c>
      <c r="H836" s="1">
        <v>2396.4</v>
      </c>
      <c r="I836" s="21">
        <v>45006</v>
      </c>
      <c r="J836" s="21">
        <v>45011</v>
      </c>
      <c r="K836" s="21">
        <v>45011</v>
      </c>
      <c r="L836" t="s">
        <v>238</v>
      </c>
      <c r="M836" t="s">
        <v>54</v>
      </c>
      <c r="N836" t="s">
        <v>26</v>
      </c>
      <c r="O836">
        <v>1</v>
      </c>
      <c r="P836" t="s">
        <v>1883</v>
      </c>
      <c r="Q836" t="s">
        <v>4530</v>
      </c>
      <c r="R836" t="s">
        <v>4720</v>
      </c>
      <c r="S836" t="s">
        <v>4719</v>
      </c>
      <c r="T836">
        <f t="shared" si="26"/>
        <v>5</v>
      </c>
      <c r="U836" s="21">
        <f t="shared" si="27"/>
        <v>45011</v>
      </c>
    </row>
    <row r="837" spans="1:21" x14ac:dyDescent="0.35">
      <c r="A837" t="s">
        <v>3025</v>
      </c>
      <c r="B837" t="s">
        <v>3026</v>
      </c>
      <c r="C837" t="s">
        <v>19</v>
      </c>
      <c r="D837" t="s">
        <v>212</v>
      </c>
      <c r="E837" s="1">
        <v>10.368</v>
      </c>
      <c r="F837" t="s">
        <v>206</v>
      </c>
      <c r="G837">
        <v>100</v>
      </c>
      <c r="H837" s="1">
        <v>10.368</v>
      </c>
      <c r="I837" s="21">
        <v>45006</v>
      </c>
      <c r="J837" s="21">
        <v>45008</v>
      </c>
      <c r="K837" s="21">
        <v>45008</v>
      </c>
      <c r="L837" t="s">
        <v>220</v>
      </c>
      <c r="M837" t="s">
        <v>97</v>
      </c>
      <c r="N837" t="s">
        <v>68</v>
      </c>
      <c r="O837">
        <v>1</v>
      </c>
      <c r="P837" t="s">
        <v>3027</v>
      </c>
      <c r="Q837" t="s">
        <v>4519</v>
      </c>
      <c r="R837" t="s">
        <v>4726</v>
      </c>
      <c r="S837" t="s">
        <v>4717</v>
      </c>
      <c r="T837">
        <f t="shared" si="26"/>
        <v>2</v>
      </c>
      <c r="U837" s="21">
        <f t="shared" si="27"/>
        <v>45008</v>
      </c>
    </row>
    <row r="838" spans="1:21" x14ac:dyDescent="0.35">
      <c r="A838" t="s">
        <v>3023</v>
      </c>
      <c r="B838" t="s">
        <v>3024</v>
      </c>
      <c r="C838" t="s">
        <v>30</v>
      </c>
      <c r="D838" t="s">
        <v>212</v>
      </c>
      <c r="E838" s="1">
        <v>95.1</v>
      </c>
      <c r="F838" t="s">
        <v>206</v>
      </c>
      <c r="G838">
        <v>100</v>
      </c>
      <c r="H838" s="1">
        <v>95.1</v>
      </c>
      <c r="I838" s="21">
        <v>45005</v>
      </c>
      <c r="J838" s="21">
        <v>45010</v>
      </c>
      <c r="K838" s="21">
        <v>45010</v>
      </c>
      <c r="L838" t="s">
        <v>238</v>
      </c>
      <c r="M838" t="s">
        <v>46</v>
      </c>
      <c r="N838" t="s">
        <v>47</v>
      </c>
      <c r="O838">
        <v>1</v>
      </c>
      <c r="P838" t="s">
        <v>214</v>
      </c>
      <c r="Q838" t="s">
        <v>4538</v>
      </c>
      <c r="R838" t="s">
        <v>4713</v>
      </c>
      <c r="S838" t="s">
        <v>4719</v>
      </c>
      <c r="T838">
        <f t="shared" si="26"/>
        <v>5</v>
      </c>
      <c r="U838" s="21">
        <f t="shared" si="27"/>
        <v>45010</v>
      </c>
    </row>
    <row r="839" spans="1:21" x14ac:dyDescent="0.35">
      <c r="A839" t="s">
        <v>627</v>
      </c>
      <c r="B839" t="s">
        <v>628</v>
      </c>
      <c r="C839" t="s">
        <v>30</v>
      </c>
      <c r="D839" t="s">
        <v>212</v>
      </c>
      <c r="E839" s="1">
        <v>82.656000000000006</v>
      </c>
      <c r="F839" t="s">
        <v>206</v>
      </c>
      <c r="G839">
        <v>100</v>
      </c>
      <c r="H839" s="1">
        <v>82.656000000000006</v>
      </c>
      <c r="I839" s="21">
        <v>45005</v>
      </c>
      <c r="J839" s="21">
        <v>45007</v>
      </c>
      <c r="K839" s="21">
        <v>45007</v>
      </c>
      <c r="L839" t="s">
        <v>213</v>
      </c>
      <c r="M839" t="s">
        <v>40</v>
      </c>
      <c r="N839" t="s">
        <v>34</v>
      </c>
      <c r="O839">
        <v>1</v>
      </c>
      <c r="P839" t="s">
        <v>629</v>
      </c>
      <c r="Q839" t="s">
        <v>4541</v>
      </c>
      <c r="R839" t="s">
        <v>4726</v>
      </c>
      <c r="S839" t="s">
        <v>4717</v>
      </c>
      <c r="T839">
        <f t="shared" si="26"/>
        <v>2</v>
      </c>
      <c r="U839" s="21">
        <f t="shared" si="27"/>
        <v>45007</v>
      </c>
    </row>
    <row r="840" spans="1:21" x14ac:dyDescent="0.35">
      <c r="A840" t="s">
        <v>625</v>
      </c>
      <c r="B840" t="s">
        <v>626</v>
      </c>
      <c r="C840" t="s">
        <v>19</v>
      </c>
      <c r="D840" t="s">
        <v>205</v>
      </c>
      <c r="E840" s="1">
        <v>1.96399999999999</v>
      </c>
      <c r="F840" t="s">
        <v>206</v>
      </c>
      <c r="G840">
        <v>80</v>
      </c>
      <c r="H840" s="1">
        <v>1.5711999999999922</v>
      </c>
      <c r="I840" s="21">
        <v>45004</v>
      </c>
      <c r="J840" s="21">
        <v>45007</v>
      </c>
      <c r="K840" s="21">
        <v>45007</v>
      </c>
      <c r="L840" t="s">
        <v>213</v>
      </c>
      <c r="M840" t="s">
        <v>72</v>
      </c>
      <c r="N840" t="s">
        <v>73</v>
      </c>
      <c r="O840">
        <v>1</v>
      </c>
      <c r="P840" t="s">
        <v>143</v>
      </c>
      <c r="Q840" t="s">
        <v>4729</v>
      </c>
      <c r="R840" t="s">
        <v>4726</v>
      </c>
      <c r="S840" t="s">
        <v>4717</v>
      </c>
      <c r="T840">
        <f t="shared" si="26"/>
        <v>3</v>
      </c>
      <c r="U840" s="21">
        <f t="shared" si="27"/>
        <v>45007</v>
      </c>
    </row>
    <row r="841" spans="1:21" x14ac:dyDescent="0.35">
      <c r="A841" t="s">
        <v>1878</v>
      </c>
      <c r="B841" t="s">
        <v>1879</v>
      </c>
      <c r="C841" t="s">
        <v>19</v>
      </c>
      <c r="D841" t="s">
        <v>205</v>
      </c>
      <c r="E841" s="1">
        <v>15.423999999999999</v>
      </c>
      <c r="F841" t="s">
        <v>206</v>
      </c>
      <c r="G841">
        <v>80</v>
      </c>
      <c r="H841" s="1">
        <v>12.3392</v>
      </c>
      <c r="I841" s="21">
        <v>45004</v>
      </c>
      <c r="J841" s="21">
        <v>45006</v>
      </c>
      <c r="K841" s="21">
        <v>45006</v>
      </c>
      <c r="L841" t="s">
        <v>213</v>
      </c>
      <c r="M841" t="s">
        <v>146</v>
      </c>
      <c r="N841" t="s">
        <v>73</v>
      </c>
      <c r="O841">
        <v>1</v>
      </c>
      <c r="P841" t="s">
        <v>1880</v>
      </c>
      <c r="Q841" t="s">
        <v>4515</v>
      </c>
      <c r="R841" t="s">
        <v>4726</v>
      </c>
      <c r="S841" t="s">
        <v>4717</v>
      </c>
      <c r="T841">
        <f t="shared" si="26"/>
        <v>2</v>
      </c>
      <c r="U841" s="21">
        <f t="shared" si="27"/>
        <v>45006</v>
      </c>
    </row>
    <row r="842" spans="1:21" x14ac:dyDescent="0.35">
      <c r="A842" t="s">
        <v>3020</v>
      </c>
      <c r="B842" t="s">
        <v>3021</v>
      </c>
      <c r="C842" t="s">
        <v>30</v>
      </c>
      <c r="D842" t="s">
        <v>205</v>
      </c>
      <c r="E842" s="1">
        <v>9.5839999999999996</v>
      </c>
      <c r="F842" t="s">
        <v>206</v>
      </c>
      <c r="G842">
        <v>80</v>
      </c>
      <c r="H842" s="1">
        <v>7.6672000000000002</v>
      </c>
      <c r="I842" s="21">
        <v>45003</v>
      </c>
      <c r="J842" s="21">
        <v>45005</v>
      </c>
      <c r="K842" s="21">
        <v>45005</v>
      </c>
      <c r="L842" t="s">
        <v>248</v>
      </c>
      <c r="M842" t="s">
        <v>146</v>
      </c>
      <c r="N842" t="s">
        <v>73</v>
      </c>
      <c r="O842">
        <v>1</v>
      </c>
      <c r="P842" t="s">
        <v>3022</v>
      </c>
      <c r="Q842" t="s">
        <v>4528</v>
      </c>
      <c r="R842" t="s">
        <v>4726</v>
      </c>
      <c r="S842" t="s">
        <v>4717</v>
      </c>
      <c r="T842">
        <f t="shared" si="26"/>
        <v>2</v>
      </c>
      <c r="U842" s="21">
        <f t="shared" si="27"/>
        <v>45005</v>
      </c>
    </row>
    <row r="843" spans="1:21" x14ac:dyDescent="0.35">
      <c r="A843" t="s">
        <v>1875</v>
      </c>
      <c r="B843" t="s">
        <v>1876</v>
      </c>
      <c r="C843" t="s">
        <v>19</v>
      </c>
      <c r="D843" t="s">
        <v>212</v>
      </c>
      <c r="E843" s="1">
        <v>47.744</v>
      </c>
      <c r="F843" t="s">
        <v>206</v>
      </c>
      <c r="G843">
        <v>100</v>
      </c>
      <c r="H843" s="1">
        <v>47.744</v>
      </c>
      <c r="I843" s="21">
        <v>45003</v>
      </c>
      <c r="J843" s="21">
        <v>45009</v>
      </c>
      <c r="K843" s="21">
        <v>45009</v>
      </c>
      <c r="L843" t="s">
        <v>234</v>
      </c>
      <c r="M843" t="s">
        <v>40</v>
      </c>
      <c r="N843" t="s">
        <v>34</v>
      </c>
      <c r="O843">
        <v>1</v>
      </c>
      <c r="P843" t="s">
        <v>1877</v>
      </c>
      <c r="Q843" t="s">
        <v>4729</v>
      </c>
      <c r="R843" t="s">
        <v>4726</v>
      </c>
      <c r="S843" t="s">
        <v>4717</v>
      </c>
      <c r="T843">
        <f t="shared" si="26"/>
        <v>6</v>
      </c>
      <c r="U843" s="21">
        <f t="shared" si="27"/>
        <v>45009</v>
      </c>
    </row>
    <row r="844" spans="1:21" x14ac:dyDescent="0.35">
      <c r="A844" t="s">
        <v>4018</v>
      </c>
      <c r="B844" t="s">
        <v>4019</v>
      </c>
      <c r="C844" t="s">
        <v>19</v>
      </c>
      <c r="D844" t="s">
        <v>21</v>
      </c>
      <c r="E844" s="1">
        <v>1356.576</v>
      </c>
      <c r="F844" t="s">
        <v>22</v>
      </c>
      <c r="G844">
        <v>0</v>
      </c>
      <c r="H844" s="1">
        <v>0</v>
      </c>
      <c r="I844" s="21">
        <v>45001</v>
      </c>
      <c r="J844" s="21">
        <v>45002</v>
      </c>
      <c r="K844" s="21">
        <v>45002</v>
      </c>
      <c r="L844" t="s">
        <v>39</v>
      </c>
      <c r="M844" t="s">
        <v>67</v>
      </c>
      <c r="N844" t="s">
        <v>68</v>
      </c>
      <c r="O844">
        <v>1</v>
      </c>
      <c r="P844" t="s">
        <v>2717</v>
      </c>
      <c r="Q844" t="s">
        <v>4517</v>
      </c>
      <c r="R844" t="s">
        <v>4726</v>
      </c>
      <c r="S844" t="s">
        <v>4717</v>
      </c>
      <c r="T844">
        <f t="shared" si="26"/>
        <v>1</v>
      </c>
      <c r="U844" s="21">
        <f t="shared" si="27"/>
        <v>45002</v>
      </c>
    </row>
    <row r="845" spans="1:21" x14ac:dyDescent="0.35">
      <c r="A845" t="s">
        <v>4020</v>
      </c>
      <c r="B845" t="s">
        <v>4021</v>
      </c>
      <c r="C845" t="s">
        <v>30</v>
      </c>
      <c r="D845" t="s">
        <v>205</v>
      </c>
      <c r="E845" s="1">
        <v>641.96</v>
      </c>
      <c r="F845" t="s">
        <v>206</v>
      </c>
      <c r="G845">
        <v>80</v>
      </c>
      <c r="H845" s="1">
        <v>513.5680000000001</v>
      </c>
      <c r="I845" s="21">
        <v>45001</v>
      </c>
      <c r="J845" s="21">
        <v>45005</v>
      </c>
      <c r="K845" s="21">
        <v>45005</v>
      </c>
      <c r="L845" t="s">
        <v>238</v>
      </c>
      <c r="M845" t="s">
        <v>97</v>
      </c>
      <c r="N845" t="s">
        <v>68</v>
      </c>
      <c r="O845">
        <v>1</v>
      </c>
      <c r="P845" t="s">
        <v>4022</v>
      </c>
      <c r="Q845" t="s">
        <v>4729</v>
      </c>
      <c r="R845" t="s">
        <v>4714</v>
      </c>
      <c r="S845" t="s">
        <v>4718</v>
      </c>
      <c r="T845">
        <f t="shared" si="26"/>
        <v>4</v>
      </c>
      <c r="U845" s="21">
        <f t="shared" si="27"/>
        <v>45005</v>
      </c>
    </row>
    <row r="846" spans="1:21" x14ac:dyDescent="0.35">
      <c r="A846" t="s">
        <v>1870</v>
      </c>
      <c r="B846" t="s">
        <v>1871</v>
      </c>
      <c r="C846" t="s">
        <v>19</v>
      </c>
      <c r="D846" t="s">
        <v>212</v>
      </c>
      <c r="E846" s="1">
        <v>13.776</v>
      </c>
      <c r="F846" t="s">
        <v>206</v>
      </c>
      <c r="G846">
        <v>100</v>
      </c>
      <c r="H846" s="1">
        <v>13.776</v>
      </c>
      <c r="I846" s="21">
        <v>45000</v>
      </c>
      <c r="J846" s="21">
        <v>45005</v>
      </c>
      <c r="K846" s="21">
        <v>45005</v>
      </c>
      <c r="L846" t="s">
        <v>220</v>
      </c>
      <c r="M846" t="s">
        <v>46</v>
      </c>
      <c r="N846" t="s">
        <v>47</v>
      </c>
      <c r="O846">
        <v>1</v>
      </c>
      <c r="P846" t="s">
        <v>1154</v>
      </c>
      <c r="Q846" t="s">
        <v>4729</v>
      </c>
      <c r="R846" t="s">
        <v>4726</v>
      </c>
      <c r="S846" t="s">
        <v>4717</v>
      </c>
      <c r="T846">
        <f t="shared" si="26"/>
        <v>5</v>
      </c>
      <c r="U846" s="21">
        <f t="shared" si="27"/>
        <v>45005</v>
      </c>
    </row>
    <row r="847" spans="1:21" x14ac:dyDescent="0.35">
      <c r="A847" t="s">
        <v>619</v>
      </c>
      <c r="B847" t="s">
        <v>620</v>
      </c>
      <c r="C847" t="s">
        <v>19</v>
      </c>
      <c r="D847" t="s">
        <v>212</v>
      </c>
      <c r="E847" s="1">
        <v>21.4</v>
      </c>
      <c r="F847" t="s">
        <v>206</v>
      </c>
      <c r="G847">
        <v>100</v>
      </c>
      <c r="H847" s="1">
        <v>21.4</v>
      </c>
      <c r="I847" s="21">
        <v>45000</v>
      </c>
      <c r="J847" s="21">
        <v>45006</v>
      </c>
      <c r="K847" s="21">
        <v>45006</v>
      </c>
      <c r="L847" t="s">
        <v>238</v>
      </c>
      <c r="M847" t="s">
        <v>54</v>
      </c>
      <c r="N847" t="s">
        <v>26</v>
      </c>
      <c r="O847">
        <v>1</v>
      </c>
      <c r="P847" t="s">
        <v>621</v>
      </c>
      <c r="Q847" t="s">
        <v>4520</v>
      </c>
      <c r="R847" t="s">
        <v>4726</v>
      </c>
      <c r="S847" t="s">
        <v>4717</v>
      </c>
      <c r="T847">
        <f t="shared" si="26"/>
        <v>6</v>
      </c>
      <c r="U847" s="21">
        <f t="shared" si="27"/>
        <v>45006</v>
      </c>
    </row>
    <row r="848" spans="1:21" x14ac:dyDescent="0.35">
      <c r="A848" t="s">
        <v>616</v>
      </c>
      <c r="B848" t="s">
        <v>617</v>
      </c>
      <c r="C848" t="s">
        <v>19</v>
      </c>
      <c r="D848" t="s">
        <v>205</v>
      </c>
      <c r="E848" s="1">
        <v>552.55999999999995</v>
      </c>
      <c r="F848" t="s">
        <v>206</v>
      </c>
      <c r="G848">
        <v>80</v>
      </c>
      <c r="H848" s="1">
        <v>442.048</v>
      </c>
      <c r="I848" s="21">
        <v>45000</v>
      </c>
      <c r="J848" s="21">
        <v>45002</v>
      </c>
      <c r="K848" s="21">
        <v>45002</v>
      </c>
      <c r="L848" t="s">
        <v>207</v>
      </c>
      <c r="M848" t="s">
        <v>82</v>
      </c>
      <c r="N848" t="s">
        <v>47</v>
      </c>
      <c r="O848">
        <v>1</v>
      </c>
      <c r="P848" t="s">
        <v>618</v>
      </c>
      <c r="Q848" t="s">
        <v>4562</v>
      </c>
      <c r="R848" t="s">
        <v>4709</v>
      </c>
      <c r="S848" t="s">
        <v>4717</v>
      </c>
      <c r="T848">
        <f t="shared" si="26"/>
        <v>2</v>
      </c>
      <c r="U848" s="21">
        <f t="shared" si="27"/>
        <v>45002</v>
      </c>
    </row>
    <row r="849" spans="1:21" x14ac:dyDescent="0.35">
      <c r="A849" t="s">
        <v>622</v>
      </c>
      <c r="B849" t="s">
        <v>623</v>
      </c>
      <c r="C849" t="s">
        <v>19</v>
      </c>
      <c r="D849" t="s">
        <v>21</v>
      </c>
      <c r="E849" s="1">
        <v>392.06</v>
      </c>
      <c r="F849" t="s">
        <v>22</v>
      </c>
      <c r="G849">
        <v>0</v>
      </c>
      <c r="H849" s="1">
        <v>0</v>
      </c>
      <c r="I849" s="21">
        <v>45000</v>
      </c>
      <c r="J849" s="21">
        <v>45003</v>
      </c>
      <c r="K849" s="21">
        <v>45003</v>
      </c>
      <c r="L849" t="s">
        <v>63</v>
      </c>
      <c r="M849" t="s">
        <v>67</v>
      </c>
      <c r="N849" t="s">
        <v>68</v>
      </c>
      <c r="O849">
        <v>1</v>
      </c>
      <c r="P849" t="s">
        <v>624</v>
      </c>
      <c r="Q849" t="s">
        <v>4581</v>
      </c>
      <c r="R849" t="s">
        <v>4723</v>
      </c>
      <c r="S849" t="s">
        <v>4718</v>
      </c>
      <c r="T849">
        <f t="shared" si="26"/>
        <v>3</v>
      </c>
      <c r="U849" s="21">
        <f t="shared" si="27"/>
        <v>45003</v>
      </c>
    </row>
    <row r="850" spans="1:21" x14ac:dyDescent="0.35">
      <c r="A850" t="s">
        <v>1872</v>
      </c>
      <c r="B850" t="s">
        <v>1873</v>
      </c>
      <c r="C850" t="s">
        <v>30</v>
      </c>
      <c r="D850" t="s">
        <v>212</v>
      </c>
      <c r="E850" s="1">
        <v>87.84</v>
      </c>
      <c r="F850" t="s">
        <v>206</v>
      </c>
      <c r="G850">
        <v>100</v>
      </c>
      <c r="H850" s="1">
        <v>87.84</v>
      </c>
      <c r="I850" s="21">
        <v>45000</v>
      </c>
      <c r="J850" s="21">
        <v>45005</v>
      </c>
      <c r="K850" s="21">
        <v>45005</v>
      </c>
      <c r="L850" t="s">
        <v>248</v>
      </c>
      <c r="M850" t="s">
        <v>33</v>
      </c>
      <c r="N850" t="s">
        <v>34</v>
      </c>
      <c r="O850">
        <v>1</v>
      </c>
      <c r="P850" t="s">
        <v>1874</v>
      </c>
      <c r="Q850" t="s">
        <v>4729</v>
      </c>
      <c r="R850" t="s">
        <v>4726</v>
      </c>
      <c r="S850" t="s">
        <v>4717</v>
      </c>
      <c r="T850">
        <f t="shared" si="26"/>
        <v>5</v>
      </c>
      <c r="U850" s="21">
        <f t="shared" si="27"/>
        <v>45005</v>
      </c>
    </row>
    <row r="851" spans="1:21" x14ac:dyDescent="0.35">
      <c r="A851" t="s">
        <v>1867</v>
      </c>
      <c r="B851" t="s">
        <v>1868</v>
      </c>
      <c r="C851" t="s">
        <v>19</v>
      </c>
      <c r="D851" t="s">
        <v>21</v>
      </c>
      <c r="E851" s="1">
        <v>361.10399999999998</v>
      </c>
      <c r="F851" t="s">
        <v>22</v>
      </c>
      <c r="G851">
        <v>0</v>
      </c>
      <c r="H851" s="1">
        <v>0</v>
      </c>
      <c r="I851" s="21">
        <v>44999</v>
      </c>
      <c r="J851" s="21">
        <v>45002</v>
      </c>
      <c r="K851" s="21">
        <v>45002</v>
      </c>
      <c r="L851" t="s">
        <v>39</v>
      </c>
      <c r="M851" t="s">
        <v>54</v>
      </c>
      <c r="N851" t="s">
        <v>26</v>
      </c>
      <c r="O851">
        <v>1</v>
      </c>
      <c r="P851" t="s">
        <v>1869</v>
      </c>
      <c r="Q851" t="s">
        <v>4545</v>
      </c>
      <c r="R851" t="s">
        <v>4721</v>
      </c>
      <c r="S851" t="s">
        <v>4717</v>
      </c>
      <c r="T851">
        <f t="shared" si="26"/>
        <v>3</v>
      </c>
      <c r="U851" s="21">
        <f t="shared" si="27"/>
        <v>45002</v>
      </c>
    </row>
    <row r="852" spans="1:21" x14ac:dyDescent="0.35">
      <c r="A852" t="s">
        <v>4015</v>
      </c>
      <c r="B852" t="s">
        <v>4016</v>
      </c>
      <c r="C852" t="s">
        <v>19</v>
      </c>
      <c r="D852" t="s">
        <v>212</v>
      </c>
      <c r="E852" s="1">
        <v>10.38</v>
      </c>
      <c r="F852" t="s">
        <v>206</v>
      </c>
      <c r="G852">
        <v>100</v>
      </c>
      <c r="H852" s="1">
        <v>10.38</v>
      </c>
      <c r="I852" s="21">
        <v>44999</v>
      </c>
      <c r="J852" s="21">
        <v>45004</v>
      </c>
      <c r="K852" s="21">
        <v>45004</v>
      </c>
      <c r="L852" t="s">
        <v>207</v>
      </c>
      <c r="M852" t="s">
        <v>54</v>
      </c>
      <c r="N852" t="s">
        <v>26</v>
      </c>
      <c r="O852">
        <v>1</v>
      </c>
      <c r="P852" t="s">
        <v>4017</v>
      </c>
      <c r="Q852" t="s">
        <v>4515</v>
      </c>
      <c r="R852" t="s">
        <v>4726</v>
      </c>
      <c r="S852" t="s">
        <v>4717</v>
      </c>
      <c r="T852">
        <f t="shared" si="26"/>
        <v>5</v>
      </c>
      <c r="U852" s="21">
        <f t="shared" si="27"/>
        <v>45004</v>
      </c>
    </row>
    <row r="853" spans="1:21" x14ac:dyDescent="0.35">
      <c r="A853" t="s">
        <v>1862</v>
      </c>
      <c r="B853" t="s">
        <v>1863</v>
      </c>
      <c r="C853" t="s">
        <v>19</v>
      </c>
      <c r="D853" t="s">
        <v>205</v>
      </c>
      <c r="E853" s="1">
        <v>19.135999999999999</v>
      </c>
      <c r="F853" t="s">
        <v>206</v>
      </c>
      <c r="G853">
        <v>80</v>
      </c>
      <c r="H853" s="1">
        <v>15.3088</v>
      </c>
      <c r="I853" s="21">
        <v>44998</v>
      </c>
      <c r="J853" s="21">
        <v>45002</v>
      </c>
      <c r="K853" s="21">
        <v>45002</v>
      </c>
      <c r="L853" t="s">
        <v>238</v>
      </c>
      <c r="M853" t="s">
        <v>33</v>
      </c>
      <c r="N853" t="s">
        <v>34</v>
      </c>
      <c r="O853">
        <v>1</v>
      </c>
      <c r="P853" t="s">
        <v>466</v>
      </c>
      <c r="Q853" t="s">
        <v>4729</v>
      </c>
      <c r="R853" t="s">
        <v>4711</v>
      </c>
      <c r="S853" t="s">
        <v>4719</v>
      </c>
      <c r="T853">
        <f t="shared" si="26"/>
        <v>4</v>
      </c>
      <c r="U853" s="21">
        <f t="shared" si="27"/>
        <v>45002</v>
      </c>
    </row>
    <row r="854" spans="1:21" x14ac:dyDescent="0.35">
      <c r="A854" t="s">
        <v>3017</v>
      </c>
      <c r="B854" t="s">
        <v>3018</v>
      </c>
      <c r="C854" t="s">
        <v>19</v>
      </c>
      <c r="D854" t="s">
        <v>212</v>
      </c>
      <c r="E854" s="1">
        <v>10.02</v>
      </c>
      <c r="F854" t="s">
        <v>206</v>
      </c>
      <c r="G854">
        <v>100</v>
      </c>
      <c r="H854" s="1">
        <v>10.02</v>
      </c>
      <c r="I854" s="21">
        <v>44998</v>
      </c>
      <c r="J854" s="21">
        <v>45002</v>
      </c>
      <c r="K854" s="21">
        <v>45002</v>
      </c>
      <c r="L854" t="s">
        <v>234</v>
      </c>
      <c r="M854" t="s">
        <v>33</v>
      </c>
      <c r="N854" t="s">
        <v>34</v>
      </c>
      <c r="O854">
        <v>1</v>
      </c>
      <c r="P854" t="s">
        <v>3019</v>
      </c>
      <c r="Q854" t="s">
        <v>4563</v>
      </c>
      <c r="R854" t="s">
        <v>4721</v>
      </c>
      <c r="S854" t="s">
        <v>4718</v>
      </c>
      <c r="T854">
        <f t="shared" si="26"/>
        <v>4</v>
      </c>
      <c r="U854" s="21">
        <f t="shared" si="27"/>
        <v>45002</v>
      </c>
    </row>
    <row r="855" spans="1:21" x14ac:dyDescent="0.35">
      <c r="A855" t="s">
        <v>1864</v>
      </c>
      <c r="B855" t="s">
        <v>1865</v>
      </c>
      <c r="C855" t="s">
        <v>19</v>
      </c>
      <c r="D855" t="s">
        <v>205</v>
      </c>
      <c r="E855" s="1">
        <v>8</v>
      </c>
      <c r="F855" t="s">
        <v>206</v>
      </c>
      <c r="G855">
        <v>80</v>
      </c>
      <c r="H855" s="1">
        <v>6.4</v>
      </c>
      <c r="I855" s="21">
        <v>44998</v>
      </c>
      <c r="J855" s="21">
        <v>45003</v>
      </c>
      <c r="K855" s="21">
        <v>45003</v>
      </c>
      <c r="L855" t="s">
        <v>213</v>
      </c>
      <c r="M855" t="s">
        <v>33</v>
      </c>
      <c r="N855" t="s">
        <v>34</v>
      </c>
      <c r="O855">
        <v>1</v>
      </c>
      <c r="P855" t="s">
        <v>1866</v>
      </c>
      <c r="Q855" t="s">
        <v>4626</v>
      </c>
      <c r="R855" t="s">
        <v>4726</v>
      </c>
      <c r="S855" t="s">
        <v>4717</v>
      </c>
      <c r="T855">
        <f t="shared" si="26"/>
        <v>5</v>
      </c>
      <c r="U855" s="21">
        <f t="shared" si="27"/>
        <v>45003</v>
      </c>
    </row>
    <row r="856" spans="1:21" x14ac:dyDescent="0.35">
      <c r="A856" t="s">
        <v>1859</v>
      </c>
      <c r="B856" t="s">
        <v>1860</v>
      </c>
      <c r="C856" t="s">
        <v>19</v>
      </c>
      <c r="D856" t="s">
        <v>212</v>
      </c>
      <c r="E856" s="1">
        <v>246.16800000000001</v>
      </c>
      <c r="F856" t="s">
        <v>206</v>
      </c>
      <c r="G856">
        <v>100</v>
      </c>
      <c r="H856" s="1">
        <v>246.16800000000001</v>
      </c>
      <c r="I856" s="21">
        <v>44997</v>
      </c>
      <c r="J856" s="21">
        <v>44997</v>
      </c>
      <c r="K856" s="21">
        <v>44997</v>
      </c>
      <c r="L856" t="s">
        <v>248</v>
      </c>
      <c r="M856" t="s">
        <v>40</v>
      </c>
      <c r="N856" t="s">
        <v>34</v>
      </c>
      <c r="O856">
        <v>1</v>
      </c>
      <c r="P856" t="s">
        <v>1861</v>
      </c>
      <c r="Q856" t="s">
        <v>4551</v>
      </c>
      <c r="R856" t="s">
        <v>4711</v>
      </c>
      <c r="S856" t="s">
        <v>4719</v>
      </c>
      <c r="T856">
        <f t="shared" si="26"/>
        <v>0</v>
      </c>
      <c r="U856" s="21">
        <f t="shared" si="27"/>
        <v>44997</v>
      </c>
    </row>
    <row r="857" spans="1:21" x14ac:dyDescent="0.35">
      <c r="A857" t="s">
        <v>613</v>
      </c>
      <c r="B857" t="s">
        <v>614</v>
      </c>
      <c r="C857" t="s">
        <v>19</v>
      </c>
      <c r="D857" t="s">
        <v>212</v>
      </c>
      <c r="E857" s="1">
        <v>16.72</v>
      </c>
      <c r="F857" t="s">
        <v>206</v>
      </c>
      <c r="G857">
        <v>100</v>
      </c>
      <c r="H857" s="1">
        <v>16.72</v>
      </c>
      <c r="I857" s="21">
        <v>44997</v>
      </c>
      <c r="J857" s="21">
        <v>45001</v>
      </c>
      <c r="K857" s="21">
        <v>45001</v>
      </c>
      <c r="L857" t="s">
        <v>248</v>
      </c>
      <c r="M857" t="s">
        <v>97</v>
      </c>
      <c r="N857" t="s">
        <v>68</v>
      </c>
      <c r="O857">
        <v>1</v>
      </c>
      <c r="P857" t="s">
        <v>615</v>
      </c>
      <c r="Q857" t="s">
        <v>4533</v>
      </c>
      <c r="R857" t="s">
        <v>4721</v>
      </c>
      <c r="S857" t="s">
        <v>4718</v>
      </c>
      <c r="T857">
        <f t="shared" si="26"/>
        <v>4</v>
      </c>
      <c r="U857" s="21">
        <f t="shared" si="27"/>
        <v>45001</v>
      </c>
    </row>
    <row r="858" spans="1:21" x14ac:dyDescent="0.35">
      <c r="A858" t="s">
        <v>3014</v>
      </c>
      <c r="B858" t="s">
        <v>3015</v>
      </c>
      <c r="C858" t="s">
        <v>30</v>
      </c>
      <c r="D858" t="s">
        <v>21</v>
      </c>
      <c r="E858" s="1">
        <v>63.44</v>
      </c>
      <c r="F858" t="s">
        <v>22</v>
      </c>
      <c r="G858">
        <v>0</v>
      </c>
      <c r="H858" s="1">
        <v>0</v>
      </c>
      <c r="I858" s="21">
        <v>44997</v>
      </c>
      <c r="J858" s="21">
        <v>44999</v>
      </c>
      <c r="K858" s="21">
        <v>44999</v>
      </c>
      <c r="L858" t="s">
        <v>32</v>
      </c>
      <c r="M858" t="s">
        <v>72</v>
      </c>
      <c r="N858" t="s">
        <v>73</v>
      </c>
      <c r="O858">
        <v>1</v>
      </c>
      <c r="P858" t="s">
        <v>3016</v>
      </c>
      <c r="Q858" t="s">
        <v>4729</v>
      </c>
      <c r="R858" t="s">
        <v>4713</v>
      </c>
      <c r="S858" t="s">
        <v>4719</v>
      </c>
      <c r="T858">
        <f t="shared" si="26"/>
        <v>2</v>
      </c>
      <c r="U858" s="21">
        <f t="shared" si="27"/>
        <v>44999</v>
      </c>
    </row>
    <row r="859" spans="1:21" x14ac:dyDescent="0.35">
      <c r="A859" t="s">
        <v>4007</v>
      </c>
      <c r="B859" t="s">
        <v>4008</v>
      </c>
      <c r="C859" t="s">
        <v>30</v>
      </c>
      <c r="D859" t="s">
        <v>205</v>
      </c>
      <c r="E859" s="1">
        <v>187.05600000000001</v>
      </c>
      <c r="F859" t="s">
        <v>206</v>
      </c>
      <c r="G859">
        <v>80</v>
      </c>
      <c r="H859" s="1">
        <v>149.6448</v>
      </c>
      <c r="I859" s="21">
        <v>44996</v>
      </c>
      <c r="J859" s="21">
        <v>45002</v>
      </c>
      <c r="K859" s="21">
        <v>45002</v>
      </c>
      <c r="L859" t="s">
        <v>213</v>
      </c>
      <c r="M859" t="s">
        <v>25</v>
      </c>
      <c r="N859" t="s">
        <v>26</v>
      </c>
      <c r="O859">
        <v>1</v>
      </c>
      <c r="P859" t="s">
        <v>4009</v>
      </c>
      <c r="Q859" t="s">
        <v>4567</v>
      </c>
      <c r="R859" t="s">
        <v>4714</v>
      </c>
      <c r="S859" t="s">
        <v>4718</v>
      </c>
      <c r="T859">
        <f t="shared" si="26"/>
        <v>6</v>
      </c>
      <c r="U859" s="21">
        <f t="shared" si="27"/>
        <v>45002</v>
      </c>
    </row>
    <row r="860" spans="1:21" x14ac:dyDescent="0.35">
      <c r="A860" t="s">
        <v>610</v>
      </c>
      <c r="B860" t="s">
        <v>611</v>
      </c>
      <c r="C860" t="s">
        <v>19</v>
      </c>
      <c r="D860" t="s">
        <v>212</v>
      </c>
      <c r="E860" s="1">
        <v>2.1819999999999902</v>
      </c>
      <c r="F860" t="s">
        <v>206</v>
      </c>
      <c r="G860">
        <v>100</v>
      </c>
      <c r="H860" s="1">
        <v>2.1819999999999902</v>
      </c>
      <c r="I860" s="21">
        <v>44996</v>
      </c>
      <c r="J860" s="21">
        <v>45000</v>
      </c>
      <c r="K860" s="21">
        <v>45000</v>
      </c>
      <c r="L860" t="s">
        <v>213</v>
      </c>
      <c r="M860" t="s">
        <v>97</v>
      </c>
      <c r="N860" t="s">
        <v>68</v>
      </c>
      <c r="O860">
        <v>1</v>
      </c>
      <c r="P860" t="s">
        <v>612</v>
      </c>
      <c r="Q860" t="s">
        <v>4729</v>
      </c>
      <c r="R860" t="s">
        <v>4726</v>
      </c>
      <c r="S860" t="s">
        <v>4717</v>
      </c>
      <c r="T860">
        <f t="shared" si="26"/>
        <v>4</v>
      </c>
      <c r="U860" s="21">
        <f t="shared" si="27"/>
        <v>45000</v>
      </c>
    </row>
    <row r="861" spans="1:21" x14ac:dyDescent="0.35">
      <c r="A861" t="s">
        <v>607</v>
      </c>
      <c r="B861" t="s">
        <v>608</v>
      </c>
      <c r="C861" t="s">
        <v>19</v>
      </c>
      <c r="D861" t="s">
        <v>21</v>
      </c>
      <c r="E861" s="1">
        <v>3384.45</v>
      </c>
      <c r="F861" t="s">
        <v>22</v>
      </c>
      <c r="G861">
        <v>0</v>
      </c>
      <c r="H861" s="1">
        <v>0</v>
      </c>
      <c r="I861" s="21">
        <v>44996</v>
      </c>
      <c r="J861" s="21">
        <v>44999</v>
      </c>
      <c r="K861" s="21">
        <v>44999</v>
      </c>
      <c r="L861" t="s">
        <v>32</v>
      </c>
      <c r="M861" t="s">
        <v>67</v>
      </c>
      <c r="N861" t="s">
        <v>68</v>
      </c>
      <c r="O861">
        <v>1</v>
      </c>
      <c r="P861" t="s">
        <v>609</v>
      </c>
      <c r="Q861" t="s">
        <v>4580</v>
      </c>
      <c r="R861" t="s">
        <v>4713</v>
      </c>
      <c r="S861" t="s">
        <v>4719</v>
      </c>
      <c r="T861">
        <f t="shared" si="26"/>
        <v>3</v>
      </c>
      <c r="U861" s="21">
        <f t="shared" si="27"/>
        <v>44999</v>
      </c>
    </row>
    <row r="862" spans="1:21" x14ac:dyDescent="0.35">
      <c r="A862" t="s">
        <v>4010</v>
      </c>
      <c r="B862" t="s">
        <v>4011</v>
      </c>
      <c r="C862" t="s">
        <v>30</v>
      </c>
      <c r="D862" t="s">
        <v>205</v>
      </c>
      <c r="E862" s="1">
        <v>5.98</v>
      </c>
      <c r="F862" t="s">
        <v>206</v>
      </c>
      <c r="G862">
        <v>80</v>
      </c>
      <c r="H862" s="1">
        <v>4.7840000000000007</v>
      </c>
      <c r="I862" s="21">
        <v>44996</v>
      </c>
      <c r="J862" s="21">
        <v>45000</v>
      </c>
      <c r="K862" s="21">
        <v>45000</v>
      </c>
      <c r="L862" t="s">
        <v>238</v>
      </c>
      <c r="M862" t="s">
        <v>54</v>
      </c>
      <c r="N862" t="s">
        <v>26</v>
      </c>
      <c r="O862">
        <v>1</v>
      </c>
      <c r="P862" t="s">
        <v>1720</v>
      </c>
      <c r="Q862" t="s">
        <v>4638</v>
      </c>
      <c r="R862" t="s">
        <v>4709</v>
      </c>
      <c r="S862" t="s">
        <v>4717</v>
      </c>
      <c r="T862">
        <f t="shared" si="26"/>
        <v>4</v>
      </c>
      <c r="U862" s="21">
        <f t="shared" si="27"/>
        <v>45000</v>
      </c>
    </row>
    <row r="863" spans="1:21" x14ac:dyDescent="0.35">
      <c r="A863" t="s">
        <v>4012</v>
      </c>
      <c r="B863" t="s">
        <v>4013</v>
      </c>
      <c r="C863" t="s">
        <v>19</v>
      </c>
      <c r="D863" t="s">
        <v>21</v>
      </c>
      <c r="E863" s="1">
        <v>4173.8119999999999</v>
      </c>
      <c r="F863" t="s">
        <v>22</v>
      </c>
      <c r="G863">
        <v>0</v>
      </c>
      <c r="H863" s="1">
        <v>0</v>
      </c>
      <c r="I863" s="21">
        <v>44996</v>
      </c>
      <c r="J863" s="21">
        <v>44997</v>
      </c>
      <c r="K863" s="21">
        <v>44997</v>
      </c>
      <c r="L863" t="s">
        <v>45</v>
      </c>
      <c r="M863" t="s">
        <v>146</v>
      </c>
      <c r="N863" t="s">
        <v>73</v>
      </c>
      <c r="O863">
        <v>1</v>
      </c>
      <c r="P863" t="s">
        <v>4014</v>
      </c>
      <c r="Q863" t="s">
        <v>4675</v>
      </c>
      <c r="R863" t="s">
        <v>4726</v>
      </c>
      <c r="S863" t="s">
        <v>4717</v>
      </c>
      <c r="T863">
        <f t="shared" si="26"/>
        <v>1</v>
      </c>
      <c r="U863" s="21">
        <f t="shared" si="27"/>
        <v>44997</v>
      </c>
    </row>
    <row r="864" spans="1:21" x14ac:dyDescent="0.35">
      <c r="A864" t="s">
        <v>4005</v>
      </c>
      <c r="B864" t="s">
        <v>4006</v>
      </c>
      <c r="C864" t="s">
        <v>30</v>
      </c>
      <c r="D864" t="s">
        <v>212</v>
      </c>
      <c r="E864" s="1">
        <v>5.04</v>
      </c>
      <c r="F864" t="s">
        <v>206</v>
      </c>
      <c r="G864">
        <v>100</v>
      </c>
      <c r="H864" s="1">
        <v>5.04</v>
      </c>
      <c r="I864" s="21">
        <v>44995</v>
      </c>
      <c r="J864" s="21">
        <v>44999</v>
      </c>
      <c r="K864" s="21">
        <v>44999</v>
      </c>
      <c r="L864" t="s">
        <v>220</v>
      </c>
      <c r="M864" t="s">
        <v>46</v>
      </c>
      <c r="N864" t="s">
        <v>47</v>
      </c>
      <c r="O864">
        <v>1</v>
      </c>
      <c r="P864" t="s">
        <v>649</v>
      </c>
      <c r="Q864" t="s">
        <v>4517</v>
      </c>
      <c r="R864" t="s">
        <v>4726</v>
      </c>
      <c r="S864" t="s">
        <v>4717</v>
      </c>
      <c r="T864">
        <f t="shared" si="26"/>
        <v>4</v>
      </c>
      <c r="U864" s="21">
        <f t="shared" si="27"/>
        <v>44999</v>
      </c>
    </row>
    <row r="865" spans="1:21" x14ac:dyDescent="0.35">
      <c r="A865" t="s">
        <v>604</v>
      </c>
      <c r="B865" t="s">
        <v>605</v>
      </c>
      <c r="C865" t="s">
        <v>19</v>
      </c>
      <c r="D865" t="s">
        <v>21</v>
      </c>
      <c r="E865" s="1">
        <v>435.84999999999997</v>
      </c>
      <c r="F865" t="s">
        <v>22</v>
      </c>
      <c r="G865">
        <v>0</v>
      </c>
      <c r="H865" s="1">
        <v>0</v>
      </c>
      <c r="I865" s="21">
        <v>44995</v>
      </c>
      <c r="J865" s="21">
        <v>44998</v>
      </c>
      <c r="K865" s="21">
        <v>44998</v>
      </c>
      <c r="L865" t="s">
        <v>53</v>
      </c>
      <c r="M865" t="s">
        <v>72</v>
      </c>
      <c r="N865" t="s">
        <v>73</v>
      </c>
      <c r="O865">
        <v>1</v>
      </c>
      <c r="P865" t="s">
        <v>606</v>
      </c>
      <c r="Q865" t="s">
        <v>4729</v>
      </c>
      <c r="R865" t="s">
        <v>4709</v>
      </c>
      <c r="S865" t="s">
        <v>4717</v>
      </c>
      <c r="T865">
        <f t="shared" si="26"/>
        <v>3</v>
      </c>
      <c r="U865" s="21">
        <f t="shared" si="27"/>
        <v>44998</v>
      </c>
    </row>
    <row r="866" spans="1:21" x14ac:dyDescent="0.35">
      <c r="A866" t="s">
        <v>601</v>
      </c>
      <c r="B866" t="s">
        <v>602</v>
      </c>
      <c r="C866" t="s">
        <v>30</v>
      </c>
      <c r="D866" t="s">
        <v>205</v>
      </c>
      <c r="E866" s="1">
        <v>12.672000000000001</v>
      </c>
      <c r="F866" t="s">
        <v>206</v>
      </c>
      <c r="G866">
        <v>80</v>
      </c>
      <c r="H866" s="1">
        <v>10.137600000000001</v>
      </c>
      <c r="I866" s="21">
        <v>44994</v>
      </c>
      <c r="J866" s="21">
        <v>44994</v>
      </c>
      <c r="K866" s="21">
        <v>44994</v>
      </c>
      <c r="L866" t="s">
        <v>220</v>
      </c>
      <c r="M866" t="s">
        <v>72</v>
      </c>
      <c r="N866" t="s">
        <v>73</v>
      </c>
      <c r="O866">
        <v>1</v>
      </c>
      <c r="P866" t="s">
        <v>603</v>
      </c>
      <c r="Q866" t="s">
        <v>4729</v>
      </c>
      <c r="R866" t="s">
        <v>4709</v>
      </c>
      <c r="S866" t="s">
        <v>4717</v>
      </c>
      <c r="T866">
        <f t="shared" si="26"/>
        <v>0</v>
      </c>
      <c r="U866" s="21">
        <f t="shared" si="27"/>
        <v>44994</v>
      </c>
    </row>
    <row r="867" spans="1:21" x14ac:dyDescent="0.35">
      <c r="A867" t="s">
        <v>3011</v>
      </c>
      <c r="B867" t="s">
        <v>3012</v>
      </c>
      <c r="C867" t="s">
        <v>19</v>
      </c>
      <c r="D867" t="s">
        <v>212</v>
      </c>
      <c r="E867" s="1">
        <v>18.936</v>
      </c>
      <c r="F867" t="s">
        <v>206</v>
      </c>
      <c r="G867">
        <v>100</v>
      </c>
      <c r="H867" s="1">
        <v>18.936</v>
      </c>
      <c r="I867" s="21">
        <v>44993</v>
      </c>
      <c r="J867" s="21">
        <v>44998</v>
      </c>
      <c r="K867" s="21">
        <v>44998</v>
      </c>
      <c r="L867" t="s">
        <v>248</v>
      </c>
      <c r="M867" t="s">
        <v>72</v>
      </c>
      <c r="N867" t="s">
        <v>73</v>
      </c>
      <c r="O867">
        <v>1</v>
      </c>
      <c r="P867" t="s">
        <v>3013</v>
      </c>
      <c r="Q867" t="s">
        <v>4676</v>
      </c>
      <c r="R867" t="s">
        <v>4709</v>
      </c>
      <c r="S867" t="s">
        <v>4717</v>
      </c>
      <c r="T867">
        <f t="shared" si="26"/>
        <v>5</v>
      </c>
      <c r="U867" s="21">
        <f t="shared" si="27"/>
        <v>44998</v>
      </c>
    </row>
    <row r="868" spans="1:21" x14ac:dyDescent="0.35">
      <c r="A868" t="s">
        <v>592</v>
      </c>
      <c r="B868" t="s">
        <v>593</v>
      </c>
      <c r="C868" t="s">
        <v>19</v>
      </c>
      <c r="D868" t="s">
        <v>212</v>
      </c>
      <c r="E868" s="1">
        <v>1272.6300000000001</v>
      </c>
      <c r="F868" t="s">
        <v>206</v>
      </c>
      <c r="G868">
        <v>100</v>
      </c>
      <c r="H868" s="1">
        <v>1272.6300000000001</v>
      </c>
      <c r="I868" s="21">
        <v>44990</v>
      </c>
      <c r="J868" s="21">
        <v>44994</v>
      </c>
      <c r="K868" s="21">
        <v>44994</v>
      </c>
      <c r="L868" t="s">
        <v>234</v>
      </c>
      <c r="M868" t="s">
        <v>25</v>
      </c>
      <c r="N868" t="s">
        <v>26</v>
      </c>
      <c r="O868">
        <v>1</v>
      </c>
      <c r="P868" t="s">
        <v>594</v>
      </c>
      <c r="Q868" t="s">
        <v>4566</v>
      </c>
      <c r="R868" t="s">
        <v>4721</v>
      </c>
      <c r="S868" t="s">
        <v>4717</v>
      </c>
      <c r="T868">
        <f t="shared" si="26"/>
        <v>4</v>
      </c>
      <c r="U868" s="21">
        <f t="shared" si="27"/>
        <v>44994</v>
      </c>
    </row>
    <row r="869" spans="1:21" x14ac:dyDescent="0.35">
      <c r="A869" t="s">
        <v>3008</v>
      </c>
      <c r="B869" t="s">
        <v>3009</v>
      </c>
      <c r="C869" t="s">
        <v>30</v>
      </c>
      <c r="D869" t="s">
        <v>205</v>
      </c>
      <c r="E869" s="1">
        <v>203.92</v>
      </c>
      <c r="F869" t="s">
        <v>206</v>
      </c>
      <c r="G869">
        <v>80</v>
      </c>
      <c r="H869" s="1">
        <v>163.136</v>
      </c>
      <c r="I869" s="21">
        <v>44990</v>
      </c>
      <c r="J869" s="21">
        <v>44994</v>
      </c>
      <c r="K869" s="21">
        <v>44994</v>
      </c>
      <c r="L869" t="s">
        <v>234</v>
      </c>
      <c r="M869" t="s">
        <v>33</v>
      </c>
      <c r="N869" t="s">
        <v>34</v>
      </c>
      <c r="O869">
        <v>1</v>
      </c>
      <c r="P869" t="s">
        <v>3010</v>
      </c>
      <c r="Q869" t="s">
        <v>4590</v>
      </c>
      <c r="R869" t="s">
        <v>4713</v>
      </c>
      <c r="S869" t="s">
        <v>4719</v>
      </c>
      <c r="T869">
        <f t="shared" si="26"/>
        <v>4</v>
      </c>
      <c r="U869" s="21">
        <f t="shared" si="27"/>
        <v>44994</v>
      </c>
    </row>
    <row r="870" spans="1:21" x14ac:dyDescent="0.35">
      <c r="A870" t="s">
        <v>595</v>
      </c>
      <c r="B870" t="s">
        <v>596</v>
      </c>
      <c r="C870" t="s">
        <v>19</v>
      </c>
      <c r="D870" t="s">
        <v>212</v>
      </c>
      <c r="E870" s="1">
        <v>71.97</v>
      </c>
      <c r="F870" t="s">
        <v>206</v>
      </c>
      <c r="G870">
        <v>100</v>
      </c>
      <c r="H870" s="1">
        <v>71.97</v>
      </c>
      <c r="I870" s="21">
        <v>44990</v>
      </c>
      <c r="J870" s="21">
        <v>44994</v>
      </c>
      <c r="K870" s="21">
        <v>44994</v>
      </c>
      <c r="L870" t="s">
        <v>248</v>
      </c>
      <c r="M870" t="s">
        <v>46</v>
      </c>
      <c r="N870" t="s">
        <v>47</v>
      </c>
      <c r="O870">
        <v>1</v>
      </c>
      <c r="P870" t="s">
        <v>597</v>
      </c>
      <c r="Q870" t="s">
        <v>4729</v>
      </c>
      <c r="R870" t="s">
        <v>4512</v>
      </c>
      <c r="S870" t="s">
        <v>4717</v>
      </c>
      <c r="T870">
        <f t="shared" si="26"/>
        <v>4</v>
      </c>
      <c r="U870" s="21">
        <f t="shared" si="27"/>
        <v>44994</v>
      </c>
    </row>
    <row r="871" spans="1:21" x14ac:dyDescent="0.35">
      <c r="A871" t="s">
        <v>598</v>
      </c>
      <c r="B871" t="s">
        <v>599</v>
      </c>
      <c r="C871" t="s">
        <v>19</v>
      </c>
      <c r="D871" t="s">
        <v>212</v>
      </c>
      <c r="E871" s="1">
        <v>29.56</v>
      </c>
      <c r="F871" t="s">
        <v>206</v>
      </c>
      <c r="G871">
        <v>100</v>
      </c>
      <c r="H871" s="1">
        <v>29.56</v>
      </c>
      <c r="I871" s="21">
        <v>44990</v>
      </c>
      <c r="J871" s="21">
        <v>44996</v>
      </c>
      <c r="K871" s="21">
        <v>44996</v>
      </c>
      <c r="L871" t="s">
        <v>248</v>
      </c>
      <c r="M871" t="s">
        <v>54</v>
      </c>
      <c r="N871" t="s">
        <v>26</v>
      </c>
      <c r="O871">
        <v>1</v>
      </c>
      <c r="P871" t="s">
        <v>600</v>
      </c>
      <c r="Q871" t="s">
        <v>4729</v>
      </c>
      <c r="R871" t="s">
        <v>4721</v>
      </c>
      <c r="S871" t="s">
        <v>4717</v>
      </c>
      <c r="T871">
        <f t="shared" si="26"/>
        <v>6</v>
      </c>
      <c r="U871" s="21">
        <f t="shared" si="27"/>
        <v>44996</v>
      </c>
    </row>
    <row r="872" spans="1:21" x14ac:dyDescent="0.35">
      <c r="A872" t="s">
        <v>3002</v>
      </c>
      <c r="B872" t="s">
        <v>3003</v>
      </c>
      <c r="C872" t="s">
        <v>19</v>
      </c>
      <c r="D872" t="s">
        <v>21</v>
      </c>
      <c r="E872" s="1">
        <v>606.21399999999903</v>
      </c>
      <c r="F872" t="s">
        <v>22</v>
      </c>
      <c r="G872">
        <v>0</v>
      </c>
      <c r="H872" s="1">
        <v>0</v>
      </c>
      <c r="I872" s="21">
        <v>44989</v>
      </c>
      <c r="J872" s="21">
        <v>44992</v>
      </c>
      <c r="K872" s="21">
        <v>44992</v>
      </c>
      <c r="L872" t="s">
        <v>24</v>
      </c>
      <c r="M872" t="s">
        <v>25</v>
      </c>
      <c r="N872" t="s">
        <v>26</v>
      </c>
      <c r="O872">
        <v>1</v>
      </c>
      <c r="P872" t="s">
        <v>3004</v>
      </c>
      <c r="Q872" t="s">
        <v>4675</v>
      </c>
      <c r="R872" t="s">
        <v>4721</v>
      </c>
      <c r="S872" t="s">
        <v>4717</v>
      </c>
      <c r="T872">
        <f t="shared" si="26"/>
        <v>3</v>
      </c>
      <c r="U872" s="21">
        <f t="shared" si="27"/>
        <v>44992</v>
      </c>
    </row>
    <row r="873" spans="1:21" x14ac:dyDescent="0.35">
      <c r="A873" t="s">
        <v>3005</v>
      </c>
      <c r="B873" t="s">
        <v>3006</v>
      </c>
      <c r="C873" t="s">
        <v>19</v>
      </c>
      <c r="D873" t="s">
        <v>205</v>
      </c>
      <c r="E873" s="1">
        <v>123.08799999999999</v>
      </c>
      <c r="F873" t="s">
        <v>206</v>
      </c>
      <c r="G873">
        <v>80</v>
      </c>
      <c r="H873" s="1">
        <v>98.470399999999998</v>
      </c>
      <c r="I873" s="21">
        <v>44989</v>
      </c>
      <c r="J873" s="21">
        <v>44994</v>
      </c>
      <c r="K873" s="21">
        <v>44994</v>
      </c>
      <c r="L873" t="s">
        <v>238</v>
      </c>
      <c r="M873" t="s">
        <v>54</v>
      </c>
      <c r="N873" t="s">
        <v>26</v>
      </c>
      <c r="O873">
        <v>1</v>
      </c>
      <c r="P873" t="s">
        <v>3007</v>
      </c>
      <c r="Q873" t="s">
        <v>4729</v>
      </c>
      <c r="R873" t="s">
        <v>4721</v>
      </c>
      <c r="S873" t="s">
        <v>4717</v>
      </c>
      <c r="T873">
        <f t="shared" si="26"/>
        <v>5</v>
      </c>
      <c r="U873" s="21">
        <f t="shared" si="27"/>
        <v>44994</v>
      </c>
    </row>
    <row r="874" spans="1:21" x14ac:dyDescent="0.35">
      <c r="A874" t="s">
        <v>4002</v>
      </c>
      <c r="B874" t="s">
        <v>4003</v>
      </c>
      <c r="C874" t="s">
        <v>19</v>
      </c>
      <c r="D874" t="s">
        <v>212</v>
      </c>
      <c r="E874" s="1">
        <v>29.05</v>
      </c>
      <c r="F874" t="s">
        <v>206</v>
      </c>
      <c r="G874">
        <v>100</v>
      </c>
      <c r="H874" s="1">
        <v>29.05</v>
      </c>
      <c r="I874" s="21">
        <v>44987</v>
      </c>
      <c r="J874" s="21">
        <v>44994</v>
      </c>
      <c r="K874" s="21">
        <v>44994</v>
      </c>
      <c r="L874" t="s">
        <v>234</v>
      </c>
      <c r="M874" t="s">
        <v>72</v>
      </c>
      <c r="N874" t="s">
        <v>73</v>
      </c>
      <c r="O874">
        <v>1</v>
      </c>
      <c r="P874" t="s">
        <v>4004</v>
      </c>
      <c r="Q874" t="s">
        <v>4518</v>
      </c>
      <c r="R874" t="s">
        <v>4726</v>
      </c>
      <c r="S874" t="s">
        <v>4717</v>
      </c>
      <c r="T874">
        <f t="shared" si="26"/>
        <v>7</v>
      </c>
      <c r="U874" s="21">
        <f t="shared" si="27"/>
        <v>44994</v>
      </c>
    </row>
    <row r="875" spans="1:21" x14ac:dyDescent="0.35">
      <c r="A875" t="s">
        <v>2997</v>
      </c>
      <c r="B875" t="s">
        <v>2998</v>
      </c>
      <c r="C875" t="s">
        <v>19</v>
      </c>
      <c r="D875" t="s">
        <v>205</v>
      </c>
      <c r="E875" s="1">
        <v>9.9600000000000009</v>
      </c>
      <c r="F875" t="s">
        <v>206</v>
      </c>
      <c r="G875">
        <v>80</v>
      </c>
      <c r="H875" s="1">
        <v>7.9680000000000009</v>
      </c>
      <c r="I875" s="21">
        <v>44986</v>
      </c>
      <c r="J875" s="21">
        <v>44992</v>
      </c>
      <c r="K875" s="21">
        <v>44992</v>
      </c>
      <c r="L875" t="s">
        <v>234</v>
      </c>
      <c r="M875" t="s">
        <v>25</v>
      </c>
      <c r="N875" t="s">
        <v>26</v>
      </c>
      <c r="O875">
        <v>1</v>
      </c>
      <c r="P875" t="s">
        <v>2999</v>
      </c>
      <c r="Q875" t="s">
        <v>4729</v>
      </c>
      <c r="R875" t="s">
        <v>4721</v>
      </c>
      <c r="S875" t="s">
        <v>4718</v>
      </c>
      <c r="T875">
        <f t="shared" si="26"/>
        <v>6</v>
      </c>
      <c r="U875" s="21">
        <f t="shared" si="27"/>
        <v>44992</v>
      </c>
    </row>
    <row r="876" spans="1:21" x14ac:dyDescent="0.35">
      <c r="A876" t="s">
        <v>3000</v>
      </c>
      <c r="B876" t="s">
        <v>3001</v>
      </c>
      <c r="C876" t="s">
        <v>19</v>
      </c>
      <c r="D876" t="s">
        <v>212</v>
      </c>
      <c r="E876" s="1">
        <v>4.7679999999999998</v>
      </c>
      <c r="F876" t="s">
        <v>206</v>
      </c>
      <c r="G876">
        <v>100</v>
      </c>
      <c r="H876" s="1">
        <v>4.7679999999999998</v>
      </c>
      <c r="I876" s="21">
        <v>44986</v>
      </c>
      <c r="J876" s="21">
        <v>44990</v>
      </c>
      <c r="K876" s="21">
        <v>44990</v>
      </c>
      <c r="L876" t="s">
        <v>207</v>
      </c>
      <c r="M876" t="s">
        <v>146</v>
      </c>
      <c r="N876" t="s">
        <v>73</v>
      </c>
      <c r="O876">
        <v>1</v>
      </c>
      <c r="P876" t="s">
        <v>2823</v>
      </c>
      <c r="Q876" t="s">
        <v>4669</v>
      </c>
      <c r="R876" t="s">
        <v>4721</v>
      </c>
      <c r="S876" t="s">
        <v>4717</v>
      </c>
      <c r="T876">
        <f t="shared" si="26"/>
        <v>4</v>
      </c>
      <c r="U876" s="21">
        <f t="shared" si="27"/>
        <v>44990</v>
      </c>
    </row>
    <row r="877" spans="1:21" x14ac:dyDescent="0.35">
      <c r="A877" t="s">
        <v>1856</v>
      </c>
      <c r="B877" t="s">
        <v>1857</v>
      </c>
      <c r="C877" t="s">
        <v>30</v>
      </c>
      <c r="D877" t="s">
        <v>205</v>
      </c>
      <c r="E877" s="1">
        <v>48.031999999999996</v>
      </c>
      <c r="F877" t="s">
        <v>206</v>
      </c>
      <c r="G877">
        <v>80</v>
      </c>
      <c r="H877" s="1">
        <v>38.425600000000003</v>
      </c>
      <c r="I877" s="21">
        <v>44985</v>
      </c>
      <c r="J877" s="21">
        <v>44987</v>
      </c>
      <c r="K877" s="21">
        <v>44987</v>
      </c>
      <c r="L877" t="s">
        <v>207</v>
      </c>
      <c r="M877" t="s">
        <v>72</v>
      </c>
      <c r="N877" t="s">
        <v>73</v>
      </c>
      <c r="O877">
        <v>1</v>
      </c>
      <c r="P877" t="s">
        <v>1858</v>
      </c>
      <c r="Q877" t="s">
        <v>4528</v>
      </c>
      <c r="R877" t="s">
        <v>4726</v>
      </c>
      <c r="S877" t="s">
        <v>4717</v>
      </c>
      <c r="T877">
        <f t="shared" si="26"/>
        <v>2</v>
      </c>
      <c r="U877" s="21">
        <f t="shared" si="27"/>
        <v>44987</v>
      </c>
    </row>
    <row r="878" spans="1:21" x14ac:dyDescent="0.35">
      <c r="A878" t="s">
        <v>2994</v>
      </c>
      <c r="B878" t="s">
        <v>2995</v>
      </c>
      <c r="C878" t="s">
        <v>30</v>
      </c>
      <c r="D878" t="s">
        <v>212</v>
      </c>
      <c r="E878" s="1">
        <v>150.66</v>
      </c>
      <c r="F878" t="s">
        <v>206</v>
      </c>
      <c r="G878">
        <v>100</v>
      </c>
      <c r="H878" s="1">
        <v>150.66</v>
      </c>
      <c r="I878" s="21">
        <v>44985</v>
      </c>
      <c r="J878" s="21">
        <v>44987</v>
      </c>
      <c r="K878" s="21">
        <v>44987</v>
      </c>
      <c r="L878" t="s">
        <v>220</v>
      </c>
      <c r="M878" t="s">
        <v>33</v>
      </c>
      <c r="N878" t="s">
        <v>34</v>
      </c>
      <c r="O878">
        <v>1</v>
      </c>
      <c r="P878" t="s">
        <v>2996</v>
      </c>
      <c r="Q878" t="s">
        <v>4544</v>
      </c>
      <c r="R878" t="s">
        <v>4709</v>
      </c>
      <c r="S878" t="s">
        <v>4717</v>
      </c>
      <c r="T878">
        <f t="shared" si="26"/>
        <v>2</v>
      </c>
      <c r="U878" s="21">
        <f t="shared" si="27"/>
        <v>44987</v>
      </c>
    </row>
    <row r="879" spans="1:21" x14ac:dyDescent="0.35">
      <c r="A879" t="s">
        <v>589</v>
      </c>
      <c r="B879" t="s">
        <v>590</v>
      </c>
      <c r="C879" t="s">
        <v>19</v>
      </c>
      <c r="D879" t="s">
        <v>205</v>
      </c>
      <c r="E879" s="1">
        <v>10.272</v>
      </c>
      <c r="F879" t="s">
        <v>206</v>
      </c>
      <c r="G879">
        <v>80</v>
      </c>
      <c r="H879" s="1">
        <v>8.2176000000000009</v>
      </c>
      <c r="I879" s="21">
        <v>44985</v>
      </c>
      <c r="J879" s="21">
        <v>44988</v>
      </c>
      <c r="K879" s="21">
        <v>44988</v>
      </c>
      <c r="L879" t="s">
        <v>234</v>
      </c>
      <c r="M879" t="s">
        <v>46</v>
      </c>
      <c r="N879" t="s">
        <v>47</v>
      </c>
      <c r="O879">
        <v>1</v>
      </c>
      <c r="P879" t="s">
        <v>591</v>
      </c>
      <c r="Q879" t="s">
        <v>4729</v>
      </c>
      <c r="R879" t="s">
        <v>4721</v>
      </c>
      <c r="S879" t="s">
        <v>4717</v>
      </c>
      <c r="T879">
        <f t="shared" si="26"/>
        <v>3</v>
      </c>
      <c r="U879" s="21">
        <f t="shared" si="27"/>
        <v>44988</v>
      </c>
    </row>
    <row r="880" spans="1:21" x14ac:dyDescent="0.35">
      <c r="A880" t="s">
        <v>586</v>
      </c>
      <c r="B880" t="s">
        <v>587</v>
      </c>
      <c r="C880" t="s">
        <v>30</v>
      </c>
      <c r="D880" t="s">
        <v>212</v>
      </c>
      <c r="E880" s="1">
        <v>40.99</v>
      </c>
      <c r="F880" t="s">
        <v>206</v>
      </c>
      <c r="G880">
        <v>100</v>
      </c>
      <c r="H880" s="1">
        <v>40.99</v>
      </c>
      <c r="I880" s="21">
        <v>44983</v>
      </c>
      <c r="J880" s="21">
        <v>44985</v>
      </c>
      <c r="K880" s="21">
        <v>44985</v>
      </c>
      <c r="L880" t="s">
        <v>207</v>
      </c>
      <c r="M880" t="s">
        <v>25</v>
      </c>
      <c r="N880" t="s">
        <v>26</v>
      </c>
      <c r="O880">
        <v>1</v>
      </c>
      <c r="P880" t="s">
        <v>588</v>
      </c>
      <c r="Q880" t="s">
        <v>4519</v>
      </c>
      <c r="R880" t="s">
        <v>4726</v>
      </c>
      <c r="S880" t="s">
        <v>4717</v>
      </c>
      <c r="T880">
        <f t="shared" si="26"/>
        <v>2</v>
      </c>
      <c r="U880" s="21">
        <f t="shared" si="27"/>
        <v>44985</v>
      </c>
    </row>
    <row r="881" spans="1:21" x14ac:dyDescent="0.35">
      <c r="A881" t="s">
        <v>1853</v>
      </c>
      <c r="B881" t="s">
        <v>1854</v>
      </c>
      <c r="C881" t="s">
        <v>19</v>
      </c>
      <c r="D881" t="s">
        <v>205</v>
      </c>
      <c r="E881" s="1">
        <v>343.92</v>
      </c>
      <c r="F881" t="s">
        <v>206</v>
      </c>
      <c r="G881">
        <v>80</v>
      </c>
      <c r="H881" s="1">
        <v>275.13600000000002</v>
      </c>
      <c r="I881" s="21">
        <v>44981</v>
      </c>
      <c r="J881" s="21">
        <v>44985</v>
      </c>
      <c r="K881" s="21">
        <v>44985</v>
      </c>
      <c r="L881" t="s">
        <v>213</v>
      </c>
      <c r="M881" t="s">
        <v>40</v>
      </c>
      <c r="N881" t="s">
        <v>34</v>
      </c>
      <c r="O881">
        <v>1</v>
      </c>
      <c r="P881" t="s">
        <v>1855</v>
      </c>
      <c r="Q881" t="s">
        <v>4641</v>
      </c>
      <c r="R881" t="s">
        <v>4712</v>
      </c>
      <c r="S881" t="s">
        <v>4718</v>
      </c>
      <c r="T881">
        <f t="shared" si="26"/>
        <v>4</v>
      </c>
      <c r="U881" s="21">
        <f t="shared" si="27"/>
        <v>44985</v>
      </c>
    </row>
    <row r="882" spans="1:21" x14ac:dyDescent="0.35">
      <c r="A882" t="s">
        <v>583</v>
      </c>
      <c r="B882" t="s">
        <v>584</v>
      </c>
      <c r="C882" t="s">
        <v>30</v>
      </c>
      <c r="D882" t="s">
        <v>212</v>
      </c>
      <c r="E882" s="1">
        <v>13.568</v>
      </c>
      <c r="F882" t="s">
        <v>206</v>
      </c>
      <c r="G882">
        <v>100</v>
      </c>
      <c r="H882" s="1">
        <v>13.568</v>
      </c>
      <c r="I882" s="21">
        <v>44980</v>
      </c>
      <c r="J882" s="21">
        <v>44986</v>
      </c>
      <c r="K882" s="21">
        <v>44986</v>
      </c>
      <c r="L882" t="s">
        <v>220</v>
      </c>
      <c r="M882" t="s">
        <v>54</v>
      </c>
      <c r="N882" t="s">
        <v>26</v>
      </c>
      <c r="O882">
        <v>1</v>
      </c>
      <c r="P882" t="s">
        <v>585</v>
      </c>
      <c r="Q882" t="s">
        <v>4549</v>
      </c>
      <c r="R882" t="s">
        <v>4726</v>
      </c>
      <c r="S882" t="s">
        <v>4717</v>
      </c>
      <c r="T882">
        <f t="shared" si="26"/>
        <v>6</v>
      </c>
      <c r="U882" s="21">
        <f t="shared" si="27"/>
        <v>44986</v>
      </c>
    </row>
    <row r="883" spans="1:21" x14ac:dyDescent="0.35">
      <c r="A883" t="s">
        <v>4000</v>
      </c>
      <c r="B883" t="s">
        <v>4001</v>
      </c>
      <c r="C883" t="s">
        <v>30</v>
      </c>
      <c r="D883" t="s">
        <v>205</v>
      </c>
      <c r="E883" s="1">
        <v>159.91999999999999</v>
      </c>
      <c r="F883" t="s">
        <v>206</v>
      </c>
      <c r="G883">
        <v>80</v>
      </c>
      <c r="H883" s="1">
        <v>127.93599999999999</v>
      </c>
      <c r="I883" s="21">
        <v>44979</v>
      </c>
      <c r="J883" s="21">
        <v>44980</v>
      </c>
      <c r="K883" s="21">
        <v>44980</v>
      </c>
      <c r="L883" t="s">
        <v>207</v>
      </c>
      <c r="M883" t="s">
        <v>33</v>
      </c>
      <c r="N883" t="s">
        <v>34</v>
      </c>
      <c r="O883">
        <v>1</v>
      </c>
      <c r="P883" t="s">
        <v>3542</v>
      </c>
      <c r="Q883" t="s">
        <v>4533</v>
      </c>
      <c r="R883" t="s">
        <v>4721</v>
      </c>
      <c r="S883" t="s">
        <v>4718</v>
      </c>
      <c r="T883">
        <f t="shared" si="26"/>
        <v>1</v>
      </c>
      <c r="U883" s="21">
        <f t="shared" si="27"/>
        <v>44980</v>
      </c>
    </row>
    <row r="884" spans="1:21" x14ac:dyDescent="0.35">
      <c r="A884" t="s">
        <v>3997</v>
      </c>
      <c r="B884" t="s">
        <v>3998</v>
      </c>
      <c r="C884" t="s">
        <v>30</v>
      </c>
      <c r="D884" t="s">
        <v>212</v>
      </c>
      <c r="E884" s="1">
        <v>25.92</v>
      </c>
      <c r="F884" t="s">
        <v>206</v>
      </c>
      <c r="G884">
        <v>100</v>
      </c>
      <c r="H884" s="1">
        <v>25.92</v>
      </c>
      <c r="I884" s="21">
        <v>44978</v>
      </c>
      <c r="J884" s="21">
        <v>44985</v>
      </c>
      <c r="K884" s="21">
        <v>44985</v>
      </c>
      <c r="L884" t="s">
        <v>238</v>
      </c>
      <c r="M884" t="s">
        <v>67</v>
      </c>
      <c r="N884" t="s">
        <v>68</v>
      </c>
      <c r="O884">
        <v>1</v>
      </c>
      <c r="P884" t="s">
        <v>3999</v>
      </c>
      <c r="Q884" t="s">
        <v>4519</v>
      </c>
      <c r="R884" t="s">
        <v>4726</v>
      </c>
      <c r="S884" t="s">
        <v>4717</v>
      </c>
      <c r="T884">
        <f t="shared" si="26"/>
        <v>7</v>
      </c>
      <c r="U884" s="21">
        <f t="shared" si="27"/>
        <v>44985</v>
      </c>
    </row>
    <row r="885" spans="1:21" x14ac:dyDescent="0.35">
      <c r="A885" t="s">
        <v>2992</v>
      </c>
      <c r="B885" t="s">
        <v>2993</v>
      </c>
      <c r="C885" t="s">
        <v>30</v>
      </c>
      <c r="D885" t="s">
        <v>212</v>
      </c>
      <c r="E885" s="1">
        <v>30</v>
      </c>
      <c r="F885" t="s">
        <v>206</v>
      </c>
      <c r="G885">
        <v>100</v>
      </c>
      <c r="H885" s="1">
        <v>30</v>
      </c>
      <c r="I885" s="21">
        <v>44977</v>
      </c>
      <c r="J885" s="21">
        <v>44980</v>
      </c>
      <c r="K885" s="21">
        <v>44980</v>
      </c>
      <c r="L885" t="s">
        <v>238</v>
      </c>
      <c r="M885" t="s">
        <v>46</v>
      </c>
      <c r="N885" t="s">
        <v>47</v>
      </c>
      <c r="O885">
        <v>1</v>
      </c>
      <c r="P885" t="s">
        <v>1406</v>
      </c>
      <c r="Q885" t="s">
        <v>4518</v>
      </c>
      <c r="R885" t="s">
        <v>4726</v>
      </c>
      <c r="S885" t="s">
        <v>4717</v>
      </c>
      <c r="T885">
        <f t="shared" si="26"/>
        <v>3</v>
      </c>
      <c r="U885" s="21">
        <f t="shared" si="27"/>
        <v>44980</v>
      </c>
    </row>
    <row r="886" spans="1:21" x14ac:dyDescent="0.35">
      <c r="A886" t="s">
        <v>3995</v>
      </c>
      <c r="B886" t="s">
        <v>3996</v>
      </c>
      <c r="C886" t="s">
        <v>30</v>
      </c>
      <c r="D886" t="s">
        <v>205</v>
      </c>
      <c r="E886" s="1">
        <v>17.04</v>
      </c>
      <c r="F886" t="s">
        <v>206</v>
      </c>
      <c r="G886">
        <v>80</v>
      </c>
      <c r="H886" s="1">
        <v>13.632</v>
      </c>
      <c r="I886" s="21">
        <v>44974</v>
      </c>
      <c r="J886" s="21">
        <v>44978</v>
      </c>
      <c r="K886" s="21">
        <v>44978</v>
      </c>
      <c r="L886" t="s">
        <v>234</v>
      </c>
      <c r="M886" t="s">
        <v>25</v>
      </c>
      <c r="N886" t="s">
        <v>26</v>
      </c>
      <c r="O886">
        <v>1</v>
      </c>
      <c r="P886" t="s">
        <v>3581</v>
      </c>
      <c r="Q886" t="s">
        <v>4640</v>
      </c>
      <c r="R886" t="s">
        <v>4726</v>
      </c>
      <c r="S886" t="s">
        <v>4717</v>
      </c>
      <c r="T886">
        <f t="shared" si="26"/>
        <v>4</v>
      </c>
      <c r="U886" s="21">
        <f t="shared" si="27"/>
        <v>44978</v>
      </c>
    </row>
    <row r="887" spans="1:21" x14ac:dyDescent="0.35">
      <c r="A887" t="s">
        <v>2989</v>
      </c>
      <c r="B887" t="s">
        <v>2990</v>
      </c>
      <c r="C887" t="s">
        <v>19</v>
      </c>
      <c r="D887" t="s">
        <v>212</v>
      </c>
      <c r="E887" s="1">
        <v>36.744</v>
      </c>
      <c r="F887" t="s">
        <v>206</v>
      </c>
      <c r="G887">
        <v>100</v>
      </c>
      <c r="H887" s="1">
        <v>36.744</v>
      </c>
      <c r="I887" s="21">
        <v>44972</v>
      </c>
      <c r="J887" s="21">
        <v>44977</v>
      </c>
      <c r="K887" s="21">
        <v>44977</v>
      </c>
      <c r="L887" t="s">
        <v>248</v>
      </c>
      <c r="M887" t="s">
        <v>40</v>
      </c>
      <c r="N887" t="s">
        <v>34</v>
      </c>
      <c r="O887">
        <v>1</v>
      </c>
      <c r="P887" t="s">
        <v>2991</v>
      </c>
      <c r="Q887" t="s">
        <v>4533</v>
      </c>
      <c r="R887" t="s">
        <v>4721</v>
      </c>
      <c r="S887" t="s">
        <v>4717</v>
      </c>
      <c r="T887">
        <f t="shared" si="26"/>
        <v>5</v>
      </c>
      <c r="U887" s="21">
        <f t="shared" si="27"/>
        <v>44977</v>
      </c>
    </row>
    <row r="888" spans="1:21" x14ac:dyDescent="0.35">
      <c r="A888" t="s">
        <v>2986</v>
      </c>
      <c r="B888" t="s">
        <v>2987</v>
      </c>
      <c r="C888" t="s">
        <v>30</v>
      </c>
      <c r="D888" t="s">
        <v>21</v>
      </c>
      <c r="E888" s="1">
        <v>573.74099999999999</v>
      </c>
      <c r="F888" t="s">
        <v>22</v>
      </c>
      <c r="G888">
        <v>0</v>
      </c>
      <c r="H888" s="1">
        <v>0</v>
      </c>
      <c r="I888" s="21">
        <v>44972</v>
      </c>
      <c r="J888" s="21">
        <v>44973</v>
      </c>
      <c r="K888" s="21">
        <v>44973</v>
      </c>
      <c r="L888" t="s">
        <v>32</v>
      </c>
      <c r="M888" t="s">
        <v>97</v>
      </c>
      <c r="N888" t="s">
        <v>68</v>
      </c>
      <c r="O888">
        <v>1</v>
      </c>
      <c r="P888" t="s">
        <v>2988</v>
      </c>
      <c r="Q888" t="s">
        <v>4729</v>
      </c>
      <c r="R888" t="s">
        <v>4726</v>
      </c>
      <c r="S888" t="s">
        <v>4717</v>
      </c>
      <c r="T888">
        <f t="shared" si="26"/>
        <v>1</v>
      </c>
      <c r="U888" s="21">
        <f t="shared" si="27"/>
        <v>44973</v>
      </c>
    </row>
    <row r="889" spans="1:21" x14ac:dyDescent="0.35">
      <c r="A889" t="s">
        <v>1850</v>
      </c>
      <c r="B889" t="s">
        <v>1851</v>
      </c>
      <c r="C889" t="s">
        <v>30</v>
      </c>
      <c r="D889" t="s">
        <v>205</v>
      </c>
      <c r="E889" s="1">
        <v>431.928</v>
      </c>
      <c r="F889" t="s">
        <v>206</v>
      </c>
      <c r="G889">
        <v>80</v>
      </c>
      <c r="H889" s="1">
        <v>345.54240000000004</v>
      </c>
      <c r="I889" s="21">
        <v>44971</v>
      </c>
      <c r="J889" s="21">
        <v>44976</v>
      </c>
      <c r="K889" s="21">
        <v>44976</v>
      </c>
      <c r="L889" t="s">
        <v>220</v>
      </c>
      <c r="M889" t="s">
        <v>54</v>
      </c>
      <c r="N889" t="s">
        <v>26</v>
      </c>
      <c r="O889">
        <v>1</v>
      </c>
      <c r="P889" t="s">
        <v>1852</v>
      </c>
      <c r="Q889" t="s">
        <v>4587</v>
      </c>
      <c r="R889" t="s">
        <v>4713</v>
      </c>
      <c r="S889" t="s">
        <v>4719</v>
      </c>
      <c r="T889">
        <f t="shared" si="26"/>
        <v>5</v>
      </c>
      <c r="U889" s="21">
        <f t="shared" si="27"/>
        <v>44976</v>
      </c>
    </row>
    <row r="890" spans="1:21" x14ac:dyDescent="0.35">
      <c r="A890" t="s">
        <v>2984</v>
      </c>
      <c r="B890" t="s">
        <v>2985</v>
      </c>
      <c r="C890" t="s">
        <v>19</v>
      </c>
      <c r="D890" t="s">
        <v>21</v>
      </c>
      <c r="E890" s="1">
        <v>1366.04</v>
      </c>
      <c r="F890" t="s">
        <v>22</v>
      </c>
      <c r="G890">
        <v>0</v>
      </c>
      <c r="H890" s="1">
        <v>0</v>
      </c>
      <c r="I890" s="21">
        <v>44970</v>
      </c>
      <c r="J890" s="21">
        <v>44972</v>
      </c>
      <c r="K890" s="21">
        <v>44972</v>
      </c>
      <c r="L890" t="s">
        <v>45</v>
      </c>
      <c r="M890" t="s">
        <v>33</v>
      </c>
      <c r="N890" t="s">
        <v>34</v>
      </c>
      <c r="O890">
        <v>1</v>
      </c>
      <c r="P890" t="s">
        <v>1669</v>
      </c>
      <c r="Q890" t="s">
        <v>4729</v>
      </c>
      <c r="R890" t="s">
        <v>4709</v>
      </c>
      <c r="S890" t="s">
        <v>4717</v>
      </c>
      <c r="T890">
        <f t="shared" si="26"/>
        <v>2</v>
      </c>
      <c r="U890" s="21">
        <f t="shared" si="27"/>
        <v>44972</v>
      </c>
    </row>
    <row r="891" spans="1:21" x14ac:dyDescent="0.35">
      <c r="A891" t="s">
        <v>2982</v>
      </c>
      <c r="B891" t="s">
        <v>2983</v>
      </c>
      <c r="C891" t="s">
        <v>30</v>
      </c>
      <c r="D891" t="s">
        <v>212</v>
      </c>
      <c r="E891" s="1">
        <v>12.96</v>
      </c>
      <c r="F891" t="s">
        <v>206</v>
      </c>
      <c r="G891">
        <v>100</v>
      </c>
      <c r="H891" s="1">
        <v>12.96</v>
      </c>
      <c r="I891" s="21">
        <v>44969</v>
      </c>
      <c r="J891" s="21">
        <v>44971</v>
      </c>
      <c r="K891" s="21">
        <v>44971</v>
      </c>
      <c r="L891" t="s">
        <v>213</v>
      </c>
      <c r="M891" t="s">
        <v>146</v>
      </c>
      <c r="N891" t="s">
        <v>73</v>
      </c>
      <c r="O891">
        <v>1</v>
      </c>
      <c r="P891" t="s">
        <v>1398</v>
      </c>
      <c r="Q891" t="s">
        <v>4519</v>
      </c>
      <c r="R891" t="s">
        <v>4726</v>
      </c>
      <c r="S891" t="s">
        <v>4717</v>
      </c>
      <c r="T891">
        <f t="shared" si="26"/>
        <v>2</v>
      </c>
      <c r="U891" s="21">
        <f t="shared" si="27"/>
        <v>44971</v>
      </c>
    </row>
    <row r="892" spans="1:21" x14ac:dyDescent="0.35">
      <c r="A892" t="s">
        <v>1847</v>
      </c>
      <c r="B892" t="s">
        <v>1848</v>
      </c>
      <c r="C892" t="s">
        <v>30</v>
      </c>
      <c r="D892" t="s">
        <v>205</v>
      </c>
      <c r="E892" s="1">
        <v>64.959999999999994</v>
      </c>
      <c r="F892" t="s">
        <v>206</v>
      </c>
      <c r="G892">
        <v>80</v>
      </c>
      <c r="H892" s="1">
        <v>51.967999999999996</v>
      </c>
      <c r="I892" s="21">
        <v>44966</v>
      </c>
      <c r="J892" s="21">
        <v>44973</v>
      </c>
      <c r="K892" s="21">
        <v>44973</v>
      </c>
      <c r="L892" t="s">
        <v>220</v>
      </c>
      <c r="M892" t="s">
        <v>67</v>
      </c>
      <c r="N892" t="s">
        <v>68</v>
      </c>
      <c r="O892">
        <v>1</v>
      </c>
      <c r="P892" t="s">
        <v>1849</v>
      </c>
      <c r="Q892" t="s">
        <v>4560</v>
      </c>
      <c r="R892" t="s">
        <v>4709</v>
      </c>
      <c r="S892" t="s">
        <v>4717</v>
      </c>
      <c r="T892">
        <f t="shared" si="26"/>
        <v>7</v>
      </c>
      <c r="U892" s="21">
        <f t="shared" si="27"/>
        <v>44973</v>
      </c>
    </row>
    <row r="893" spans="1:21" x14ac:dyDescent="0.35">
      <c r="A893" t="s">
        <v>581</v>
      </c>
      <c r="B893" t="s">
        <v>582</v>
      </c>
      <c r="C893" t="s">
        <v>30</v>
      </c>
      <c r="D893" t="s">
        <v>205</v>
      </c>
      <c r="E893" s="1">
        <v>63.84</v>
      </c>
      <c r="F893" t="s">
        <v>206</v>
      </c>
      <c r="G893">
        <v>80</v>
      </c>
      <c r="H893" s="1">
        <v>51.072000000000003</v>
      </c>
      <c r="I893" s="21">
        <v>44966</v>
      </c>
      <c r="J893" s="21">
        <v>44969</v>
      </c>
      <c r="K893" s="21">
        <v>44969</v>
      </c>
      <c r="L893" t="s">
        <v>220</v>
      </c>
      <c r="M893" t="s">
        <v>146</v>
      </c>
      <c r="N893" t="s">
        <v>73</v>
      </c>
      <c r="O893">
        <v>1</v>
      </c>
      <c r="P893" t="s">
        <v>412</v>
      </c>
      <c r="Q893" t="s">
        <v>4729</v>
      </c>
      <c r="R893" t="s">
        <v>4726</v>
      </c>
      <c r="S893" t="s">
        <v>4717</v>
      </c>
      <c r="T893">
        <f t="shared" si="26"/>
        <v>3</v>
      </c>
      <c r="U893" s="21">
        <f t="shared" si="27"/>
        <v>44969</v>
      </c>
    </row>
    <row r="894" spans="1:21" x14ac:dyDescent="0.35">
      <c r="A894" t="s">
        <v>3993</v>
      </c>
      <c r="B894" t="s">
        <v>3994</v>
      </c>
      <c r="C894" t="s">
        <v>30</v>
      </c>
      <c r="D894" t="s">
        <v>212</v>
      </c>
      <c r="E894" s="1">
        <v>20.7</v>
      </c>
      <c r="F894" t="s">
        <v>206</v>
      </c>
      <c r="G894">
        <v>100</v>
      </c>
      <c r="H894" s="1">
        <v>20.7</v>
      </c>
      <c r="I894" s="21">
        <v>44965</v>
      </c>
      <c r="J894" s="21">
        <v>44968</v>
      </c>
      <c r="K894" s="21">
        <v>44968</v>
      </c>
      <c r="L894" t="s">
        <v>238</v>
      </c>
      <c r="M894" t="s">
        <v>40</v>
      </c>
      <c r="N894" t="s">
        <v>34</v>
      </c>
      <c r="O894">
        <v>1</v>
      </c>
      <c r="P894" t="s">
        <v>2103</v>
      </c>
      <c r="Q894" t="s">
        <v>4517</v>
      </c>
      <c r="R894" t="s">
        <v>4726</v>
      </c>
      <c r="S894" t="s">
        <v>4717</v>
      </c>
      <c r="T894">
        <f t="shared" si="26"/>
        <v>3</v>
      </c>
      <c r="U894" s="21">
        <f t="shared" si="27"/>
        <v>44968</v>
      </c>
    </row>
    <row r="895" spans="1:21" x14ac:dyDescent="0.35">
      <c r="A895" t="s">
        <v>578</v>
      </c>
      <c r="B895" t="s">
        <v>579</v>
      </c>
      <c r="C895" t="s">
        <v>19</v>
      </c>
      <c r="D895" t="s">
        <v>205</v>
      </c>
      <c r="E895" s="1">
        <v>1317.492</v>
      </c>
      <c r="F895" t="s">
        <v>206</v>
      </c>
      <c r="G895">
        <v>80</v>
      </c>
      <c r="H895" s="1">
        <v>1053.9936</v>
      </c>
      <c r="I895" s="21">
        <v>44965</v>
      </c>
      <c r="J895" s="21">
        <v>44967</v>
      </c>
      <c r="K895" s="21">
        <v>44967</v>
      </c>
      <c r="L895" t="s">
        <v>238</v>
      </c>
      <c r="M895" t="s">
        <v>46</v>
      </c>
      <c r="N895" t="s">
        <v>47</v>
      </c>
      <c r="O895">
        <v>1</v>
      </c>
      <c r="P895" t="s">
        <v>580</v>
      </c>
      <c r="Q895" t="s">
        <v>4729</v>
      </c>
      <c r="R895" t="s">
        <v>4714</v>
      </c>
      <c r="S895" t="s">
        <v>4718</v>
      </c>
      <c r="T895">
        <f t="shared" si="26"/>
        <v>2</v>
      </c>
      <c r="U895" s="21">
        <f t="shared" si="27"/>
        <v>44967</v>
      </c>
    </row>
    <row r="896" spans="1:21" x14ac:dyDescent="0.35">
      <c r="A896" t="s">
        <v>1844</v>
      </c>
      <c r="B896" t="s">
        <v>1845</v>
      </c>
      <c r="C896" t="s">
        <v>30</v>
      </c>
      <c r="D896" t="s">
        <v>212</v>
      </c>
      <c r="E896" s="1">
        <v>13.48</v>
      </c>
      <c r="F896" t="s">
        <v>206</v>
      </c>
      <c r="G896">
        <v>100</v>
      </c>
      <c r="H896" s="1">
        <v>13.48</v>
      </c>
      <c r="I896" s="21">
        <v>44964</v>
      </c>
      <c r="J896" s="21">
        <v>44969</v>
      </c>
      <c r="K896" s="21">
        <v>44969</v>
      </c>
      <c r="L896" t="s">
        <v>213</v>
      </c>
      <c r="M896" t="s">
        <v>25</v>
      </c>
      <c r="N896" t="s">
        <v>26</v>
      </c>
      <c r="O896">
        <v>1</v>
      </c>
      <c r="P896" t="s">
        <v>1846</v>
      </c>
      <c r="Q896" t="s">
        <v>4729</v>
      </c>
      <c r="R896" t="s">
        <v>4713</v>
      </c>
      <c r="S896" t="s">
        <v>4719</v>
      </c>
      <c r="T896">
        <f t="shared" si="26"/>
        <v>5</v>
      </c>
      <c r="U896" s="21">
        <f t="shared" si="27"/>
        <v>44969</v>
      </c>
    </row>
    <row r="897" spans="1:21" x14ac:dyDescent="0.35">
      <c r="A897" t="s">
        <v>2980</v>
      </c>
      <c r="B897" t="s">
        <v>2981</v>
      </c>
      <c r="C897" t="s">
        <v>30</v>
      </c>
      <c r="D897" t="s">
        <v>212</v>
      </c>
      <c r="E897" s="1">
        <v>403.16800000000001</v>
      </c>
      <c r="F897" t="s">
        <v>206</v>
      </c>
      <c r="G897">
        <v>100</v>
      </c>
      <c r="H897" s="1">
        <v>403.16800000000001</v>
      </c>
      <c r="I897" s="21">
        <v>44962</v>
      </c>
      <c r="J897" s="21">
        <v>44968</v>
      </c>
      <c r="K897" s="21">
        <v>44968</v>
      </c>
      <c r="L897" t="s">
        <v>213</v>
      </c>
      <c r="M897" t="s">
        <v>54</v>
      </c>
      <c r="N897" t="s">
        <v>26</v>
      </c>
      <c r="O897">
        <v>1</v>
      </c>
      <c r="P897" t="s">
        <v>1735</v>
      </c>
      <c r="Q897" t="s">
        <v>4639</v>
      </c>
      <c r="R897" t="s">
        <v>4711</v>
      </c>
      <c r="S897" t="s">
        <v>4719</v>
      </c>
      <c r="T897">
        <f t="shared" si="26"/>
        <v>6</v>
      </c>
      <c r="U897" s="21">
        <f t="shared" si="27"/>
        <v>44968</v>
      </c>
    </row>
    <row r="898" spans="1:21" x14ac:dyDescent="0.35">
      <c r="A898" t="s">
        <v>2977</v>
      </c>
      <c r="B898" t="s">
        <v>2978</v>
      </c>
      <c r="C898" t="s">
        <v>19</v>
      </c>
      <c r="D898" t="s">
        <v>212</v>
      </c>
      <c r="E898" s="1">
        <v>1.3440000000000001</v>
      </c>
      <c r="F898" t="s">
        <v>206</v>
      </c>
      <c r="G898">
        <v>100</v>
      </c>
      <c r="H898" s="1">
        <v>1.3440000000000001</v>
      </c>
      <c r="I898" s="21">
        <v>44962</v>
      </c>
      <c r="J898" s="21">
        <v>44966</v>
      </c>
      <c r="K898" s="21">
        <v>44966</v>
      </c>
      <c r="L898" t="s">
        <v>220</v>
      </c>
      <c r="M898" t="s">
        <v>40</v>
      </c>
      <c r="N898" t="s">
        <v>34</v>
      </c>
      <c r="O898">
        <v>1</v>
      </c>
      <c r="P898" t="s">
        <v>2979</v>
      </c>
      <c r="Q898" t="s">
        <v>4621</v>
      </c>
      <c r="R898" t="s">
        <v>4726</v>
      </c>
      <c r="S898" t="s">
        <v>4717</v>
      </c>
      <c r="T898">
        <f t="shared" ref="T898:T961" si="28">J898-I898</f>
        <v>4</v>
      </c>
      <c r="U898" s="21">
        <f t="shared" si="27"/>
        <v>44966</v>
      </c>
    </row>
    <row r="899" spans="1:21" x14ac:dyDescent="0.35">
      <c r="A899" t="s">
        <v>1841</v>
      </c>
      <c r="B899" t="s">
        <v>1842</v>
      </c>
      <c r="C899" t="s">
        <v>30</v>
      </c>
      <c r="D899" t="s">
        <v>212</v>
      </c>
      <c r="E899" s="1">
        <v>99.372</v>
      </c>
      <c r="F899" t="s">
        <v>206</v>
      </c>
      <c r="G899">
        <v>100</v>
      </c>
      <c r="H899" s="1">
        <v>99.372</v>
      </c>
      <c r="I899" s="21">
        <v>44962</v>
      </c>
      <c r="J899" s="21">
        <v>44967</v>
      </c>
      <c r="K899" s="21">
        <v>44967</v>
      </c>
      <c r="L899" t="s">
        <v>213</v>
      </c>
      <c r="M899" t="s">
        <v>40</v>
      </c>
      <c r="N899" t="s">
        <v>34</v>
      </c>
      <c r="O899">
        <v>1</v>
      </c>
      <c r="P899" t="s">
        <v>1843</v>
      </c>
      <c r="Q899" t="s">
        <v>4581</v>
      </c>
      <c r="R899" t="s">
        <v>4712</v>
      </c>
      <c r="S899" t="s">
        <v>4718</v>
      </c>
      <c r="T899">
        <f t="shared" si="28"/>
        <v>5</v>
      </c>
      <c r="U899" s="21">
        <f t="shared" ref="U899:U932" si="29">J899</f>
        <v>44967</v>
      </c>
    </row>
    <row r="900" spans="1:21" x14ac:dyDescent="0.35">
      <c r="A900" t="s">
        <v>3990</v>
      </c>
      <c r="B900" t="s">
        <v>3991</v>
      </c>
      <c r="C900" t="s">
        <v>19</v>
      </c>
      <c r="D900" t="s">
        <v>212</v>
      </c>
      <c r="E900" s="1">
        <v>31.085999999999999</v>
      </c>
      <c r="F900" t="s">
        <v>206</v>
      </c>
      <c r="G900">
        <v>100</v>
      </c>
      <c r="H900" s="1">
        <v>31.085999999999999</v>
      </c>
      <c r="I900" s="21">
        <v>44961</v>
      </c>
      <c r="J900" s="21">
        <v>44968</v>
      </c>
      <c r="K900" s="21">
        <v>44968</v>
      </c>
      <c r="L900" t="s">
        <v>238</v>
      </c>
      <c r="M900" t="s">
        <v>67</v>
      </c>
      <c r="N900" t="s">
        <v>68</v>
      </c>
      <c r="O900">
        <v>1</v>
      </c>
      <c r="P900" t="s">
        <v>3992</v>
      </c>
      <c r="Q900" t="s">
        <v>4729</v>
      </c>
      <c r="R900" t="s">
        <v>4726</v>
      </c>
      <c r="S900" t="s">
        <v>4717</v>
      </c>
      <c r="T900">
        <f t="shared" si="28"/>
        <v>7</v>
      </c>
      <c r="U900" s="21">
        <f t="shared" si="29"/>
        <v>44968</v>
      </c>
    </row>
    <row r="901" spans="1:21" x14ac:dyDescent="0.35">
      <c r="A901" t="s">
        <v>2975</v>
      </c>
      <c r="B901" t="s">
        <v>2976</v>
      </c>
      <c r="C901" t="s">
        <v>30</v>
      </c>
      <c r="D901" t="s">
        <v>212</v>
      </c>
      <c r="E901" s="1">
        <v>697.16</v>
      </c>
      <c r="F901" t="s">
        <v>206</v>
      </c>
      <c r="G901">
        <v>100</v>
      </c>
      <c r="H901" s="1">
        <v>697.16</v>
      </c>
      <c r="I901" s="21">
        <v>44960</v>
      </c>
      <c r="J901" s="21">
        <v>44965</v>
      </c>
      <c r="K901" s="21">
        <v>44965</v>
      </c>
      <c r="L901" t="s">
        <v>213</v>
      </c>
      <c r="M901" t="s">
        <v>54</v>
      </c>
      <c r="N901" t="s">
        <v>26</v>
      </c>
      <c r="O901">
        <v>1</v>
      </c>
      <c r="P901" t="s">
        <v>2051</v>
      </c>
      <c r="Q901" t="s">
        <v>4597</v>
      </c>
      <c r="R901" t="s">
        <v>4712</v>
      </c>
      <c r="S901" t="s">
        <v>4718</v>
      </c>
      <c r="T901">
        <f t="shared" si="28"/>
        <v>5</v>
      </c>
      <c r="U901" s="21">
        <f t="shared" si="29"/>
        <v>44965</v>
      </c>
    </row>
    <row r="902" spans="1:21" x14ac:dyDescent="0.35">
      <c r="A902" t="s">
        <v>3988</v>
      </c>
      <c r="B902" t="s">
        <v>3989</v>
      </c>
      <c r="C902" t="s">
        <v>19</v>
      </c>
      <c r="D902" t="s">
        <v>205</v>
      </c>
      <c r="E902" s="1">
        <v>10.368</v>
      </c>
      <c r="F902" t="s">
        <v>206</v>
      </c>
      <c r="G902">
        <v>80</v>
      </c>
      <c r="H902" s="1">
        <v>8.2944000000000013</v>
      </c>
      <c r="I902" s="21">
        <v>44960</v>
      </c>
      <c r="J902" s="21">
        <v>44966</v>
      </c>
      <c r="K902" s="21">
        <v>44966</v>
      </c>
      <c r="L902" t="s">
        <v>207</v>
      </c>
      <c r="M902" t="s">
        <v>72</v>
      </c>
      <c r="N902" t="s">
        <v>73</v>
      </c>
      <c r="O902">
        <v>1</v>
      </c>
      <c r="P902" t="s">
        <v>1245</v>
      </c>
      <c r="Q902" t="s">
        <v>4519</v>
      </c>
      <c r="R902" t="s">
        <v>4726</v>
      </c>
      <c r="S902" t="s">
        <v>4717</v>
      </c>
      <c r="T902">
        <f t="shared" si="28"/>
        <v>6</v>
      </c>
      <c r="U902" s="21">
        <f t="shared" si="29"/>
        <v>44966</v>
      </c>
    </row>
    <row r="903" spans="1:21" x14ac:dyDescent="0.35">
      <c r="A903" t="s">
        <v>1838</v>
      </c>
      <c r="B903" t="s">
        <v>1839</v>
      </c>
      <c r="C903" t="s">
        <v>30</v>
      </c>
      <c r="D903" t="s">
        <v>212</v>
      </c>
      <c r="E903" s="1">
        <v>39.68</v>
      </c>
      <c r="F903" t="s">
        <v>206</v>
      </c>
      <c r="G903">
        <v>100</v>
      </c>
      <c r="H903" s="1">
        <v>39.68</v>
      </c>
      <c r="I903" s="21">
        <v>44959</v>
      </c>
      <c r="J903" s="21">
        <v>44961</v>
      </c>
      <c r="K903" s="21">
        <v>44961</v>
      </c>
      <c r="L903" t="s">
        <v>207</v>
      </c>
      <c r="M903" t="s">
        <v>25</v>
      </c>
      <c r="N903" t="s">
        <v>26</v>
      </c>
      <c r="O903">
        <v>1</v>
      </c>
      <c r="P903" t="s">
        <v>1840</v>
      </c>
      <c r="Q903" t="s">
        <v>4520</v>
      </c>
      <c r="R903" t="s">
        <v>4726</v>
      </c>
      <c r="S903" t="s">
        <v>4717</v>
      </c>
      <c r="T903">
        <f t="shared" si="28"/>
        <v>2</v>
      </c>
      <c r="U903" s="21">
        <f t="shared" si="29"/>
        <v>44961</v>
      </c>
    </row>
    <row r="904" spans="1:21" x14ac:dyDescent="0.35">
      <c r="A904" t="s">
        <v>575</v>
      </c>
      <c r="B904" t="s">
        <v>576</v>
      </c>
      <c r="C904" t="s">
        <v>19</v>
      </c>
      <c r="D904" t="s">
        <v>212</v>
      </c>
      <c r="E904" s="1">
        <v>41.904000000000003</v>
      </c>
      <c r="F904" t="s">
        <v>206</v>
      </c>
      <c r="G904">
        <v>100</v>
      </c>
      <c r="H904" s="1">
        <v>41.904000000000003</v>
      </c>
      <c r="I904" s="21">
        <v>44959</v>
      </c>
      <c r="J904" s="21">
        <v>44965</v>
      </c>
      <c r="K904" s="21">
        <v>44965</v>
      </c>
      <c r="L904" t="s">
        <v>248</v>
      </c>
      <c r="M904" t="s">
        <v>97</v>
      </c>
      <c r="N904" t="s">
        <v>68</v>
      </c>
      <c r="O904">
        <v>1</v>
      </c>
      <c r="P904" t="s">
        <v>577</v>
      </c>
      <c r="Q904" t="s">
        <v>4515</v>
      </c>
      <c r="R904" t="s">
        <v>4726</v>
      </c>
      <c r="S904" t="s">
        <v>4717</v>
      </c>
      <c r="T904">
        <f t="shared" si="28"/>
        <v>6</v>
      </c>
      <c r="U904" s="21">
        <f t="shared" si="29"/>
        <v>44965</v>
      </c>
    </row>
    <row r="905" spans="1:21" x14ac:dyDescent="0.35">
      <c r="A905" t="s">
        <v>572</v>
      </c>
      <c r="B905" t="s">
        <v>573</v>
      </c>
      <c r="C905" t="s">
        <v>30</v>
      </c>
      <c r="D905" t="s">
        <v>205</v>
      </c>
      <c r="E905" s="1">
        <v>22.385999999999999</v>
      </c>
      <c r="F905" t="s">
        <v>206</v>
      </c>
      <c r="G905">
        <v>80</v>
      </c>
      <c r="H905" s="1">
        <v>17.908799999999999</v>
      </c>
      <c r="I905" s="21">
        <v>44958</v>
      </c>
      <c r="J905" s="21">
        <v>44962</v>
      </c>
      <c r="K905" s="21">
        <v>44962</v>
      </c>
      <c r="L905" t="s">
        <v>248</v>
      </c>
      <c r="M905" t="s">
        <v>72</v>
      </c>
      <c r="N905" t="s">
        <v>73</v>
      </c>
      <c r="O905">
        <v>1</v>
      </c>
      <c r="P905" t="s">
        <v>574</v>
      </c>
      <c r="Q905" t="s">
        <v>4528</v>
      </c>
      <c r="R905" t="s">
        <v>4726</v>
      </c>
      <c r="S905" t="s">
        <v>4717</v>
      </c>
      <c r="T905">
        <f t="shared" si="28"/>
        <v>4</v>
      </c>
      <c r="U905" s="21">
        <f t="shared" si="29"/>
        <v>44962</v>
      </c>
    </row>
    <row r="906" spans="1:21" x14ac:dyDescent="0.35">
      <c r="A906" t="s">
        <v>2973</v>
      </c>
      <c r="B906" t="s">
        <v>2974</v>
      </c>
      <c r="C906" t="s">
        <v>30</v>
      </c>
      <c r="D906" t="s">
        <v>205</v>
      </c>
      <c r="E906" s="1">
        <v>70.08</v>
      </c>
      <c r="F906" t="s">
        <v>206</v>
      </c>
      <c r="G906">
        <v>80</v>
      </c>
      <c r="H906" s="1">
        <v>56.064</v>
      </c>
      <c r="I906" s="21">
        <v>44958</v>
      </c>
      <c r="J906" s="21">
        <v>44960</v>
      </c>
      <c r="K906" s="21">
        <v>44960</v>
      </c>
      <c r="L906" t="s">
        <v>234</v>
      </c>
      <c r="M906" t="s">
        <v>33</v>
      </c>
      <c r="N906" t="s">
        <v>34</v>
      </c>
      <c r="O906">
        <v>1</v>
      </c>
      <c r="P906" t="s">
        <v>1365</v>
      </c>
      <c r="Q906" t="s">
        <v>4729</v>
      </c>
      <c r="R906" t="s">
        <v>4726</v>
      </c>
      <c r="S906" t="s">
        <v>4717</v>
      </c>
      <c r="T906">
        <f t="shared" si="28"/>
        <v>2</v>
      </c>
      <c r="U906" s="21">
        <f t="shared" si="29"/>
        <v>44960</v>
      </c>
    </row>
    <row r="907" spans="1:21" x14ac:dyDescent="0.35">
      <c r="A907" t="s">
        <v>3986</v>
      </c>
      <c r="B907" t="s">
        <v>3987</v>
      </c>
      <c r="C907" t="s">
        <v>19</v>
      </c>
      <c r="D907" t="s">
        <v>21</v>
      </c>
      <c r="E907" s="1">
        <v>381.80399999999997</v>
      </c>
      <c r="F907" t="s">
        <v>22</v>
      </c>
      <c r="G907">
        <v>0</v>
      </c>
      <c r="H907" s="1">
        <v>0</v>
      </c>
      <c r="I907" s="21">
        <v>44957</v>
      </c>
      <c r="J907" s="21">
        <v>44958</v>
      </c>
      <c r="K907" s="21">
        <v>44958</v>
      </c>
      <c r="L907" t="s">
        <v>45</v>
      </c>
      <c r="M907" t="s">
        <v>82</v>
      </c>
      <c r="N907" t="s">
        <v>47</v>
      </c>
      <c r="O907">
        <v>1</v>
      </c>
      <c r="P907" t="s">
        <v>264</v>
      </c>
      <c r="Q907" t="s">
        <v>4729</v>
      </c>
      <c r="R907" t="s">
        <v>4709</v>
      </c>
      <c r="S907" t="s">
        <v>4717</v>
      </c>
      <c r="T907">
        <f t="shared" si="28"/>
        <v>1</v>
      </c>
      <c r="U907" s="21">
        <f t="shared" si="29"/>
        <v>44958</v>
      </c>
    </row>
    <row r="908" spans="1:21" x14ac:dyDescent="0.35">
      <c r="A908" t="s">
        <v>569</v>
      </c>
      <c r="B908" t="s">
        <v>570</v>
      </c>
      <c r="C908" t="s">
        <v>30</v>
      </c>
      <c r="D908" t="s">
        <v>205</v>
      </c>
      <c r="E908" s="1">
        <v>481.32</v>
      </c>
      <c r="F908" t="s">
        <v>206</v>
      </c>
      <c r="G908">
        <v>80</v>
      </c>
      <c r="H908" s="1">
        <v>385.05600000000004</v>
      </c>
      <c r="I908" s="21">
        <v>44957</v>
      </c>
      <c r="J908" s="21">
        <v>44962</v>
      </c>
      <c r="K908" s="21">
        <v>44962</v>
      </c>
      <c r="L908" t="s">
        <v>213</v>
      </c>
      <c r="M908" t="s">
        <v>33</v>
      </c>
      <c r="N908" t="s">
        <v>34</v>
      </c>
      <c r="O908">
        <v>1</v>
      </c>
      <c r="P908" t="s">
        <v>571</v>
      </c>
      <c r="Q908" t="s">
        <v>4579</v>
      </c>
      <c r="R908" t="s">
        <v>4709</v>
      </c>
      <c r="S908" t="s">
        <v>4717</v>
      </c>
      <c r="T908">
        <f t="shared" si="28"/>
        <v>5</v>
      </c>
      <c r="U908" s="21">
        <f t="shared" si="29"/>
        <v>44962</v>
      </c>
    </row>
    <row r="909" spans="1:21" x14ac:dyDescent="0.35">
      <c r="A909" t="s">
        <v>566</v>
      </c>
      <c r="B909" t="s">
        <v>567</v>
      </c>
      <c r="C909" t="s">
        <v>19</v>
      </c>
      <c r="D909" t="s">
        <v>205</v>
      </c>
      <c r="E909" s="1">
        <v>12.96</v>
      </c>
      <c r="F909" t="s">
        <v>206</v>
      </c>
      <c r="G909">
        <v>80</v>
      </c>
      <c r="H909" s="1">
        <v>10.368000000000002</v>
      </c>
      <c r="I909" s="21">
        <v>44957</v>
      </c>
      <c r="J909" s="21">
        <v>44961</v>
      </c>
      <c r="K909" s="21">
        <v>44961</v>
      </c>
      <c r="L909" t="s">
        <v>248</v>
      </c>
      <c r="M909" t="s">
        <v>67</v>
      </c>
      <c r="N909" t="s">
        <v>68</v>
      </c>
      <c r="O909">
        <v>1</v>
      </c>
      <c r="P909" t="s">
        <v>568</v>
      </c>
      <c r="Q909" t="s">
        <v>4519</v>
      </c>
      <c r="R909" t="s">
        <v>4726</v>
      </c>
      <c r="S909" t="s">
        <v>4717</v>
      </c>
      <c r="T909">
        <f t="shared" si="28"/>
        <v>4</v>
      </c>
      <c r="U909" s="21">
        <f t="shared" si="29"/>
        <v>44961</v>
      </c>
    </row>
    <row r="910" spans="1:21" x14ac:dyDescent="0.35">
      <c r="A910" t="s">
        <v>563</v>
      </c>
      <c r="B910" t="s">
        <v>564</v>
      </c>
      <c r="C910" t="s">
        <v>30</v>
      </c>
      <c r="D910" t="s">
        <v>205</v>
      </c>
      <c r="E910" s="1">
        <v>207.14400000000001</v>
      </c>
      <c r="F910" t="s">
        <v>206</v>
      </c>
      <c r="G910">
        <v>80</v>
      </c>
      <c r="H910" s="1">
        <v>165.71520000000001</v>
      </c>
      <c r="I910" s="21">
        <v>44955</v>
      </c>
      <c r="J910" s="21">
        <v>44959</v>
      </c>
      <c r="K910" s="21">
        <v>44959</v>
      </c>
      <c r="L910" t="s">
        <v>220</v>
      </c>
      <c r="M910" t="s">
        <v>33</v>
      </c>
      <c r="N910" t="s">
        <v>34</v>
      </c>
      <c r="O910">
        <v>1</v>
      </c>
      <c r="P910" t="s">
        <v>565</v>
      </c>
      <c r="Q910" t="s">
        <v>4578</v>
      </c>
      <c r="R910" t="s">
        <v>4727</v>
      </c>
      <c r="S910" t="s">
        <v>4719</v>
      </c>
      <c r="T910">
        <f t="shared" si="28"/>
        <v>4</v>
      </c>
      <c r="U910" s="21">
        <f t="shared" si="29"/>
        <v>44959</v>
      </c>
    </row>
    <row r="911" spans="1:21" x14ac:dyDescent="0.35">
      <c r="A911" t="s">
        <v>1835</v>
      </c>
      <c r="B911" t="s">
        <v>1836</v>
      </c>
      <c r="C911" t="s">
        <v>19</v>
      </c>
      <c r="D911" t="s">
        <v>21</v>
      </c>
      <c r="E911" s="1">
        <v>27.21</v>
      </c>
      <c r="F911" t="s">
        <v>22</v>
      </c>
      <c r="G911">
        <v>0</v>
      </c>
      <c r="H911" s="1">
        <v>0</v>
      </c>
      <c r="I911" s="21">
        <v>44952</v>
      </c>
      <c r="J911" s="21">
        <v>44954</v>
      </c>
      <c r="K911" s="21">
        <v>44954</v>
      </c>
      <c r="L911" t="s">
        <v>24</v>
      </c>
      <c r="M911" t="s">
        <v>72</v>
      </c>
      <c r="N911" t="s">
        <v>73</v>
      </c>
      <c r="O911">
        <v>1</v>
      </c>
      <c r="P911" t="s">
        <v>1837</v>
      </c>
      <c r="Q911" t="s">
        <v>4640</v>
      </c>
      <c r="R911" t="s">
        <v>4726</v>
      </c>
      <c r="S911" t="s">
        <v>4717</v>
      </c>
      <c r="T911">
        <f t="shared" si="28"/>
        <v>2</v>
      </c>
      <c r="U911" s="21">
        <f t="shared" si="29"/>
        <v>44954</v>
      </c>
    </row>
    <row r="912" spans="1:21" x14ac:dyDescent="0.35">
      <c r="A912" t="s">
        <v>1832</v>
      </c>
      <c r="B912" t="s">
        <v>1833</v>
      </c>
      <c r="C912" t="s">
        <v>30</v>
      </c>
      <c r="D912" t="s">
        <v>212</v>
      </c>
      <c r="E912" s="1">
        <v>199.75</v>
      </c>
      <c r="F912" t="s">
        <v>206</v>
      </c>
      <c r="G912">
        <v>100</v>
      </c>
      <c r="H912" s="1">
        <v>199.75</v>
      </c>
      <c r="I912" s="21">
        <v>44951</v>
      </c>
      <c r="J912" s="21">
        <v>44953</v>
      </c>
      <c r="K912" s="21">
        <v>44953</v>
      </c>
      <c r="L912" t="s">
        <v>248</v>
      </c>
      <c r="M912" t="s">
        <v>97</v>
      </c>
      <c r="N912" t="s">
        <v>68</v>
      </c>
      <c r="O912">
        <v>1</v>
      </c>
      <c r="P912" t="s">
        <v>1834</v>
      </c>
      <c r="Q912" t="s">
        <v>4613</v>
      </c>
      <c r="R912" t="s">
        <v>4713</v>
      </c>
      <c r="S912" t="s">
        <v>4719</v>
      </c>
      <c r="T912">
        <f t="shared" si="28"/>
        <v>2</v>
      </c>
      <c r="U912" s="21">
        <f t="shared" si="29"/>
        <v>44953</v>
      </c>
    </row>
    <row r="913" spans="1:21" x14ac:dyDescent="0.35">
      <c r="A913" t="s">
        <v>2970</v>
      </c>
      <c r="B913" t="s">
        <v>2971</v>
      </c>
      <c r="C913" t="s">
        <v>30</v>
      </c>
      <c r="D913" t="s">
        <v>205</v>
      </c>
      <c r="E913" s="1">
        <v>102.36</v>
      </c>
      <c r="F913" t="s">
        <v>206</v>
      </c>
      <c r="G913">
        <v>80</v>
      </c>
      <c r="H913" s="1">
        <v>81.888000000000005</v>
      </c>
      <c r="I913" s="21">
        <v>44950</v>
      </c>
      <c r="J913" s="21">
        <v>44956</v>
      </c>
      <c r="K913" s="21">
        <v>44956</v>
      </c>
      <c r="L913" t="s">
        <v>234</v>
      </c>
      <c r="M913" t="s">
        <v>67</v>
      </c>
      <c r="N913" t="s">
        <v>68</v>
      </c>
      <c r="O913">
        <v>1</v>
      </c>
      <c r="P913" t="s">
        <v>2972</v>
      </c>
      <c r="Q913" t="s">
        <v>4548</v>
      </c>
      <c r="R913" t="s">
        <v>4721</v>
      </c>
      <c r="S913" t="s">
        <v>4718</v>
      </c>
      <c r="T913">
        <f t="shared" si="28"/>
        <v>6</v>
      </c>
      <c r="U913" s="21">
        <f t="shared" si="29"/>
        <v>44956</v>
      </c>
    </row>
    <row r="914" spans="1:21" x14ac:dyDescent="0.35">
      <c r="A914" t="s">
        <v>3982</v>
      </c>
      <c r="B914" t="s">
        <v>3983</v>
      </c>
      <c r="C914" t="s">
        <v>30</v>
      </c>
      <c r="D914" t="s">
        <v>205</v>
      </c>
      <c r="E914" s="1">
        <v>362.92</v>
      </c>
      <c r="F914" t="s">
        <v>206</v>
      </c>
      <c r="G914">
        <v>80</v>
      </c>
      <c r="H914" s="1">
        <v>290.33600000000001</v>
      </c>
      <c r="I914" s="21">
        <v>44949</v>
      </c>
      <c r="J914" s="21">
        <v>44955</v>
      </c>
      <c r="K914" s="21">
        <v>44955</v>
      </c>
      <c r="L914" t="s">
        <v>220</v>
      </c>
      <c r="M914" t="s">
        <v>33</v>
      </c>
      <c r="N914" t="s">
        <v>34</v>
      </c>
      <c r="O914">
        <v>1</v>
      </c>
      <c r="P914" t="s">
        <v>2299</v>
      </c>
      <c r="Q914" t="s">
        <v>4729</v>
      </c>
      <c r="R914" t="s">
        <v>4709</v>
      </c>
      <c r="S914" t="s">
        <v>4717</v>
      </c>
      <c r="T914">
        <f t="shared" si="28"/>
        <v>6</v>
      </c>
      <c r="U914" s="21">
        <f t="shared" si="29"/>
        <v>44955</v>
      </c>
    </row>
    <row r="915" spans="1:21" x14ac:dyDescent="0.35">
      <c r="A915" t="s">
        <v>2967</v>
      </c>
      <c r="B915" t="s">
        <v>2968</v>
      </c>
      <c r="C915" t="s">
        <v>30</v>
      </c>
      <c r="D915" t="s">
        <v>212</v>
      </c>
      <c r="E915" s="1">
        <v>4899.93</v>
      </c>
      <c r="F915" t="s">
        <v>206</v>
      </c>
      <c r="G915">
        <v>100</v>
      </c>
      <c r="H915" s="1">
        <v>4899.93</v>
      </c>
      <c r="I915" s="21">
        <v>44949</v>
      </c>
      <c r="J915" s="21">
        <v>44955</v>
      </c>
      <c r="K915" s="21">
        <v>44955</v>
      </c>
      <c r="L915" t="s">
        <v>220</v>
      </c>
      <c r="M915" t="s">
        <v>97</v>
      </c>
      <c r="N915" t="s">
        <v>68</v>
      </c>
      <c r="O915">
        <v>1</v>
      </c>
      <c r="P915" t="s">
        <v>2969</v>
      </c>
      <c r="Q915" t="s">
        <v>4674</v>
      </c>
      <c r="R915" t="s">
        <v>4710</v>
      </c>
      <c r="S915" t="s">
        <v>4717</v>
      </c>
      <c r="T915">
        <f t="shared" si="28"/>
        <v>6</v>
      </c>
      <c r="U915" s="21">
        <f t="shared" si="29"/>
        <v>44955</v>
      </c>
    </row>
    <row r="916" spans="1:21" x14ac:dyDescent="0.35">
      <c r="A916" t="s">
        <v>560</v>
      </c>
      <c r="B916" t="s">
        <v>561</v>
      </c>
      <c r="C916" t="s">
        <v>30</v>
      </c>
      <c r="D916" t="s">
        <v>205</v>
      </c>
      <c r="E916" s="1">
        <v>146.352</v>
      </c>
      <c r="F916" t="s">
        <v>206</v>
      </c>
      <c r="G916">
        <v>80</v>
      </c>
      <c r="H916" s="1">
        <v>117.08160000000001</v>
      </c>
      <c r="I916" s="21">
        <v>44949</v>
      </c>
      <c r="J916" s="21">
        <v>44956</v>
      </c>
      <c r="K916" s="21">
        <v>44956</v>
      </c>
      <c r="L916" t="s">
        <v>207</v>
      </c>
      <c r="M916" t="s">
        <v>82</v>
      </c>
      <c r="N916" t="s">
        <v>47</v>
      </c>
      <c r="O916">
        <v>1</v>
      </c>
      <c r="P916" t="s">
        <v>562</v>
      </c>
      <c r="Q916" t="s">
        <v>4729</v>
      </c>
      <c r="R916" t="s">
        <v>4512</v>
      </c>
      <c r="S916" t="s">
        <v>4717</v>
      </c>
      <c r="T916">
        <f t="shared" si="28"/>
        <v>7</v>
      </c>
      <c r="U916" s="21">
        <f t="shared" si="29"/>
        <v>44956</v>
      </c>
    </row>
    <row r="917" spans="1:21" x14ac:dyDescent="0.35">
      <c r="A917" t="s">
        <v>3984</v>
      </c>
      <c r="B917" t="s">
        <v>3985</v>
      </c>
      <c r="C917" t="s">
        <v>30</v>
      </c>
      <c r="D917" t="s">
        <v>205</v>
      </c>
      <c r="E917" s="1">
        <v>27.96</v>
      </c>
      <c r="F917" t="s">
        <v>206</v>
      </c>
      <c r="G917">
        <v>80</v>
      </c>
      <c r="H917" s="1">
        <v>22.368000000000002</v>
      </c>
      <c r="I917" s="21">
        <v>44949</v>
      </c>
      <c r="J917" s="21">
        <v>44954</v>
      </c>
      <c r="K917" s="21">
        <v>44954</v>
      </c>
      <c r="L917" t="s">
        <v>234</v>
      </c>
      <c r="M917" t="s">
        <v>40</v>
      </c>
      <c r="N917" t="s">
        <v>34</v>
      </c>
      <c r="O917">
        <v>1</v>
      </c>
      <c r="P917" t="s">
        <v>1062</v>
      </c>
      <c r="Q917" t="s">
        <v>4729</v>
      </c>
      <c r="R917" t="s">
        <v>4713</v>
      </c>
      <c r="S917" t="s">
        <v>4719</v>
      </c>
      <c r="T917">
        <f t="shared" si="28"/>
        <v>5</v>
      </c>
      <c r="U917" s="21">
        <f t="shared" si="29"/>
        <v>44954</v>
      </c>
    </row>
    <row r="918" spans="1:21" x14ac:dyDescent="0.35">
      <c r="A918" t="s">
        <v>2965</v>
      </c>
      <c r="B918" t="s">
        <v>2966</v>
      </c>
      <c r="C918" t="s">
        <v>30</v>
      </c>
      <c r="D918" t="s">
        <v>205</v>
      </c>
      <c r="E918" s="1">
        <v>26.38</v>
      </c>
      <c r="F918" t="s">
        <v>206</v>
      </c>
      <c r="G918">
        <v>80</v>
      </c>
      <c r="H918" s="1">
        <v>21.103999999999999</v>
      </c>
      <c r="I918" s="21">
        <v>44944</v>
      </c>
      <c r="J918" s="21">
        <v>44948</v>
      </c>
      <c r="K918" s="21">
        <v>44948</v>
      </c>
      <c r="L918" t="s">
        <v>207</v>
      </c>
      <c r="M918" t="s">
        <v>67</v>
      </c>
      <c r="N918" t="s">
        <v>68</v>
      </c>
      <c r="O918">
        <v>1</v>
      </c>
      <c r="P918" t="s">
        <v>1202</v>
      </c>
      <c r="Q918" t="s">
        <v>4729</v>
      </c>
      <c r="R918" t="s">
        <v>4726</v>
      </c>
      <c r="S918" t="s">
        <v>4717</v>
      </c>
      <c r="T918">
        <f t="shared" si="28"/>
        <v>4</v>
      </c>
      <c r="U918" s="21">
        <f t="shared" si="29"/>
        <v>44948</v>
      </c>
    </row>
    <row r="919" spans="1:21" x14ac:dyDescent="0.35">
      <c r="A919" t="s">
        <v>557</v>
      </c>
      <c r="B919" t="s">
        <v>558</v>
      </c>
      <c r="C919" t="s">
        <v>19</v>
      </c>
      <c r="D919" t="s">
        <v>212</v>
      </c>
      <c r="E919" s="1">
        <v>36.24</v>
      </c>
      <c r="F919" t="s">
        <v>206</v>
      </c>
      <c r="G919">
        <v>100</v>
      </c>
      <c r="H919" s="1">
        <v>36.24</v>
      </c>
      <c r="I919" s="21">
        <v>44942</v>
      </c>
      <c r="J919" s="21">
        <v>44944</v>
      </c>
      <c r="K919" s="21">
        <v>44944</v>
      </c>
      <c r="L919" t="s">
        <v>213</v>
      </c>
      <c r="M919" t="s">
        <v>146</v>
      </c>
      <c r="N919" t="s">
        <v>73</v>
      </c>
      <c r="O919">
        <v>1</v>
      </c>
      <c r="P919" t="s">
        <v>559</v>
      </c>
      <c r="Q919" t="s">
        <v>4540</v>
      </c>
      <c r="R919" t="s">
        <v>4713</v>
      </c>
      <c r="S919" t="s">
        <v>4719</v>
      </c>
      <c r="T919">
        <f t="shared" si="28"/>
        <v>2</v>
      </c>
      <c r="U919" s="21">
        <f t="shared" si="29"/>
        <v>44944</v>
      </c>
    </row>
    <row r="920" spans="1:21" x14ac:dyDescent="0.35">
      <c r="A920" t="s">
        <v>3979</v>
      </c>
      <c r="B920" t="s">
        <v>3980</v>
      </c>
      <c r="C920" t="s">
        <v>19</v>
      </c>
      <c r="D920" t="s">
        <v>205</v>
      </c>
      <c r="E920" s="1">
        <v>296.37</v>
      </c>
      <c r="F920" t="s">
        <v>206</v>
      </c>
      <c r="G920">
        <v>80</v>
      </c>
      <c r="H920" s="1">
        <v>237.096</v>
      </c>
      <c r="I920" s="21">
        <v>44942</v>
      </c>
      <c r="J920" s="21">
        <v>44942</v>
      </c>
      <c r="K920" s="21">
        <v>44942</v>
      </c>
      <c r="L920" t="s">
        <v>220</v>
      </c>
      <c r="M920" t="s">
        <v>82</v>
      </c>
      <c r="N920" t="s">
        <v>47</v>
      </c>
      <c r="O920">
        <v>1</v>
      </c>
      <c r="P920" t="s">
        <v>3981</v>
      </c>
      <c r="Q920" t="s">
        <v>4729</v>
      </c>
      <c r="R920" t="s">
        <v>4713</v>
      </c>
      <c r="S920" t="s">
        <v>4719</v>
      </c>
      <c r="T920">
        <f t="shared" si="28"/>
        <v>0</v>
      </c>
      <c r="U920" s="21">
        <f t="shared" si="29"/>
        <v>44942</v>
      </c>
    </row>
    <row r="921" spans="1:21" x14ac:dyDescent="0.35">
      <c r="A921" t="s">
        <v>554</v>
      </c>
      <c r="B921" t="s">
        <v>555</v>
      </c>
      <c r="C921" t="s">
        <v>30</v>
      </c>
      <c r="D921" t="s">
        <v>212</v>
      </c>
      <c r="E921" s="1">
        <v>242.94</v>
      </c>
      <c r="F921" t="s">
        <v>206</v>
      </c>
      <c r="G921">
        <v>100</v>
      </c>
      <c r="H921" s="1">
        <v>242.94</v>
      </c>
      <c r="I921" s="21">
        <v>44938</v>
      </c>
      <c r="J921" s="21">
        <v>44942</v>
      </c>
      <c r="K921" s="21">
        <v>44942</v>
      </c>
      <c r="L921" t="s">
        <v>220</v>
      </c>
      <c r="M921" t="s">
        <v>82</v>
      </c>
      <c r="N921" t="s">
        <v>47</v>
      </c>
      <c r="O921">
        <v>1</v>
      </c>
      <c r="P921" t="s">
        <v>556</v>
      </c>
      <c r="Q921" t="s">
        <v>4577</v>
      </c>
      <c r="R921" t="s">
        <v>4709</v>
      </c>
      <c r="S921" t="s">
        <v>4717</v>
      </c>
      <c r="T921">
        <f t="shared" si="28"/>
        <v>4</v>
      </c>
      <c r="U921" s="21">
        <f t="shared" si="29"/>
        <v>44942</v>
      </c>
    </row>
    <row r="922" spans="1:21" x14ac:dyDescent="0.35">
      <c r="A922" t="s">
        <v>1829</v>
      </c>
      <c r="B922" t="s">
        <v>1830</v>
      </c>
      <c r="C922" t="s">
        <v>30</v>
      </c>
      <c r="D922" t="s">
        <v>205</v>
      </c>
      <c r="E922" s="1">
        <v>326.64600000000002</v>
      </c>
      <c r="F922" t="s">
        <v>206</v>
      </c>
      <c r="G922">
        <v>80</v>
      </c>
      <c r="H922" s="1">
        <v>261.3168</v>
      </c>
      <c r="I922" s="21">
        <v>44937</v>
      </c>
      <c r="J922" s="21">
        <v>44940</v>
      </c>
      <c r="K922" s="21">
        <v>44940</v>
      </c>
      <c r="L922" t="s">
        <v>234</v>
      </c>
      <c r="M922" t="s">
        <v>146</v>
      </c>
      <c r="N922" t="s">
        <v>73</v>
      </c>
      <c r="O922">
        <v>1</v>
      </c>
      <c r="P922" t="s">
        <v>1831</v>
      </c>
      <c r="Q922" t="s">
        <v>4729</v>
      </c>
      <c r="R922" t="s">
        <v>4714</v>
      </c>
      <c r="S922" t="s">
        <v>4718</v>
      </c>
      <c r="T922">
        <f t="shared" si="28"/>
        <v>3</v>
      </c>
      <c r="U922" s="21">
        <f t="shared" si="29"/>
        <v>44940</v>
      </c>
    </row>
    <row r="923" spans="1:21" x14ac:dyDescent="0.35">
      <c r="A923" t="s">
        <v>3976</v>
      </c>
      <c r="B923" t="s">
        <v>3977</v>
      </c>
      <c r="C923" t="s">
        <v>30</v>
      </c>
      <c r="D923" t="s">
        <v>212</v>
      </c>
      <c r="E923" s="1">
        <v>227.96</v>
      </c>
      <c r="F923" t="s">
        <v>206</v>
      </c>
      <c r="G923">
        <v>100</v>
      </c>
      <c r="H923" s="1">
        <v>227.96</v>
      </c>
      <c r="I923" s="21">
        <v>44936</v>
      </c>
      <c r="J923" s="21">
        <v>44940</v>
      </c>
      <c r="K923" s="21">
        <v>44940</v>
      </c>
      <c r="L923" t="s">
        <v>220</v>
      </c>
      <c r="M923" t="s">
        <v>33</v>
      </c>
      <c r="N923" t="s">
        <v>34</v>
      </c>
      <c r="O923">
        <v>1</v>
      </c>
      <c r="P923" t="s">
        <v>3978</v>
      </c>
      <c r="Q923" t="s">
        <v>4729</v>
      </c>
      <c r="R923" t="s">
        <v>4714</v>
      </c>
      <c r="S923" t="s">
        <v>4718</v>
      </c>
      <c r="T923">
        <f t="shared" si="28"/>
        <v>4</v>
      </c>
      <c r="U923" s="21">
        <f t="shared" si="29"/>
        <v>44940</v>
      </c>
    </row>
    <row r="924" spans="1:21" x14ac:dyDescent="0.35">
      <c r="A924" t="s">
        <v>3974</v>
      </c>
      <c r="B924" t="s">
        <v>3975</v>
      </c>
      <c r="C924" t="s">
        <v>19</v>
      </c>
      <c r="D924" t="s">
        <v>212</v>
      </c>
      <c r="E924" s="1">
        <v>5.1840000000000002</v>
      </c>
      <c r="F924" t="s">
        <v>206</v>
      </c>
      <c r="G924">
        <v>100</v>
      </c>
      <c r="H924" s="1">
        <v>5.1840000000000002</v>
      </c>
      <c r="I924" s="21">
        <v>44934</v>
      </c>
      <c r="J924" s="21">
        <v>44939</v>
      </c>
      <c r="K924" s="21">
        <v>44939</v>
      </c>
      <c r="L924" t="s">
        <v>220</v>
      </c>
      <c r="M924" t="s">
        <v>72</v>
      </c>
      <c r="N924" t="s">
        <v>73</v>
      </c>
      <c r="O924">
        <v>1</v>
      </c>
      <c r="P924" t="s">
        <v>1914</v>
      </c>
      <c r="Q924" t="s">
        <v>4519</v>
      </c>
      <c r="R924" t="s">
        <v>4726</v>
      </c>
      <c r="S924" t="s">
        <v>4717</v>
      </c>
      <c r="T924">
        <f t="shared" si="28"/>
        <v>5</v>
      </c>
      <c r="U924" s="21">
        <f t="shared" si="29"/>
        <v>44939</v>
      </c>
    </row>
    <row r="925" spans="1:21" x14ac:dyDescent="0.35">
      <c r="A925" t="s">
        <v>3971</v>
      </c>
      <c r="B925" t="s">
        <v>3972</v>
      </c>
      <c r="C925" t="s">
        <v>19</v>
      </c>
      <c r="D925" t="s">
        <v>205</v>
      </c>
      <c r="E925" s="1">
        <v>241.5</v>
      </c>
      <c r="F925" t="s">
        <v>206</v>
      </c>
      <c r="G925">
        <v>80</v>
      </c>
      <c r="H925" s="1">
        <v>193.20000000000002</v>
      </c>
      <c r="I925" s="21">
        <v>44931</v>
      </c>
      <c r="J925" s="21">
        <v>44936</v>
      </c>
      <c r="K925" s="21">
        <v>44936</v>
      </c>
      <c r="L925" t="s">
        <v>207</v>
      </c>
      <c r="M925" t="s">
        <v>46</v>
      </c>
      <c r="N925" t="s">
        <v>47</v>
      </c>
      <c r="O925">
        <v>1</v>
      </c>
      <c r="P925" t="s">
        <v>3973</v>
      </c>
      <c r="Q925" t="s">
        <v>4729</v>
      </c>
      <c r="R925" t="s">
        <v>4714</v>
      </c>
      <c r="S925" t="s">
        <v>4718</v>
      </c>
      <c r="T925">
        <f t="shared" si="28"/>
        <v>5</v>
      </c>
      <c r="U925" s="21">
        <f t="shared" si="29"/>
        <v>44936</v>
      </c>
    </row>
    <row r="926" spans="1:21" x14ac:dyDescent="0.35">
      <c r="A926" t="s">
        <v>3969</v>
      </c>
      <c r="B926" t="s">
        <v>3970</v>
      </c>
      <c r="C926" t="s">
        <v>19</v>
      </c>
      <c r="D926" t="s">
        <v>205</v>
      </c>
      <c r="E926" s="1">
        <v>31.86</v>
      </c>
      <c r="F926" t="s">
        <v>206</v>
      </c>
      <c r="G926">
        <v>80</v>
      </c>
      <c r="H926" s="1">
        <v>25.488</v>
      </c>
      <c r="I926" s="21">
        <v>44930</v>
      </c>
      <c r="J926" s="21">
        <v>44932</v>
      </c>
      <c r="K926" s="21">
        <v>44932</v>
      </c>
      <c r="L926" t="s">
        <v>234</v>
      </c>
      <c r="M926" t="s">
        <v>54</v>
      </c>
      <c r="N926" t="s">
        <v>26</v>
      </c>
      <c r="O926">
        <v>1</v>
      </c>
      <c r="P926" t="s">
        <v>524</v>
      </c>
      <c r="Q926" t="s">
        <v>4574</v>
      </c>
      <c r="R926" t="s">
        <v>4713</v>
      </c>
      <c r="S926" t="s">
        <v>4719</v>
      </c>
      <c r="T926">
        <f t="shared" si="28"/>
        <v>2</v>
      </c>
      <c r="U926" s="21">
        <f t="shared" si="29"/>
        <v>44932</v>
      </c>
    </row>
    <row r="927" spans="1:21" x14ac:dyDescent="0.35">
      <c r="A927" t="s">
        <v>1394</v>
      </c>
      <c r="B927" t="s">
        <v>1395</v>
      </c>
      <c r="C927" t="s">
        <v>19</v>
      </c>
      <c r="D927" t="s">
        <v>212</v>
      </c>
      <c r="E927" s="1">
        <v>17.96</v>
      </c>
      <c r="F927" t="s">
        <v>206</v>
      </c>
      <c r="G927">
        <v>100</v>
      </c>
      <c r="H927" s="1">
        <v>17.96</v>
      </c>
      <c r="I927" s="21">
        <v>44927</v>
      </c>
      <c r="J927" s="21">
        <v>44929</v>
      </c>
      <c r="K927" s="21">
        <v>44929</v>
      </c>
      <c r="L927" t="s">
        <v>213</v>
      </c>
      <c r="M927" t="s">
        <v>67</v>
      </c>
      <c r="N927" t="s">
        <v>68</v>
      </c>
      <c r="O927">
        <v>1</v>
      </c>
      <c r="P927" t="s">
        <v>55</v>
      </c>
      <c r="Q927" t="s">
        <v>4517</v>
      </c>
      <c r="R927" t="s">
        <v>4726</v>
      </c>
      <c r="S927" t="s">
        <v>4717</v>
      </c>
      <c r="T927">
        <f t="shared" si="28"/>
        <v>2</v>
      </c>
      <c r="U927" s="21">
        <f t="shared" si="29"/>
        <v>44929</v>
      </c>
    </row>
    <row r="928" spans="1:21" x14ac:dyDescent="0.35">
      <c r="A928" t="s">
        <v>3700</v>
      </c>
      <c r="B928" t="s">
        <v>3701</v>
      </c>
      <c r="C928" t="s">
        <v>19</v>
      </c>
      <c r="D928" t="s">
        <v>205</v>
      </c>
      <c r="E928" s="1">
        <v>114.2</v>
      </c>
      <c r="F928" t="s">
        <v>206</v>
      </c>
      <c r="G928">
        <v>80</v>
      </c>
      <c r="H928" s="1">
        <v>91.360000000000014</v>
      </c>
      <c r="I928" s="21">
        <v>44927</v>
      </c>
      <c r="J928" s="21">
        <v>44931</v>
      </c>
      <c r="K928" s="21">
        <v>44931</v>
      </c>
      <c r="L928" t="s">
        <v>213</v>
      </c>
      <c r="M928" t="s">
        <v>54</v>
      </c>
      <c r="N928" t="s">
        <v>26</v>
      </c>
      <c r="O928">
        <v>1</v>
      </c>
      <c r="P928" t="s">
        <v>2686</v>
      </c>
      <c r="Q928" t="s">
        <v>4519</v>
      </c>
      <c r="R928" t="s">
        <v>4726</v>
      </c>
      <c r="S928" t="s">
        <v>4717</v>
      </c>
      <c r="T928">
        <f t="shared" si="28"/>
        <v>4</v>
      </c>
      <c r="U928" s="21">
        <f t="shared" si="29"/>
        <v>44931</v>
      </c>
    </row>
    <row r="929" spans="1:21" x14ac:dyDescent="0.35">
      <c r="A929" t="s">
        <v>552</v>
      </c>
      <c r="B929" t="s">
        <v>553</v>
      </c>
      <c r="C929" t="s">
        <v>19</v>
      </c>
      <c r="D929" t="s">
        <v>205</v>
      </c>
      <c r="E929" s="1">
        <v>89.97</v>
      </c>
      <c r="F929" t="s">
        <v>206</v>
      </c>
      <c r="G929">
        <v>80</v>
      </c>
      <c r="H929" s="1">
        <v>71.975999999999999</v>
      </c>
      <c r="I929" s="21">
        <v>44925</v>
      </c>
      <c r="J929" s="21">
        <v>44932</v>
      </c>
      <c r="K929" s="21">
        <v>44932</v>
      </c>
      <c r="L929" t="s">
        <v>234</v>
      </c>
      <c r="M929" t="s">
        <v>40</v>
      </c>
      <c r="N929" t="s">
        <v>34</v>
      </c>
      <c r="O929">
        <v>1</v>
      </c>
      <c r="P929" t="s">
        <v>27</v>
      </c>
      <c r="Q929" t="s">
        <v>4513</v>
      </c>
      <c r="R929" t="s">
        <v>4713</v>
      </c>
      <c r="S929" t="s">
        <v>4719</v>
      </c>
      <c r="T929">
        <f t="shared" si="28"/>
        <v>7</v>
      </c>
      <c r="U929" s="21">
        <f t="shared" si="29"/>
        <v>44932</v>
      </c>
    </row>
    <row r="930" spans="1:21" x14ac:dyDescent="0.35">
      <c r="A930" t="s">
        <v>2963</v>
      </c>
      <c r="B930" t="s">
        <v>2964</v>
      </c>
      <c r="C930" t="s">
        <v>19</v>
      </c>
      <c r="D930" t="s">
        <v>205</v>
      </c>
      <c r="E930" s="1">
        <v>132.22399999999999</v>
      </c>
      <c r="F930" t="s">
        <v>206</v>
      </c>
      <c r="G930">
        <v>80</v>
      </c>
      <c r="H930" s="1">
        <v>105.7792</v>
      </c>
      <c r="I930" s="21">
        <v>44924</v>
      </c>
      <c r="J930" s="21">
        <v>44928</v>
      </c>
      <c r="K930" s="21">
        <v>44928</v>
      </c>
      <c r="L930" t="s">
        <v>238</v>
      </c>
      <c r="M930" t="s">
        <v>146</v>
      </c>
      <c r="N930" t="s">
        <v>73</v>
      </c>
      <c r="O930">
        <v>1</v>
      </c>
      <c r="P930" t="s">
        <v>1564</v>
      </c>
      <c r="Q930" t="s">
        <v>4548</v>
      </c>
      <c r="R930" t="s">
        <v>4721</v>
      </c>
      <c r="S930" t="s">
        <v>4718</v>
      </c>
      <c r="T930">
        <f t="shared" si="28"/>
        <v>4</v>
      </c>
      <c r="U930" s="21">
        <f t="shared" si="29"/>
        <v>44928</v>
      </c>
    </row>
    <row r="931" spans="1:21" x14ac:dyDescent="0.35">
      <c r="A931" t="s">
        <v>3963</v>
      </c>
      <c r="B931" t="s">
        <v>3964</v>
      </c>
      <c r="C931" t="s">
        <v>19</v>
      </c>
      <c r="D931" t="s">
        <v>212</v>
      </c>
      <c r="E931" s="1">
        <v>14.368</v>
      </c>
      <c r="F931" t="s">
        <v>206</v>
      </c>
      <c r="G931">
        <v>100</v>
      </c>
      <c r="H931" s="1">
        <v>14.368</v>
      </c>
      <c r="I931" s="21">
        <v>44923</v>
      </c>
      <c r="J931" s="21">
        <v>44928</v>
      </c>
      <c r="K931" s="21">
        <v>44928</v>
      </c>
      <c r="L931" t="s">
        <v>238</v>
      </c>
      <c r="M931" t="s">
        <v>40</v>
      </c>
      <c r="N931" t="s">
        <v>34</v>
      </c>
      <c r="O931">
        <v>1</v>
      </c>
      <c r="P931" t="s">
        <v>3965</v>
      </c>
      <c r="Q931" t="s">
        <v>4529</v>
      </c>
      <c r="R931" t="s">
        <v>4721</v>
      </c>
      <c r="S931" t="s">
        <v>4717</v>
      </c>
      <c r="T931">
        <f t="shared" si="28"/>
        <v>5</v>
      </c>
      <c r="U931" s="21">
        <f t="shared" si="29"/>
        <v>44928</v>
      </c>
    </row>
    <row r="932" spans="1:21" x14ac:dyDescent="0.35">
      <c r="A932" t="s">
        <v>1824</v>
      </c>
      <c r="B932" t="s">
        <v>1825</v>
      </c>
      <c r="C932" t="s">
        <v>19</v>
      </c>
      <c r="D932" t="s">
        <v>205</v>
      </c>
      <c r="E932" s="1">
        <v>56.7</v>
      </c>
      <c r="F932" t="s">
        <v>206</v>
      </c>
      <c r="G932">
        <v>80</v>
      </c>
      <c r="H932" s="1">
        <v>45.360000000000007</v>
      </c>
      <c r="I932" s="21">
        <v>44922</v>
      </c>
      <c r="J932" s="21">
        <v>44929</v>
      </c>
      <c r="K932" s="21">
        <v>44929</v>
      </c>
      <c r="L932" t="s">
        <v>248</v>
      </c>
      <c r="M932" t="s">
        <v>33</v>
      </c>
      <c r="N932" t="s">
        <v>34</v>
      </c>
      <c r="O932">
        <v>1</v>
      </c>
      <c r="P932" t="s">
        <v>1202</v>
      </c>
      <c r="Q932" t="s">
        <v>4729</v>
      </c>
      <c r="R932" t="s">
        <v>4726</v>
      </c>
      <c r="S932" t="s">
        <v>4717</v>
      </c>
      <c r="T932">
        <f t="shared" si="28"/>
        <v>7</v>
      </c>
      <c r="U932" s="21">
        <f t="shared" si="29"/>
        <v>44929</v>
      </c>
    </row>
    <row r="933" spans="1:21" x14ac:dyDescent="0.35">
      <c r="A933" t="s">
        <v>1826</v>
      </c>
      <c r="B933" t="s">
        <v>1827</v>
      </c>
      <c r="C933" t="s">
        <v>19</v>
      </c>
      <c r="D933" t="s">
        <v>212</v>
      </c>
      <c r="E933" s="1">
        <v>90.48</v>
      </c>
      <c r="F933" t="s">
        <v>206</v>
      </c>
      <c r="G933">
        <v>100</v>
      </c>
      <c r="H933" s="1">
        <v>90.48</v>
      </c>
      <c r="I933" s="21">
        <v>44924</v>
      </c>
      <c r="J933" s="21">
        <v>44927</v>
      </c>
      <c r="K933" s="21">
        <f>J933</f>
        <v>44927</v>
      </c>
      <c r="L933" t="s">
        <v>238</v>
      </c>
      <c r="M933" t="s">
        <v>46</v>
      </c>
      <c r="N933" t="s">
        <v>47</v>
      </c>
      <c r="O933">
        <v>1</v>
      </c>
      <c r="P933" t="s">
        <v>1828</v>
      </c>
      <c r="Q933" t="s">
        <v>4561</v>
      </c>
      <c r="R933" t="s">
        <v>4711</v>
      </c>
      <c r="S933" t="s">
        <v>4719</v>
      </c>
      <c r="T933">
        <f t="shared" si="28"/>
        <v>3</v>
      </c>
      <c r="U933" s="21">
        <f>J933+365</f>
        <v>45292</v>
      </c>
    </row>
    <row r="934" spans="1:21" x14ac:dyDescent="0.35">
      <c r="A934" t="s">
        <v>3966</v>
      </c>
      <c r="B934" t="s">
        <v>3967</v>
      </c>
      <c r="C934" t="s">
        <v>30</v>
      </c>
      <c r="D934" t="s">
        <v>205</v>
      </c>
      <c r="E934" s="1">
        <v>105.52</v>
      </c>
      <c r="F934" t="s">
        <v>206</v>
      </c>
      <c r="G934">
        <v>80</v>
      </c>
      <c r="H934" s="1">
        <v>84.415999999999997</v>
      </c>
      <c r="I934" s="21">
        <v>44923</v>
      </c>
      <c r="J934" s="21">
        <v>44925</v>
      </c>
      <c r="K934" s="21">
        <f>J934</f>
        <v>44925</v>
      </c>
      <c r="L934" t="s">
        <v>220</v>
      </c>
      <c r="M934" t="s">
        <v>25</v>
      </c>
      <c r="N934" t="s">
        <v>26</v>
      </c>
      <c r="O934">
        <v>1</v>
      </c>
      <c r="P934" t="s">
        <v>3968</v>
      </c>
      <c r="Q934" t="s">
        <v>4519</v>
      </c>
      <c r="R934" t="s">
        <v>4726</v>
      </c>
      <c r="S934" t="s">
        <v>4717</v>
      </c>
      <c r="T934">
        <f t="shared" si="28"/>
        <v>2</v>
      </c>
      <c r="U934" s="21">
        <f>J934+365</f>
        <v>45290</v>
      </c>
    </row>
    <row r="935" spans="1:21" x14ac:dyDescent="0.35">
      <c r="A935" t="s">
        <v>3698</v>
      </c>
      <c r="B935" t="s">
        <v>3699</v>
      </c>
      <c r="C935" t="s">
        <v>19</v>
      </c>
      <c r="D935" t="s">
        <v>21</v>
      </c>
      <c r="E935" s="1">
        <v>435.53999999999996</v>
      </c>
      <c r="F935" t="s">
        <v>22</v>
      </c>
      <c r="G935">
        <v>0</v>
      </c>
      <c r="H935" s="1">
        <v>0</v>
      </c>
      <c r="I935" s="21">
        <v>44558</v>
      </c>
      <c r="J935" s="21">
        <v>44561</v>
      </c>
      <c r="K935" s="21">
        <v>44561</v>
      </c>
      <c r="L935" t="s">
        <v>53</v>
      </c>
      <c r="M935" t="s">
        <v>25</v>
      </c>
      <c r="N935" t="s">
        <v>26</v>
      </c>
      <c r="O935">
        <v>1</v>
      </c>
      <c r="P935" t="s">
        <v>2268</v>
      </c>
      <c r="Q935" t="s">
        <v>4519</v>
      </c>
      <c r="R935" t="s">
        <v>4726</v>
      </c>
      <c r="S935" t="s">
        <v>4717</v>
      </c>
      <c r="T935">
        <f t="shared" si="28"/>
        <v>3</v>
      </c>
      <c r="U935" s="21">
        <f>J935</f>
        <v>44561</v>
      </c>
    </row>
    <row r="936" spans="1:21" x14ac:dyDescent="0.35">
      <c r="A936" t="s">
        <v>3960</v>
      </c>
      <c r="B936" t="s">
        <v>3961</v>
      </c>
      <c r="C936" t="s">
        <v>19</v>
      </c>
      <c r="D936" t="s">
        <v>205</v>
      </c>
      <c r="E936" s="1">
        <v>156.512</v>
      </c>
      <c r="F936" t="s">
        <v>206</v>
      </c>
      <c r="G936">
        <v>80</v>
      </c>
      <c r="H936" s="1">
        <v>125.20960000000001</v>
      </c>
      <c r="I936" s="21">
        <v>44923</v>
      </c>
      <c r="J936" s="21">
        <v>44927</v>
      </c>
      <c r="K936" s="21">
        <f t="shared" ref="K936:K943" si="30">J936</f>
        <v>44927</v>
      </c>
      <c r="L936" t="s">
        <v>248</v>
      </c>
      <c r="M936" t="s">
        <v>72</v>
      </c>
      <c r="N936" t="s">
        <v>73</v>
      </c>
      <c r="O936">
        <v>1</v>
      </c>
      <c r="P936" t="s">
        <v>3962</v>
      </c>
      <c r="Q936" t="s">
        <v>4519</v>
      </c>
      <c r="R936" t="s">
        <v>4726</v>
      </c>
      <c r="S936" t="s">
        <v>4717</v>
      </c>
      <c r="T936">
        <f t="shared" si="28"/>
        <v>4</v>
      </c>
      <c r="U936" s="21">
        <f t="shared" ref="U936:U943" si="31">J936+365</f>
        <v>45292</v>
      </c>
    </row>
    <row r="937" spans="1:21" x14ac:dyDescent="0.35">
      <c r="A937" t="s">
        <v>1821</v>
      </c>
      <c r="B937" t="s">
        <v>1822</v>
      </c>
      <c r="C937" t="s">
        <v>19</v>
      </c>
      <c r="D937" t="s">
        <v>205</v>
      </c>
      <c r="E937" s="1">
        <v>20.65</v>
      </c>
      <c r="F937" t="s">
        <v>206</v>
      </c>
      <c r="G937">
        <v>80</v>
      </c>
      <c r="H937" s="1">
        <v>16.52</v>
      </c>
      <c r="I937" s="21">
        <v>44922</v>
      </c>
      <c r="J937" s="21">
        <v>44926</v>
      </c>
      <c r="K937" s="21">
        <f t="shared" si="30"/>
        <v>44926</v>
      </c>
      <c r="L937" t="s">
        <v>234</v>
      </c>
      <c r="M937" t="s">
        <v>54</v>
      </c>
      <c r="N937" t="s">
        <v>26</v>
      </c>
      <c r="O937">
        <v>1</v>
      </c>
      <c r="P937" t="s">
        <v>1823</v>
      </c>
      <c r="Q937" t="s">
        <v>4517</v>
      </c>
      <c r="R937" t="s">
        <v>4726</v>
      </c>
      <c r="S937" t="s">
        <v>4717</v>
      </c>
      <c r="T937">
        <f t="shared" si="28"/>
        <v>4</v>
      </c>
      <c r="U937" s="21">
        <f t="shared" si="31"/>
        <v>45291</v>
      </c>
    </row>
    <row r="938" spans="1:21" x14ac:dyDescent="0.35">
      <c r="A938" t="s">
        <v>2961</v>
      </c>
      <c r="B938" t="s">
        <v>2962</v>
      </c>
      <c r="C938" t="s">
        <v>19</v>
      </c>
      <c r="D938" t="s">
        <v>212</v>
      </c>
      <c r="E938" s="1">
        <v>29.99</v>
      </c>
      <c r="F938" t="s">
        <v>206</v>
      </c>
      <c r="G938">
        <v>100</v>
      </c>
      <c r="H938" s="1">
        <v>29.99</v>
      </c>
      <c r="I938" s="21">
        <v>44922</v>
      </c>
      <c r="J938" s="21">
        <v>44926</v>
      </c>
      <c r="K938" s="21">
        <f t="shared" si="30"/>
        <v>44926</v>
      </c>
      <c r="L938" t="s">
        <v>213</v>
      </c>
      <c r="M938" t="s">
        <v>33</v>
      </c>
      <c r="N938" t="s">
        <v>34</v>
      </c>
      <c r="O938">
        <v>1</v>
      </c>
      <c r="P938" t="s">
        <v>27</v>
      </c>
      <c r="Q938" t="s">
        <v>4513</v>
      </c>
      <c r="R938" t="s">
        <v>4713</v>
      </c>
      <c r="S938" t="s">
        <v>4719</v>
      </c>
      <c r="T938">
        <f t="shared" si="28"/>
        <v>4</v>
      </c>
      <c r="U938" s="21">
        <f t="shared" si="31"/>
        <v>45291</v>
      </c>
    </row>
    <row r="939" spans="1:21" x14ac:dyDescent="0.35">
      <c r="A939" t="s">
        <v>1818</v>
      </c>
      <c r="B939" t="s">
        <v>1819</v>
      </c>
      <c r="C939" t="s">
        <v>19</v>
      </c>
      <c r="D939" t="s">
        <v>212</v>
      </c>
      <c r="E939" s="1">
        <v>49.536000000000001</v>
      </c>
      <c r="F939" t="s">
        <v>206</v>
      </c>
      <c r="G939">
        <v>100</v>
      </c>
      <c r="H939" s="1">
        <v>49.536000000000001</v>
      </c>
      <c r="I939" s="21">
        <v>44922</v>
      </c>
      <c r="J939" s="21">
        <v>44927</v>
      </c>
      <c r="K939" s="21">
        <f t="shared" si="30"/>
        <v>44927</v>
      </c>
      <c r="L939" t="s">
        <v>234</v>
      </c>
      <c r="M939" t="s">
        <v>72</v>
      </c>
      <c r="N939" t="s">
        <v>73</v>
      </c>
      <c r="O939">
        <v>1</v>
      </c>
      <c r="P939" t="s">
        <v>1820</v>
      </c>
      <c r="Q939" t="s">
        <v>4729</v>
      </c>
      <c r="R939" t="s">
        <v>4726</v>
      </c>
      <c r="S939" t="s">
        <v>4717</v>
      </c>
      <c r="T939">
        <f t="shared" si="28"/>
        <v>5</v>
      </c>
      <c r="U939" s="21">
        <f t="shared" si="31"/>
        <v>45292</v>
      </c>
    </row>
    <row r="940" spans="1:21" x14ac:dyDescent="0.35">
      <c r="A940" t="s">
        <v>3958</v>
      </c>
      <c r="B940" t="s">
        <v>3959</v>
      </c>
      <c r="C940" t="s">
        <v>30</v>
      </c>
      <c r="D940" t="s">
        <v>205</v>
      </c>
      <c r="E940" s="1">
        <v>69.98</v>
      </c>
      <c r="F940" t="s">
        <v>206</v>
      </c>
      <c r="G940">
        <v>80</v>
      </c>
      <c r="H940" s="1">
        <v>55.984000000000009</v>
      </c>
      <c r="I940" s="21">
        <v>44921</v>
      </c>
      <c r="J940" s="21">
        <v>44925</v>
      </c>
      <c r="K940" s="21">
        <f t="shared" si="30"/>
        <v>44925</v>
      </c>
      <c r="L940" t="s">
        <v>220</v>
      </c>
      <c r="M940" t="s">
        <v>82</v>
      </c>
      <c r="N940" t="s">
        <v>47</v>
      </c>
      <c r="O940">
        <v>1</v>
      </c>
      <c r="P940" t="s">
        <v>2914</v>
      </c>
      <c r="Q940" t="s">
        <v>4513</v>
      </c>
      <c r="R940" t="s">
        <v>4713</v>
      </c>
      <c r="S940" t="s">
        <v>4719</v>
      </c>
      <c r="T940">
        <f t="shared" si="28"/>
        <v>4</v>
      </c>
      <c r="U940" s="21">
        <f t="shared" si="31"/>
        <v>45290</v>
      </c>
    </row>
    <row r="941" spans="1:21" x14ac:dyDescent="0.35">
      <c r="A941" t="s">
        <v>2958</v>
      </c>
      <c r="B941" t="s">
        <v>2959</v>
      </c>
      <c r="C941" t="s">
        <v>19</v>
      </c>
      <c r="D941" t="s">
        <v>205</v>
      </c>
      <c r="E941" s="1">
        <v>377.928</v>
      </c>
      <c r="F941" t="s">
        <v>206</v>
      </c>
      <c r="G941">
        <v>80</v>
      </c>
      <c r="H941" s="1">
        <v>302.3424</v>
      </c>
      <c r="I941" s="21">
        <v>44921</v>
      </c>
      <c r="J941" s="21">
        <v>44925</v>
      </c>
      <c r="K941" s="21">
        <f t="shared" si="30"/>
        <v>44925</v>
      </c>
      <c r="L941" t="s">
        <v>234</v>
      </c>
      <c r="M941" t="s">
        <v>33</v>
      </c>
      <c r="N941" t="s">
        <v>34</v>
      </c>
      <c r="O941">
        <v>1</v>
      </c>
      <c r="P941" t="s">
        <v>2960</v>
      </c>
      <c r="Q941" t="s">
        <v>4673</v>
      </c>
      <c r="R941" t="s">
        <v>4711</v>
      </c>
      <c r="S941" t="s">
        <v>4719</v>
      </c>
      <c r="T941">
        <f t="shared" si="28"/>
        <v>4</v>
      </c>
      <c r="U941" s="21">
        <f t="shared" si="31"/>
        <v>45290</v>
      </c>
    </row>
    <row r="942" spans="1:21" x14ac:dyDescent="0.35">
      <c r="A942" t="s">
        <v>1815</v>
      </c>
      <c r="B942" t="s">
        <v>1816</v>
      </c>
      <c r="C942" t="s">
        <v>19</v>
      </c>
      <c r="D942" t="s">
        <v>212</v>
      </c>
      <c r="E942" s="1">
        <v>322.58999999999997</v>
      </c>
      <c r="F942" t="s">
        <v>206</v>
      </c>
      <c r="G942">
        <v>100</v>
      </c>
      <c r="H942" s="1">
        <v>322.58999999999997</v>
      </c>
      <c r="I942" s="21">
        <v>44921</v>
      </c>
      <c r="J942" s="21">
        <v>44925</v>
      </c>
      <c r="K942" s="21">
        <f t="shared" si="30"/>
        <v>44925</v>
      </c>
      <c r="L942" t="s">
        <v>248</v>
      </c>
      <c r="M942" t="s">
        <v>67</v>
      </c>
      <c r="N942" t="s">
        <v>68</v>
      </c>
      <c r="O942">
        <v>1</v>
      </c>
      <c r="P942" t="s">
        <v>1817</v>
      </c>
      <c r="Q942" t="s">
        <v>4729</v>
      </c>
      <c r="R942" t="s">
        <v>4721</v>
      </c>
      <c r="S942" t="s">
        <v>4718</v>
      </c>
      <c r="T942">
        <f t="shared" si="28"/>
        <v>4</v>
      </c>
      <c r="U942" s="21">
        <f t="shared" si="31"/>
        <v>45290</v>
      </c>
    </row>
    <row r="943" spans="1:21" x14ac:dyDescent="0.35">
      <c r="A943" t="s">
        <v>2955</v>
      </c>
      <c r="B943" t="s">
        <v>2956</v>
      </c>
      <c r="C943" t="s">
        <v>30</v>
      </c>
      <c r="D943" t="s">
        <v>212</v>
      </c>
      <c r="E943" s="1">
        <v>349.95</v>
      </c>
      <c r="F943" t="s">
        <v>206</v>
      </c>
      <c r="G943">
        <v>100</v>
      </c>
      <c r="H943" s="1">
        <v>349.95</v>
      </c>
      <c r="I943" s="21">
        <v>44920</v>
      </c>
      <c r="J943" s="21">
        <v>44924</v>
      </c>
      <c r="K943" s="21">
        <f t="shared" si="30"/>
        <v>44924</v>
      </c>
      <c r="L943" t="s">
        <v>207</v>
      </c>
      <c r="M943" t="s">
        <v>54</v>
      </c>
      <c r="N943" t="s">
        <v>26</v>
      </c>
      <c r="O943">
        <v>1</v>
      </c>
      <c r="P943" t="s">
        <v>2957</v>
      </c>
      <c r="Q943" t="s">
        <v>4513</v>
      </c>
      <c r="R943" t="s">
        <v>4713</v>
      </c>
      <c r="S943" t="s">
        <v>4719</v>
      </c>
      <c r="T943">
        <f t="shared" si="28"/>
        <v>4</v>
      </c>
      <c r="U943" s="21">
        <f t="shared" si="31"/>
        <v>45289</v>
      </c>
    </row>
    <row r="944" spans="1:21" x14ac:dyDescent="0.35">
      <c r="A944" t="s">
        <v>1391</v>
      </c>
      <c r="B944" t="s">
        <v>1392</v>
      </c>
      <c r="C944" t="s">
        <v>19</v>
      </c>
      <c r="D944" t="s">
        <v>21</v>
      </c>
      <c r="E944" s="1">
        <v>627.92399999999986</v>
      </c>
      <c r="F944" t="s">
        <v>22</v>
      </c>
      <c r="G944">
        <v>0</v>
      </c>
      <c r="H944" s="1">
        <v>0</v>
      </c>
      <c r="I944" s="21">
        <v>44555</v>
      </c>
      <c r="J944" s="21">
        <v>44558</v>
      </c>
      <c r="K944" s="21">
        <v>44558</v>
      </c>
      <c r="L944" t="s">
        <v>24</v>
      </c>
      <c r="M944" t="s">
        <v>67</v>
      </c>
      <c r="N944" t="s">
        <v>68</v>
      </c>
      <c r="O944">
        <v>1</v>
      </c>
      <c r="P944" t="s">
        <v>1393</v>
      </c>
      <c r="Q944" t="s">
        <v>4563</v>
      </c>
      <c r="R944" t="s">
        <v>4726</v>
      </c>
      <c r="S944" t="s">
        <v>4717</v>
      </c>
      <c r="T944">
        <f t="shared" si="28"/>
        <v>3</v>
      </c>
      <c r="U944" s="21">
        <f t="shared" ref="U944:U945" si="32">J944</f>
        <v>44558</v>
      </c>
    </row>
    <row r="945" spans="1:21" x14ac:dyDescent="0.35">
      <c r="A945" t="s">
        <v>2587</v>
      </c>
      <c r="B945" t="s">
        <v>2588</v>
      </c>
      <c r="C945" t="s">
        <v>30</v>
      </c>
      <c r="D945" t="s">
        <v>21</v>
      </c>
      <c r="E945" s="1">
        <v>167.31</v>
      </c>
      <c r="F945" t="s">
        <v>22</v>
      </c>
      <c r="G945">
        <v>0</v>
      </c>
      <c r="H945" s="1">
        <v>0</v>
      </c>
      <c r="I945" s="21">
        <v>44555</v>
      </c>
      <c r="J945" s="21">
        <v>44557</v>
      </c>
      <c r="K945" s="21">
        <v>44557</v>
      </c>
      <c r="L945" t="s">
        <v>53</v>
      </c>
      <c r="M945" t="s">
        <v>33</v>
      </c>
      <c r="N945" t="s">
        <v>34</v>
      </c>
      <c r="O945">
        <v>1</v>
      </c>
      <c r="P945" t="s">
        <v>2589</v>
      </c>
      <c r="Q945" t="s">
        <v>4519</v>
      </c>
      <c r="R945" t="s">
        <v>4726</v>
      </c>
      <c r="S945" t="s">
        <v>4717</v>
      </c>
      <c r="T945">
        <f t="shared" si="28"/>
        <v>2</v>
      </c>
      <c r="U945" s="21">
        <f t="shared" si="32"/>
        <v>44557</v>
      </c>
    </row>
    <row r="946" spans="1:21" x14ac:dyDescent="0.35">
      <c r="A946" t="s">
        <v>1812</v>
      </c>
      <c r="B946" t="s">
        <v>1813</v>
      </c>
      <c r="C946" t="s">
        <v>19</v>
      </c>
      <c r="D946" t="s">
        <v>212</v>
      </c>
      <c r="E946" s="1">
        <v>108.78400000000001</v>
      </c>
      <c r="F946" t="s">
        <v>206</v>
      </c>
      <c r="G946">
        <v>100</v>
      </c>
      <c r="H946" s="1">
        <v>108.78400000000001</v>
      </c>
      <c r="I946" s="21">
        <v>44919</v>
      </c>
      <c r="J946" s="21">
        <v>44922</v>
      </c>
      <c r="K946" s="21">
        <f t="shared" ref="K946:K947" si="33">J946</f>
        <v>44922</v>
      </c>
      <c r="L946" t="s">
        <v>213</v>
      </c>
      <c r="M946" t="s">
        <v>97</v>
      </c>
      <c r="N946" t="s">
        <v>68</v>
      </c>
      <c r="O946">
        <v>1</v>
      </c>
      <c r="P946" t="s">
        <v>1814</v>
      </c>
      <c r="Q946" t="s">
        <v>4572</v>
      </c>
      <c r="R946" t="s">
        <v>4711</v>
      </c>
      <c r="S946" t="s">
        <v>4719</v>
      </c>
      <c r="T946">
        <f t="shared" si="28"/>
        <v>3</v>
      </c>
      <c r="U946" s="21">
        <f t="shared" ref="U946:U947" si="34">J946+365</f>
        <v>45287</v>
      </c>
    </row>
    <row r="947" spans="1:21" x14ac:dyDescent="0.35">
      <c r="A947" t="s">
        <v>2952</v>
      </c>
      <c r="B947" t="s">
        <v>2953</v>
      </c>
      <c r="C947" t="s">
        <v>19</v>
      </c>
      <c r="D947" t="s">
        <v>212</v>
      </c>
      <c r="E947" s="1">
        <v>106.05</v>
      </c>
      <c r="F947" t="s">
        <v>206</v>
      </c>
      <c r="G947">
        <v>100</v>
      </c>
      <c r="H947" s="1">
        <v>106.05</v>
      </c>
      <c r="I947" s="21">
        <v>44918</v>
      </c>
      <c r="J947" s="21">
        <v>44923</v>
      </c>
      <c r="K947" s="21">
        <f t="shared" si="33"/>
        <v>44923</v>
      </c>
      <c r="L947" t="s">
        <v>207</v>
      </c>
      <c r="M947" t="s">
        <v>97</v>
      </c>
      <c r="N947" t="s">
        <v>68</v>
      </c>
      <c r="O947">
        <v>1</v>
      </c>
      <c r="P947" t="s">
        <v>2954</v>
      </c>
      <c r="Q947" t="s">
        <v>4729</v>
      </c>
      <c r="R947" t="s">
        <v>4721</v>
      </c>
      <c r="S947" t="s">
        <v>4717</v>
      </c>
      <c r="T947">
        <f t="shared" si="28"/>
        <v>5</v>
      </c>
      <c r="U947" s="21">
        <f t="shared" si="34"/>
        <v>45288</v>
      </c>
    </row>
    <row r="948" spans="1:21" x14ac:dyDescent="0.35">
      <c r="A948" t="s">
        <v>200</v>
      </c>
      <c r="B948" t="s">
        <v>201</v>
      </c>
      <c r="C948" t="s">
        <v>30</v>
      </c>
      <c r="D948" t="s">
        <v>21</v>
      </c>
      <c r="E948" s="1">
        <v>456.19299999999998</v>
      </c>
      <c r="F948" t="s">
        <v>22</v>
      </c>
      <c r="G948">
        <v>0</v>
      </c>
      <c r="H948" s="1">
        <v>0</v>
      </c>
      <c r="I948" s="21">
        <v>44553</v>
      </c>
      <c r="J948" s="21">
        <v>44554</v>
      </c>
      <c r="K948" s="21">
        <v>44554</v>
      </c>
      <c r="L948" t="s">
        <v>39</v>
      </c>
      <c r="M948" t="s">
        <v>72</v>
      </c>
      <c r="N948" t="s">
        <v>73</v>
      </c>
      <c r="O948">
        <v>1</v>
      </c>
      <c r="P948" t="s">
        <v>202</v>
      </c>
      <c r="Q948" t="s">
        <v>4729</v>
      </c>
      <c r="R948" t="s">
        <v>4721</v>
      </c>
      <c r="S948" t="s">
        <v>4717</v>
      </c>
      <c r="T948">
        <f t="shared" si="28"/>
        <v>1</v>
      </c>
      <c r="U948" s="21">
        <f>J948</f>
        <v>44554</v>
      </c>
    </row>
    <row r="949" spans="1:21" x14ac:dyDescent="0.35">
      <c r="A949" t="s">
        <v>546</v>
      </c>
      <c r="B949" t="s">
        <v>547</v>
      </c>
      <c r="C949" t="s">
        <v>30</v>
      </c>
      <c r="D949" t="s">
        <v>205</v>
      </c>
      <c r="E949" s="1">
        <v>1565.88</v>
      </c>
      <c r="F949" t="s">
        <v>206</v>
      </c>
      <c r="G949">
        <v>80</v>
      </c>
      <c r="H949" s="1">
        <v>1252.7040000000002</v>
      </c>
      <c r="I949" s="21">
        <v>44917</v>
      </c>
      <c r="J949" s="21">
        <v>44920</v>
      </c>
      <c r="K949" s="21">
        <f t="shared" ref="K949:K957" si="35">J949</f>
        <v>44920</v>
      </c>
      <c r="L949" t="s">
        <v>238</v>
      </c>
      <c r="M949" t="s">
        <v>67</v>
      </c>
      <c r="N949" t="s">
        <v>68</v>
      </c>
      <c r="O949">
        <v>1</v>
      </c>
      <c r="P949" t="s">
        <v>548</v>
      </c>
      <c r="Q949" t="s">
        <v>4576</v>
      </c>
      <c r="R949" t="s">
        <v>4723</v>
      </c>
      <c r="S949" t="s">
        <v>4718</v>
      </c>
      <c r="T949">
        <f t="shared" si="28"/>
        <v>3</v>
      </c>
      <c r="U949" s="21">
        <f t="shared" ref="U949:U957" si="36">J949+365</f>
        <v>45285</v>
      </c>
    </row>
    <row r="950" spans="1:21" x14ac:dyDescent="0.35">
      <c r="A950" t="s">
        <v>1810</v>
      </c>
      <c r="B950" t="s">
        <v>1811</v>
      </c>
      <c r="C950" t="s">
        <v>19</v>
      </c>
      <c r="D950" t="s">
        <v>212</v>
      </c>
      <c r="E950" s="1">
        <v>34.58</v>
      </c>
      <c r="F950" t="s">
        <v>206</v>
      </c>
      <c r="G950">
        <v>100</v>
      </c>
      <c r="H950" s="1">
        <v>34.58</v>
      </c>
      <c r="I950" s="21">
        <v>44917</v>
      </c>
      <c r="J950" s="21">
        <v>44919</v>
      </c>
      <c r="K950" s="21">
        <f t="shared" si="35"/>
        <v>44919</v>
      </c>
      <c r="L950" t="s">
        <v>213</v>
      </c>
      <c r="M950" t="s">
        <v>46</v>
      </c>
      <c r="N950" t="s">
        <v>47</v>
      </c>
      <c r="O950">
        <v>1</v>
      </c>
      <c r="P950" t="s">
        <v>147</v>
      </c>
      <c r="Q950" t="s">
        <v>4530</v>
      </c>
      <c r="R950" t="s">
        <v>4726</v>
      </c>
      <c r="S950" t="s">
        <v>4717</v>
      </c>
      <c r="T950">
        <f t="shared" si="28"/>
        <v>2</v>
      </c>
      <c r="U950" s="21">
        <f t="shared" si="36"/>
        <v>45284</v>
      </c>
    </row>
    <row r="951" spans="1:21" x14ac:dyDescent="0.35">
      <c r="A951" t="s">
        <v>549</v>
      </c>
      <c r="B951" t="s">
        <v>550</v>
      </c>
      <c r="C951" t="s">
        <v>30</v>
      </c>
      <c r="D951" t="s">
        <v>212</v>
      </c>
      <c r="E951" s="1">
        <v>25.92</v>
      </c>
      <c r="F951" t="s">
        <v>206</v>
      </c>
      <c r="G951">
        <v>100</v>
      </c>
      <c r="H951" s="1">
        <v>25.92</v>
      </c>
      <c r="I951" s="21">
        <v>44917</v>
      </c>
      <c r="J951" s="21">
        <v>44921</v>
      </c>
      <c r="K951" s="21">
        <f t="shared" si="35"/>
        <v>44921</v>
      </c>
      <c r="L951" t="s">
        <v>234</v>
      </c>
      <c r="M951" t="s">
        <v>72</v>
      </c>
      <c r="N951" t="s">
        <v>73</v>
      </c>
      <c r="O951">
        <v>1</v>
      </c>
      <c r="P951" t="s">
        <v>551</v>
      </c>
      <c r="Q951" t="s">
        <v>4519</v>
      </c>
      <c r="R951" t="s">
        <v>4726</v>
      </c>
      <c r="S951" t="s">
        <v>4717</v>
      </c>
      <c r="T951">
        <f t="shared" si="28"/>
        <v>4</v>
      </c>
      <c r="U951" s="21">
        <f t="shared" si="36"/>
        <v>45286</v>
      </c>
    </row>
    <row r="952" spans="1:21" x14ac:dyDescent="0.35">
      <c r="A952" t="s">
        <v>2948</v>
      </c>
      <c r="B952" t="s">
        <v>2949</v>
      </c>
      <c r="C952" t="s">
        <v>30</v>
      </c>
      <c r="D952" t="s">
        <v>212</v>
      </c>
      <c r="E952" s="1">
        <v>180.96</v>
      </c>
      <c r="F952" t="s">
        <v>206</v>
      </c>
      <c r="G952">
        <v>100</v>
      </c>
      <c r="H952" s="1">
        <v>180.96</v>
      </c>
      <c r="I952" s="21">
        <v>44916</v>
      </c>
      <c r="J952" s="21">
        <v>44920</v>
      </c>
      <c r="K952" s="21">
        <f t="shared" si="35"/>
        <v>44920</v>
      </c>
      <c r="L952" t="s">
        <v>220</v>
      </c>
      <c r="M952" t="s">
        <v>40</v>
      </c>
      <c r="N952" t="s">
        <v>34</v>
      </c>
      <c r="O952">
        <v>1</v>
      </c>
      <c r="P952" t="s">
        <v>1828</v>
      </c>
      <c r="Q952" t="s">
        <v>4561</v>
      </c>
      <c r="R952" t="s">
        <v>4711</v>
      </c>
      <c r="S952" t="s">
        <v>4719</v>
      </c>
      <c r="T952">
        <f t="shared" si="28"/>
        <v>4</v>
      </c>
      <c r="U952" s="21">
        <f t="shared" si="36"/>
        <v>45285</v>
      </c>
    </row>
    <row r="953" spans="1:21" x14ac:dyDescent="0.35">
      <c r="A953" t="s">
        <v>543</v>
      </c>
      <c r="B953" t="s">
        <v>544</v>
      </c>
      <c r="C953" t="s">
        <v>30</v>
      </c>
      <c r="D953" t="s">
        <v>205</v>
      </c>
      <c r="E953" s="1">
        <v>30.08</v>
      </c>
      <c r="F953" t="s">
        <v>206</v>
      </c>
      <c r="G953">
        <v>80</v>
      </c>
      <c r="H953" s="1">
        <v>24.064</v>
      </c>
      <c r="I953" s="21">
        <v>44916</v>
      </c>
      <c r="J953" s="21">
        <v>44922</v>
      </c>
      <c r="K953" s="21">
        <f t="shared" si="35"/>
        <v>44922</v>
      </c>
      <c r="L953" t="s">
        <v>234</v>
      </c>
      <c r="M953" t="s">
        <v>46</v>
      </c>
      <c r="N953" t="s">
        <v>47</v>
      </c>
      <c r="O953">
        <v>1</v>
      </c>
      <c r="P953" t="s">
        <v>545</v>
      </c>
      <c r="Q953" t="s">
        <v>4778</v>
      </c>
      <c r="R953" t="s">
        <v>4713</v>
      </c>
      <c r="S953" t="s">
        <v>4719</v>
      </c>
      <c r="T953">
        <f t="shared" si="28"/>
        <v>6</v>
      </c>
      <c r="U953" s="21">
        <f t="shared" si="36"/>
        <v>45287</v>
      </c>
    </row>
    <row r="954" spans="1:21" x14ac:dyDescent="0.35">
      <c r="A954" t="s">
        <v>1807</v>
      </c>
      <c r="B954" t="s">
        <v>1808</v>
      </c>
      <c r="C954" t="s">
        <v>30</v>
      </c>
      <c r="D954" t="s">
        <v>205</v>
      </c>
      <c r="E954" s="1">
        <v>73.98</v>
      </c>
      <c r="F954" t="s">
        <v>206</v>
      </c>
      <c r="G954">
        <v>80</v>
      </c>
      <c r="H954" s="1">
        <v>59.184000000000005</v>
      </c>
      <c r="I954" s="21">
        <v>44916</v>
      </c>
      <c r="J954" s="21">
        <v>44917</v>
      </c>
      <c r="K954" s="21">
        <f t="shared" si="35"/>
        <v>44917</v>
      </c>
      <c r="L954" t="s">
        <v>234</v>
      </c>
      <c r="M954" t="s">
        <v>82</v>
      </c>
      <c r="N954" t="s">
        <v>47</v>
      </c>
      <c r="O954">
        <v>1</v>
      </c>
      <c r="P954" t="s">
        <v>1809</v>
      </c>
      <c r="Q954" t="s">
        <v>4513</v>
      </c>
      <c r="R954" t="s">
        <v>4711</v>
      </c>
      <c r="S954" t="s">
        <v>4719</v>
      </c>
      <c r="T954">
        <f t="shared" si="28"/>
        <v>1</v>
      </c>
      <c r="U954" s="21">
        <f t="shared" si="36"/>
        <v>45282</v>
      </c>
    </row>
    <row r="955" spans="1:21" x14ac:dyDescent="0.35">
      <c r="A955" t="s">
        <v>540</v>
      </c>
      <c r="B955" t="s">
        <v>541</v>
      </c>
      <c r="C955" t="s">
        <v>30</v>
      </c>
      <c r="D955" t="s">
        <v>205</v>
      </c>
      <c r="E955" s="1">
        <v>160.97999999999999</v>
      </c>
      <c r="F955" t="s">
        <v>206</v>
      </c>
      <c r="G955">
        <v>80</v>
      </c>
      <c r="H955" s="1">
        <v>128.78399999999999</v>
      </c>
      <c r="I955" s="21">
        <v>44916</v>
      </c>
      <c r="J955" s="21">
        <v>44921</v>
      </c>
      <c r="K955" s="21">
        <f t="shared" si="35"/>
        <v>44921</v>
      </c>
      <c r="L955" t="s">
        <v>234</v>
      </c>
      <c r="M955" t="s">
        <v>40</v>
      </c>
      <c r="N955" t="s">
        <v>34</v>
      </c>
      <c r="O955">
        <v>1</v>
      </c>
      <c r="P955" t="s">
        <v>542</v>
      </c>
      <c r="Q955" t="s">
        <v>4575</v>
      </c>
      <c r="R955" t="s">
        <v>4721</v>
      </c>
      <c r="S955" t="s">
        <v>4717</v>
      </c>
      <c r="T955">
        <f t="shared" si="28"/>
        <v>5</v>
      </c>
      <c r="U955" s="21">
        <f t="shared" si="36"/>
        <v>45286</v>
      </c>
    </row>
    <row r="956" spans="1:21" x14ac:dyDescent="0.35">
      <c r="A956" t="s">
        <v>2950</v>
      </c>
      <c r="B956" t="s">
        <v>2951</v>
      </c>
      <c r="C956" t="s">
        <v>19</v>
      </c>
      <c r="D956" t="s">
        <v>205</v>
      </c>
      <c r="E956" s="1">
        <v>22.2</v>
      </c>
      <c r="F956" t="s">
        <v>206</v>
      </c>
      <c r="G956">
        <v>80</v>
      </c>
      <c r="H956" s="1">
        <v>17.760000000000002</v>
      </c>
      <c r="I956" s="21">
        <v>44916</v>
      </c>
      <c r="J956" s="21">
        <v>44920</v>
      </c>
      <c r="K956" s="21">
        <f t="shared" si="35"/>
        <v>44920</v>
      </c>
      <c r="L956" t="s">
        <v>248</v>
      </c>
      <c r="M956" t="s">
        <v>67</v>
      </c>
      <c r="N956" t="s">
        <v>68</v>
      </c>
      <c r="O956">
        <v>1</v>
      </c>
      <c r="P956" t="s">
        <v>196</v>
      </c>
      <c r="Q956" t="s">
        <v>4729</v>
      </c>
      <c r="R956" t="s">
        <v>4726</v>
      </c>
      <c r="S956" t="s">
        <v>4717</v>
      </c>
      <c r="T956">
        <f t="shared" si="28"/>
        <v>4</v>
      </c>
      <c r="U956" s="21">
        <f t="shared" si="36"/>
        <v>45285</v>
      </c>
    </row>
    <row r="957" spans="1:21" x14ac:dyDescent="0.35">
      <c r="A957" t="s">
        <v>3956</v>
      </c>
      <c r="B957" t="s">
        <v>3957</v>
      </c>
      <c r="C957" t="s">
        <v>19</v>
      </c>
      <c r="D957" t="s">
        <v>205</v>
      </c>
      <c r="E957" s="1">
        <v>165.6</v>
      </c>
      <c r="F957" t="s">
        <v>206</v>
      </c>
      <c r="G957">
        <v>80</v>
      </c>
      <c r="H957" s="1">
        <v>132.47999999999999</v>
      </c>
      <c r="I957" s="21">
        <v>44916</v>
      </c>
      <c r="J957" s="21">
        <v>44921</v>
      </c>
      <c r="K957" s="21">
        <f t="shared" si="35"/>
        <v>44921</v>
      </c>
      <c r="L957" t="s">
        <v>248</v>
      </c>
      <c r="M957" t="s">
        <v>46</v>
      </c>
      <c r="N957" t="s">
        <v>47</v>
      </c>
      <c r="O957">
        <v>1</v>
      </c>
      <c r="P957" t="s">
        <v>2065</v>
      </c>
      <c r="Q957" t="s">
        <v>4729</v>
      </c>
      <c r="R957" t="s">
        <v>4713</v>
      </c>
      <c r="S957" t="s">
        <v>4719</v>
      </c>
      <c r="T957">
        <f t="shared" si="28"/>
        <v>5</v>
      </c>
      <c r="U957" s="21">
        <f t="shared" si="36"/>
        <v>45286</v>
      </c>
    </row>
    <row r="958" spans="1:21" x14ac:dyDescent="0.35">
      <c r="A958" t="s">
        <v>197</v>
      </c>
      <c r="B958" t="s">
        <v>198</v>
      </c>
      <c r="C958" t="s">
        <v>19</v>
      </c>
      <c r="D958" t="s">
        <v>21</v>
      </c>
      <c r="E958" s="1">
        <v>526.73599999999999</v>
      </c>
      <c r="F958" t="s">
        <v>22</v>
      </c>
      <c r="G958">
        <v>0</v>
      </c>
      <c r="H958" s="1">
        <v>0</v>
      </c>
      <c r="I958" s="21">
        <v>44550</v>
      </c>
      <c r="J958" s="21">
        <v>44551</v>
      </c>
      <c r="K958" s="21">
        <v>44551</v>
      </c>
      <c r="L958" t="s">
        <v>45</v>
      </c>
      <c r="M958" t="s">
        <v>82</v>
      </c>
      <c r="N958" t="s">
        <v>47</v>
      </c>
      <c r="O958">
        <v>1</v>
      </c>
      <c r="P958" t="s">
        <v>199</v>
      </c>
      <c r="Q958" t="s">
        <v>4537</v>
      </c>
      <c r="R958" t="s">
        <v>4710</v>
      </c>
      <c r="S958" t="s">
        <v>4717</v>
      </c>
      <c r="T958">
        <f t="shared" si="28"/>
        <v>1</v>
      </c>
      <c r="U958" s="21">
        <f>J958</f>
        <v>44551</v>
      </c>
    </row>
    <row r="959" spans="1:21" x14ac:dyDescent="0.35">
      <c r="A959" t="s">
        <v>1805</v>
      </c>
      <c r="B959" t="s">
        <v>1806</v>
      </c>
      <c r="C959" t="s">
        <v>19</v>
      </c>
      <c r="D959" t="s">
        <v>212</v>
      </c>
      <c r="E959" s="1">
        <v>668.16</v>
      </c>
      <c r="F959" t="s">
        <v>206</v>
      </c>
      <c r="G959">
        <v>100</v>
      </c>
      <c r="H959" s="1">
        <v>668.16</v>
      </c>
      <c r="I959" s="21">
        <v>44915</v>
      </c>
      <c r="J959" s="21">
        <v>44919</v>
      </c>
      <c r="K959" s="21">
        <f t="shared" ref="K959:K967" si="37">J959</f>
        <v>44919</v>
      </c>
      <c r="L959" t="s">
        <v>234</v>
      </c>
      <c r="M959" t="s">
        <v>82</v>
      </c>
      <c r="N959" t="s">
        <v>47</v>
      </c>
      <c r="O959">
        <v>1</v>
      </c>
      <c r="P959" t="s">
        <v>1374</v>
      </c>
      <c r="Q959" t="s">
        <v>4627</v>
      </c>
      <c r="R959" t="s">
        <v>4711</v>
      </c>
      <c r="S959" t="s">
        <v>4719</v>
      </c>
      <c r="T959">
        <f t="shared" si="28"/>
        <v>4</v>
      </c>
      <c r="U959" s="21">
        <f t="shared" ref="U959:U967" si="38">J959+365</f>
        <v>45284</v>
      </c>
    </row>
    <row r="960" spans="1:21" x14ac:dyDescent="0.35">
      <c r="A960" t="s">
        <v>2946</v>
      </c>
      <c r="B960" t="s">
        <v>2947</v>
      </c>
      <c r="C960" t="s">
        <v>19</v>
      </c>
      <c r="D960" t="s">
        <v>205</v>
      </c>
      <c r="E960" s="1">
        <v>12.672000000000001</v>
      </c>
      <c r="F960" t="s">
        <v>206</v>
      </c>
      <c r="G960">
        <v>80</v>
      </c>
      <c r="H960" s="1">
        <v>10.137600000000001</v>
      </c>
      <c r="I960" s="21">
        <v>44915</v>
      </c>
      <c r="J960" s="21">
        <v>44918</v>
      </c>
      <c r="K960" s="21">
        <f t="shared" si="37"/>
        <v>44918</v>
      </c>
      <c r="L960" t="s">
        <v>248</v>
      </c>
      <c r="M960" t="s">
        <v>46</v>
      </c>
      <c r="N960" t="s">
        <v>47</v>
      </c>
      <c r="O960">
        <v>1</v>
      </c>
      <c r="P960" t="s">
        <v>603</v>
      </c>
      <c r="Q960" t="s">
        <v>4729</v>
      </c>
      <c r="R960" t="s">
        <v>4709</v>
      </c>
      <c r="S960" t="s">
        <v>4717</v>
      </c>
      <c r="T960">
        <f t="shared" si="28"/>
        <v>3</v>
      </c>
      <c r="U960" s="21">
        <f t="shared" si="38"/>
        <v>45283</v>
      </c>
    </row>
    <row r="961" spans="1:21" x14ac:dyDescent="0.35">
      <c r="A961" t="s">
        <v>537</v>
      </c>
      <c r="B961" t="s">
        <v>538</v>
      </c>
      <c r="C961" t="s">
        <v>30</v>
      </c>
      <c r="D961" t="s">
        <v>205</v>
      </c>
      <c r="E961" s="1">
        <v>24.815999999999999</v>
      </c>
      <c r="F961" t="s">
        <v>206</v>
      </c>
      <c r="G961">
        <v>80</v>
      </c>
      <c r="H961" s="1">
        <v>19.852800000000002</v>
      </c>
      <c r="I961" s="21">
        <v>44915</v>
      </c>
      <c r="J961" s="21">
        <v>44919</v>
      </c>
      <c r="K961" s="21">
        <f t="shared" si="37"/>
        <v>44919</v>
      </c>
      <c r="L961" t="s">
        <v>238</v>
      </c>
      <c r="M961" t="s">
        <v>67</v>
      </c>
      <c r="N961" t="s">
        <v>68</v>
      </c>
      <c r="O961">
        <v>1</v>
      </c>
      <c r="P961" t="s">
        <v>539</v>
      </c>
      <c r="Q961" t="s">
        <v>4729</v>
      </c>
      <c r="R961" t="s">
        <v>4709</v>
      </c>
      <c r="S961" t="s">
        <v>4717</v>
      </c>
      <c r="T961">
        <f t="shared" si="28"/>
        <v>4</v>
      </c>
      <c r="U961" s="21">
        <f t="shared" si="38"/>
        <v>45284</v>
      </c>
    </row>
    <row r="962" spans="1:21" x14ac:dyDescent="0.35">
      <c r="A962" t="s">
        <v>534</v>
      </c>
      <c r="B962" t="s">
        <v>535</v>
      </c>
      <c r="C962" t="s">
        <v>19</v>
      </c>
      <c r="D962" t="s">
        <v>212</v>
      </c>
      <c r="E962" s="1">
        <v>323.10000000000002</v>
      </c>
      <c r="F962" t="s">
        <v>206</v>
      </c>
      <c r="G962">
        <v>100</v>
      </c>
      <c r="H962" s="1">
        <v>323.10000000000002</v>
      </c>
      <c r="I962" s="21">
        <v>44914</v>
      </c>
      <c r="J962" s="21">
        <v>44914</v>
      </c>
      <c r="K962" s="21">
        <f t="shared" si="37"/>
        <v>44914</v>
      </c>
      <c r="L962" t="s">
        <v>238</v>
      </c>
      <c r="M962" t="s">
        <v>72</v>
      </c>
      <c r="N962" t="s">
        <v>73</v>
      </c>
      <c r="O962">
        <v>1</v>
      </c>
      <c r="P962" t="s">
        <v>536</v>
      </c>
      <c r="Q962" t="s">
        <v>4560</v>
      </c>
      <c r="R962" t="s">
        <v>4709</v>
      </c>
      <c r="S962" t="s">
        <v>4717</v>
      </c>
      <c r="T962">
        <f t="shared" ref="T962:T1025" si="39">J962-I962</f>
        <v>0</v>
      </c>
      <c r="U962" s="21">
        <f t="shared" si="38"/>
        <v>45279</v>
      </c>
    </row>
    <row r="963" spans="1:21" x14ac:dyDescent="0.35">
      <c r="A963" t="s">
        <v>531</v>
      </c>
      <c r="B963" t="s">
        <v>532</v>
      </c>
      <c r="C963" t="s">
        <v>19</v>
      </c>
      <c r="D963" t="s">
        <v>205</v>
      </c>
      <c r="E963" s="1">
        <v>4.7279999999999998</v>
      </c>
      <c r="F963" t="s">
        <v>206</v>
      </c>
      <c r="G963">
        <v>80</v>
      </c>
      <c r="H963" s="1">
        <v>3.7824</v>
      </c>
      <c r="I963" s="21">
        <v>44914</v>
      </c>
      <c r="J963" s="21">
        <v>44914</v>
      </c>
      <c r="K963" s="21">
        <f t="shared" si="37"/>
        <v>44914</v>
      </c>
      <c r="L963" t="s">
        <v>234</v>
      </c>
      <c r="M963" t="s">
        <v>33</v>
      </c>
      <c r="N963" t="s">
        <v>34</v>
      </c>
      <c r="O963">
        <v>1</v>
      </c>
      <c r="P963" t="s">
        <v>533</v>
      </c>
      <c r="Q963" t="s">
        <v>4574</v>
      </c>
      <c r="R963" t="s">
        <v>4713</v>
      </c>
      <c r="S963" t="s">
        <v>4719</v>
      </c>
      <c r="T963">
        <f t="shared" si="39"/>
        <v>0</v>
      </c>
      <c r="U963" s="21">
        <f t="shared" si="38"/>
        <v>45279</v>
      </c>
    </row>
    <row r="964" spans="1:21" x14ac:dyDescent="0.35">
      <c r="A964" t="s">
        <v>528</v>
      </c>
      <c r="B964" t="s">
        <v>529</v>
      </c>
      <c r="C964" t="s">
        <v>30</v>
      </c>
      <c r="D964" t="s">
        <v>212</v>
      </c>
      <c r="E964" s="1">
        <v>19.872</v>
      </c>
      <c r="F964" t="s">
        <v>206</v>
      </c>
      <c r="G964">
        <v>100</v>
      </c>
      <c r="H964" s="1">
        <v>19.872</v>
      </c>
      <c r="I964" s="21">
        <v>44914</v>
      </c>
      <c r="J964" s="21">
        <v>44919</v>
      </c>
      <c r="K964" s="21">
        <f t="shared" si="37"/>
        <v>44919</v>
      </c>
      <c r="L964" t="s">
        <v>207</v>
      </c>
      <c r="M964" t="s">
        <v>67</v>
      </c>
      <c r="N964" t="s">
        <v>68</v>
      </c>
      <c r="O964">
        <v>1</v>
      </c>
      <c r="P964" t="s">
        <v>530</v>
      </c>
      <c r="Q964" t="s">
        <v>4729</v>
      </c>
      <c r="R964" t="s">
        <v>4512</v>
      </c>
      <c r="S964" t="s">
        <v>4717</v>
      </c>
      <c r="T964">
        <f t="shared" si="39"/>
        <v>5</v>
      </c>
      <c r="U964" s="21">
        <f t="shared" si="38"/>
        <v>45284</v>
      </c>
    </row>
    <row r="965" spans="1:21" x14ac:dyDescent="0.35">
      <c r="A965" t="s">
        <v>525</v>
      </c>
      <c r="B965" t="s">
        <v>526</v>
      </c>
      <c r="C965" t="s">
        <v>19</v>
      </c>
      <c r="D965" t="s">
        <v>212</v>
      </c>
      <c r="E965" s="1">
        <v>10.368</v>
      </c>
      <c r="F965" t="s">
        <v>206</v>
      </c>
      <c r="G965">
        <v>100</v>
      </c>
      <c r="H965" s="1">
        <v>10.368</v>
      </c>
      <c r="I965" s="21">
        <v>44914</v>
      </c>
      <c r="J965" s="21">
        <v>44918</v>
      </c>
      <c r="K965" s="21">
        <f t="shared" si="37"/>
        <v>44918</v>
      </c>
      <c r="L965" t="s">
        <v>213</v>
      </c>
      <c r="M965" t="s">
        <v>72</v>
      </c>
      <c r="N965" t="s">
        <v>73</v>
      </c>
      <c r="O965">
        <v>1</v>
      </c>
      <c r="P965" t="s">
        <v>527</v>
      </c>
      <c r="Q965" t="s">
        <v>4519</v>
      </c>
      <c r="R965" t="s">
        <v>4726</v>
      </c>
      <c r="S965" t="s">
        <v>4717</v>
      </c>
      <c r="T965">
        <f t="shared" si="39"/>
        <v>4</v>
      </c>
      <c r="U965" s="21">
        <f t="shared" si="38"/>
        <v>45283</v>
      </c>
    </row>
    <row r="966" spans="1:21" x14ac:dyDescent="0.35">
      <c r="A966" t="s">
        <v>3953</v>
      </c>
      <c r="B966" t="s">
        <v>3954</v>
      </c>
      <c r="C966" t="s">
        <v>30</v>
      </c>
      <c r="D966" t="s">
        <v>212</v>
      </c>
      <c r="E966" s="1">
        <v>19.936</v>
      </c>
      <c r="F966" t="s">
        <v>206</v>
      </c>
      <c r="G966">
        <v>100</v>
      </c>
      <c r="H966" s="1">
        <v>19.936</v>
      </c>
      <c r="I966" s="21">
        <v>44912</v>
      </c>
      <c r="J966" s="21">
        <v>44915</v>
      </c>
      <c r="K966" s="21">
        <f t="shared" si="37"/>
        <v>44915</v>
      </c>
      <c r="L966" t="s">
        <v>207</v>
      </c>
      <c r="M966" t="s">
        <v>54</v>
      </c>
      <c r="N966" t="s">
        <v>26</v>
      </c>
      <c r="O966">
        <v>1</v>
      </c>
      <c r="P966" t="s">
        <v>3955</v>
      </c>
      <c r="Q966" t="s">
        <v>4517</v>
      </c>
      <c r="R966" t="s">
        <v>4726</v>
      </c>
      <c r="S966" t="s">
        <v>4717</v>
      </c>
      <c r="T966">
        <f t="shared" si="39"/>
        <v>3</v>
      </c>
      <c r="U966" s="21">
        <f t="shared" si="38"/>
        <v>45280</v>
      </c>
    </row>
    <row r="967" spans="1:21" x14ac:dyDescent="0.35">
      <c r="A967" t="s">
        <v>2943</v>
      </c>
      <c r="B967" t="s">
        <v>2944</v>
      </c>
      <c r="C967" t="s">
        <v>30</v>
      </c>
      <c r="D967" t="s">
        <v>212</v>
      </c>
      <c r="E967" s="1">
        <v>17.12</v>
      </c>
      <c r="F967" t="s">
        <v>206</v>
      </c>
      <c r="G967">
        <v>100</v>
      </c>
      <c r="H967" s="1">
        <v>17.12</v>
      </c>
      <c r="I967" s="21">
        <v>44911</v>
      </c>
      <c r="J967" s="21">
        <v>44915</v>
      </c>
      <c r="K967" s="21">
        <f t="shared" si="37"/>
        <v>44915</v>
      </c>
      <c r="L967" t="s">
        <v>213</v>
      </c>
      <c r="M967" t="s">
        <v>40</v>
      </c>
      <c r="N967" t="s">
        <v>34</v>
      </c>
      <c r="O967">
        <v>1</v>
      </c>
      <c r="P967" t="s">
        <v>2945</v>
      </c>
      <c r="Q967" t="s">
        <v>4520</v>
      </c>
      <c r="R967" t="s">
        <v>4710</v>
      </c>
      <c r="S967" t="s">
        <v>4717</v>
      </c>
      <c r="T967">
        <f t="shared" si="39"/>
        <v>4</v>
      </c>
      <c r="U967" s="21">
        <f t="shared" si="38"/>
        <v>45280</v>
      </c>
    </row>
    <row r="968" spans="1:21" x14ac:dyDescent="0.35">
      <c r="A968" t="s">
        <v>2584</v>
      </c>
      <c r="B968" t="s">
        <v>2585</v>
      </c>
      <c r="C968" t="s">
        <v>30</v>
      </c>
      <c r="D968" t="s">
        <v>21</v>
      </c>
      <c r="E968" s="1">
        <v>4190.2059999999992</v>
      </c>
      <c r="F968" t="s">
        <v>22</v>
      </c>
      <c r="G968">
        <v>0</v>
      </c>
      <c r="H968" s="1">
        <v>0</v>
      </c>
      <c r="I968" s="21">
        <v>44546</v>
      </c>
      <c r="J968" s="21">
        <v>44549</v>
      </c>
      <c r="K968" s="21">
        <v>44549</v>
      </c>
      <c r="L968" t="s">
        <v>45</v>
      </c>
      <c r="M968" t="s">
        <v>40</v>
      </c>
      <c r="N968" t="s">
        <v>34</v>
      </c>
      <c r="O968">
        <v>1</v>
      </c>
      <c r="P968" t="s">
        <v>2586</v>
      </c>
      <c r="Q968" t="s">
        <v>4552</v>
      </c>
      <c r="R968" t="s">
        <v>4713</v>
      </c>
      <c r="S968" t="s">
        <v>4719</v>
      </c>
      <c r="T968">
        <f t="shared" si="39"/>
        <v>3</v>
      </c>
      <c r="U968" s="21">
        <f>J968</f>
        <v>44549</v>
      </c>
    </row>
    <row r="969" spans="1:21" x14ac:dyDescent="0.35">
      <c r="A969" t="s">
        <v>1803</v>
      </c>
      <c r="B969" t="s">
        <v>1804</v>
      </c>
      <c r="C969" t="s">
        <v>30</v>
      </c>
      <c r="D969" t="s">
        <v>212</v>
      </c>
      <c r="E969" s="1">
        <v>547.13599999999997</v>
      </c>
      <c r="F969" t="s">
        <v>206</v>
      </c>
      <c r="G969">
        <v>100</v>
      </c>
      <c r="H969" s="1">
        <v>547.13599999999997</v>
      </c>
      <c r="I969" s="21">
        <v>44911</v>
      </c>
      <c r="J969" s="21">
        <v>44916</v>
      </c>
      <c r="K969" s="21">
        <f t="shared" ref="K969:K976" si="40">J969</f>
        <v>44916</v>
      </c>
      <c r="L969" t="s">
        <v>234</v>
      </c>
      <c r="M969" t="s">
        <v>82</v>
      </c>
      <c r="N969" t="s">
        <v>47</v>
      </c>
      <c r="O969">
        <v>1</v>
      </c>
      <c r="P969" t="s">
        <v>252</v>
      </c>
      <c r="Q969" t="s">
        <v>4729</v>
      </c>
      <c r="R969" t="s">
        <v>4714</v>
      </c>
      <c r="S969" t="s">
        <v>4718</v>
      </c>
      <c r="T969">
        <f t="shared" si="39"/>
        <v>5</v>
      </c>
      <c r="U969" s="21">
        <f t="shared" ref="U969:U976" si="41">J969+365</f>
        <v>45281</v>
      </c>
    </row>
    <row r="970" spans="1:21" x14ac:dyDescent="0.35">
      <c r="A970" t="s">
        <v>3950</v>
      </c>
      <c r="B970" t="s">
        <v>3951</v>
      </c>
      <c r="C970" t="s">
        <v>19</v>
      </c>
      <c r="D970" t="s">
        <v>212</v>
      </c>
      <c r="E970" s="1">
        <v>36.270000000000003</v>
      </c>
      <c r="F970" t="s">
        <v>206</v>
      </c>
      <c r="G970">
        <v>100</v>
      </c>
      <c r="H970" s="1">
        <v>36.270000000000003</v>
      </c>
      <c r="I970" s="21">
        <v>44910</v>
      </c>
      <c r="J970" s="21">
        <v>44915</v>
      </c>
      <c r="K970" s="21">
        <f t="shared" si="40"/>
        <v>44915</v>
      </c>
      <c r="L970" t="s">
        <v>248</v>
      </c>
      <c r="M970" t="s">
        <v>67</v>
      </c>
      <c r="N970" t="s">
        <v>68</v>
      </c>
      <c r="O970">
        <v>1</v>
      </c>
      <c r="P970" t="s">
        <v>3952</v>
      </c>
      <c r="Q970" t="s">
        <v>4526</v>
      </c>
      <c r="R970" t="s">
        <v>4710</v>
      </c>
      <c r="S970" t="s">
        <v>4717</v>
      </c>
      <c r="T970">
        <f t="shared" si="39"/>
        <v>5</v>
      </c>
      <c r="U970" s="21">
        <f t="shared" si="41"/>
        <v>45280</v>
      </c>
    </row>
    <row r="971" spans="1:21" x14ac:dyDescent="0.35">
      <c r="A971" t="s">
        <v>1801</v>
      </c>
      <c r="B971" t="s">
        <v>1802</v>
      </c>
      <c r="C971" t="s">
        <v>19</v>
      </c>
      <c r="D971" t="s">
        <v>205</v>
      </c>
      <c r="E971" s="1">
        <v>18.431999999999999</v>
      </c>
      <c r="F971" t="s">
        <v>206</v>
      </c>
      <c r="G971">
        <v>80</v>
      </c>
      <c r="H971" s="1">
        <v>14.7456</v>
      </c>
      <c r="I971" s="21">
        <v>44910</v>
      </c>
      <c r="J971" s="21">
        <v>44914</v>
      </c>
      <c r="K971" s="21">
        <f t="shared" si="40"/>
        <v>44914</v>
      </c>
      <c r="L971" t="s">
        <v>207</v>
      </c>
      <c r="M971" t="s">
        <v>146</v>
      </c>
      <c r="N971" t="s">
        <v>73</v>
      </c>
      <c r="O971">
        <v>1</v>
      </c>
      <c r="P971" t="s">
        <v>1697</v>
      </c>
      <c r="Q971" t="s">
        <v>4517</v>
      </c>
      <c r="R971" t="s">
        <v>4726</v>
      </c>
      <c r="S971" t="s">
        <v>4717</v>
      </c>
      <c r="T971">
        <f t="shared" si="39"/>
        <v>4</v>
      </c>
      <c r="U971" s="21">
        <f t="shared" si="41"/>
        <v>45279</v>
      </c>
    </row>
    <row r="972" spans="1:21" x14ac:dyDescent="0.35">
      <c r="A972" t="s">
        <v>3945</v>
      </c>
      <c r="B972" t="s">
        <v>3946</v>
      </c>
      <c r="C972" t="s">
        <v>19</v>
      </c>
      <c r="D972" t="s">
        <v>212</v>
      </c>
      <c r="E972" s="1">
        <v>88.8</v>
      </c>
      <c r="F972" t="s">
        <v>206</v>
      </c>
      <c r="G972">
        <v>100</v>
      </c>
      <c r="H972" s="1">
        <v>88.8</v>
      </c>
      <c r="I972" s="21">
        <v>44910</v>
      </c>
      <c r="J972" s="21">
        <v>44912</v>
      </c>
      <c r="K972" s="21">
        <f t="shared" si="40"/>
        <v>44912</v>
      </c>
      <c r="L972" t="s">
        <v>207</v>
      </c>
      <c r="M972" t="s">
        <v>67</v>
      </c>
      <c r="N972" t="s">
        <v>68</v>
      </c>
      <c r="O972">
        <v>1</v>
      </c>
      <c r="P972" t="s">
        <v>3947</v>
      </c>
      <c r="Q972" t="s">
        <v>4560</v>
      </c>
      <c r="R972" t="s">
        <v>4709</v>
      </c>
      <c r="S972" t="s">
        <v>4717</v>
      </c>
      <c r="T972">
        <f t="shared" si="39"/>
        <v>2</v>
      </c>
      <c r="U972" s="21">
        <f t="shared" si="41"/>
        <v>45277</v>
      </c>
    </row>
    <row r="973" spans="1:21" x14ac:dyDescent="0.35">
      <c r="A973" t="s">
        <v>2940</v>
      </c>
      <c r="B973" t="s">
        <v>2941</v>
      </c>
      <c r="C973" t="s">
        <v>30</v>
      </c>
      <c r="D973" t="s">
        <v>205</v>
      </c>
      <c r="E973" s="1">
        <v>255.96799999999999</v>
      </c>
      <c r="F973" t="s">
        <v>206</v>
      </c>
      <c r="G973">
        <v>80</v>
      </c>
      <c r="H973" s="1">
        <v>204.77440000000001</v>
      </c>
      <c r="I973" s="21">
        <v>44910</v>
      </c>
      <c r="J973" s="21">
        <v>44915</v>
      </c>
      <c r="K973" s="21">
        <f t="shared" si="40"/>
        <v>44915</v>
      </c>
      <c r="L973" t="s">
        <v>234</v>
      </c>
      <c r="M973" t="s">
        <v>46</v>
      </c>
      <c r="N973" t="s">
        <v>47</v>
      </c>
      <c r="O973">
        <v>1</v>
      </c>
      <c r="P973" t="s">
        <v>2942</v>
      </c>
      <c r="Q973" t="s">
        <v>4513</v>
      </c>
      <c r="R973" t="s">
        <v>4713</v>
      </c>
      <c r="S973" t="s">
        <v>4719</v>
      </c>
      <c r="T973">
        <f t="shared" si="39"/>
        <v>5</v>
      </c>
      <c r="U973" s="21">
        <f t="shared" si="41"/>
        <v>45280</v>
      </c>
    </row>
    <row r="974" spans="1:21" x14ac:dyDescent="0.35">
      <c r="A974" t="s">
        <v>522</v>
      </c>
      <c r="B974" t="s">
        <v>523</v>
      </c>
      <c r="C974" t="s">
        <v>30</v>
      </c>
      <c r="D974" t="s">
        <v>212</v>
      </c>
      <c r="E974" s="1">
        <v>25.488</v>
      </c>
      <c r="F974" t="s">
        <v>206</v>
      </c>
      <c r="G974">
        <v>100</v>
      </c>
      <c r="H974" s="1">
        <v>25.488</v>
      </c>
      <c r="I974" s="21">
        <v>44910</v>
      </c>
      <c r="J974" s="21">
        <v>44912</v>
      </c>
      <c r="K974" s="21">
        <f t="shared" si="40"/>
        <v>44912</v>
      </c>
      <c r="L974" t="s">
        <v>220</v>
      </c>
      <c r="M974" t="s">
        <v>46</v>
      </c>
      <c r="N974" t="s">
        <v>47</v>
      </c>
      <c r="O974">
        <v>1</v>
      </c>
      <c r="P974" t="s">
        <v>524</v>
      </c>
      <c r="Q974" t="s">
        <v>4574</v>
      </c>
      <c r="R974" t="s">
        <v>4713</v>
      </c>
      <c r="S974" t="s">
        <v>4719</v>
      </c>
      <c r="T974">
        <f t="shared" si="39"/>
        <v>2</v>
      </c>
      <c r="U974" s="21">
        <f t="shared" si="41"/>
        <v>45277</v>
      </c>
    </row>
    <row r="975" spans="1:21" x14ac:dyDescent="0.35">
      <c r="A975" t="s">
        <v>3948</v>
      </c>
      <c r="B975" t="s">
        <v>3949</v>
      </c>
      <c r="C975" t="s">
        <v>19</v>
      </c>
      <c r="D975" t="s">
        <v>205</v>
      </c>
      <c r="E975" s="1">
        <v>180.01599999999999</v>
      </c>
      <c r="F975" t="s">
        <v>206</v>
      </c>
      <c r="G975">
        <v>80</v>
      </c>
      <c r="H975" s="1">
        <v>144.0128</v>
      </c>
      <c r="I975" s="21">
        <v>44910</v>
      </c>
      <c r="J975" s="21">
        <v>44914</v>
      </c>
      <c r="K975" s="21">
        <f t="shared" si="40"/>
        <v>44914</v>
      </c>
      <c r="L975" t="s">
        <v>238</v>
      </c>
      <c r="M975" t="s">
        <v>82</v>
      </c>
      <c r="N975" t="s">
        <v>47</v>
      </c>
      <c r="O975">
        <v>1</v>
      </c>
      <c r="P975" t="s">
        <v>1669</v>
      </c>
      <c r="Q975" t="s">
        <v>4729</v>
      </c>
      <c r="R975" t="s">
        <v>4709</v>
      </c>
      <c r="S975" t="s">
        <v>4717</v>
      </c>
      <c r="T975">
        <f t="shared" si="39"/>
        <v>4</v>
      </c>
      <c r="U975" s="21">
        <f t="shared" si="41"/>
        <v>45279</v>
      </c>
    </row>
    <row r="976" spans="1:21" x14ac:dyDescent="0.35">
      <c r="A976" t="s">
        <v>1799</v>
      </c>
      <c r="B976" t="s">
        <v>1800</v>
      </c>
      <c r="C976" t="s">
        <v>19</v>
      </c>
      <c r="D976" t="s">
        <v>205</v>
      </c>
      <c r="E976" s="1">
        <v>6.8479999999999999</v>
      </c>
      <c r="F976" t="s">
        <v>206</v>
      </c>
      <c r="G976">
        <v>80</v>
      </c>
      <c r="H976" s="1">
        <v>5.4784000000000006</v>
      </c>
      <c r="I976" s="21">
        <v>44909</v>
      </c>
      <c r="J976" s="21">
        <v>44911</v>
      </c>
      <c r="K976" s="21">
        <f t="shared" si="40"/>
        <v>44911</v>
      </c>
      <c r="L976" t="s">
        <v>248</v>
      </c>
      <c r="M976" t="s">
        <v>97</v>
      </c>
      <c r="N976" t="s">
        <v>68</v>
      </c>
      <c r="O976">
        <v>1</v>
      </c>
      <c r="P976" t="s">
        <v>1021</v>
      </c>
      <c r="Q976" t="s">
        <v>4520</v>
      </c>
      <c r="R976" t="s">
        <v>4726</v>
      </c>
      <c r="S976" t="s">
        <v>4717</v>
      </c>
      <c r="T976">
        <f t="shared" si="39"/>
        <v>2</v>
      </c>
      <c r="U976" s="21">
        <f t="shared" si="41"/>
        <v>45276</v>
      </c>
    </row>
    <row r="977" spans="1:21" x14ac:dyDescent="0.35">
      <c r="A977" t="s">
        <v>2581</v>
      </c>
      <c r="B977" t="s">
        <v>2582</v>
      </c>
      <c r="C977" t="s">
        <v>30</v>
      </c>
      <c r="D977" t="s">
        <v>21</v>
      </c>
      <c r="E977" s="1">
        <v>808.66600000000005</v>
      </c>
      <c r="F977" t="s">
        <v>22</v>
      </c>
      <c r="G977">
        <v>0</v>
      </c>
      <c r="H977" s="1">
        <v>0</v>
      </c>
      <c r="I977" s="21">
        <v>44544</v>
      </c>
      <c r="J977" s="21">
        <v>44546</v>
      </c>
      <c r="K977" s="21">
        <v>44546</v>
      </c>
      <c r="L977" t="s">
        <v>63</v>
      </c>
      <c r="M977" t="s">
        <v>67</v>
      </c>
      <c r="N977" t="s">
        <v>68</v>
      </c>
      <c r="O977">
        <v>1</v>
      </c>
      <c r="P977" t="s">
        <v>2583</v>
      </c>
      <c r="Q977" t="s">
        <v>4552</v>
      </c>
      <c r="R977" t="s">
        <v>4711</v>
      </c>
      <c r="S977" t="s">
        <v>4719</v>
      </c>
      <c r="T977">
        <f t="shared" si="39"/>
        <v>2</v>
      </c>
      <c r="U977" s="21">
        <f>J977</f>
        <v>44546</v>
      </c>
    </row>
    <row r="978" spans="1:21" x14ac:dyDescent="0.35">
      <c r="A978" t="s">
        <v>3939</v>
      </c>
      <c r="B978" t="s">
        <v>3940</v>
      </c>
      <c r="C978" t="s">
        <v>19</v>
      </c>
      <c r="D978" t="s">
        <v>212</v>
      </c>
      <c r="E978" s="1">
        <v>103.92</v>
      </c>
      <c r="F978" t="s">
        <v>206</v>
      </c>
      <c r="G978">
        <v>100</v>
      </c>
      <c r="H978" s="1">
        <v>103.92</v>
      </c>
      <c r="I978" s="21">
        <v>44908</v>
      </c>
      <c r="J978" s="21">
        <v>44912</v>
      </c>
      <c r="K978" s="21">
        <f>J978</f>
        <v>44912</v>
      </c>
      <c r="L978" t="s">
        <v>220</v>
      </c>
      <c r="M978" t="s">
        <v>33</v>
      </c>
      <c r="N978" t="s">
        <v>34</v>
      </c>
      <c r="O978">
        <v>1</v>
      </c>
      <c r="P978" t="s">
        <v>3941</v>
      </c>
      <c r="Q978" t="s">
        <v>4599</v>
      </c>
      <c r="R978" t="s">
        <v>4727</v>
      </c>
      <c r="S978" t="s">
        <v>4719</v>
      </c>
      <c r="T978">
        <f t="shared" si="39"/>
        <v>4</v>
      </c>
      <c r="U978" s="21">
        <f>J978+365</f>
        <v>45277</v>
      </c>
    </row>
    <row r="979" spans="1:21" x14ac:dyDescent="0.35">
      <c r="A979" t="s">
        <v>3696</v>
      </c>
      <c r="B979" t="s">
        <v>3697</v>
      </c>
      <c r="C979" t="s">
        <v>19</v>
      </c>
      <c r="D979" t="s">
        <v>21</v>
      </c>
      <c r="E979" s="1">
        <v>325.7</v>
      </c>
      <c r="F979" t="s">
        <v>22</v>
      </c>
      <c r="G979">
        <v>0</v>
      </c>
      <c r="H979" s="1">
        <v>0</v>
      </c>
      <c r="I979" s="21">
        <v>44543</v>
      </c>
      <c r="J979" s="21">
        <v>44546</v>
      </c>
      <c r="K979" s="21">
        <v>44546</v>
      </c>
      <c r="L979" t="s">
        <v>63</v>
      </c>
      <c r="M979" t="s">
        <v>72</v>
      </c>
      <c r="N979" t="s">
        <v>73</v>
      </c>
      <c r="O979">
        <v>1</v>
      </c>
      <c r="P979" t="s">
        <v>967</v>
      </c>
      <c r="Q979" t="s">
        <v>4513</v>
      </c>
      <c r="R979" t="s">
        <v>4713</v>
      </c>
      <c r="S979" t="s">
        <v>4719</v>
      </c>
      <c r="T979">
        <f t="shared" si="39"/>
        <v>3</v>
      </c>
      <c r="U979" s="21">
        <f>J979</f>
        <v>44546</v>
      </c>
    </row>
    <row r="980" spans="1:21" x14ac:dyDescent="0.35">
      <c r="A980" t="s">
        <v>3942</v>
      </c>
      <c r="B980" t="s">
        <v>3943</v>
      </c>
      <c r="C980" t="s">
        <v>19</v>
      </c>
      <c r="D980" t="s">
        <v>212</v>
      </c>
      <c r="E980" s="1">
        <v>3.28</v>
      </c>
      <c r="F980" t="s">
        <v>206</v>
      </c>
      <c r="G980">
        <v>100</v>
      </c>
      <c r="H980" s="1">
        <v>3.28</v>
      </c>
      <c r="I980" s="21">
        <v>44908</v>
      </c>
      <c r="J980" s="21">
        <v>44913</v>
      </c>
      <c r="K980" s="21">
        <f>J980</f>
        <v>44913</v>
      </c>
      <c r="L980" t="s">
        <v>248</v>
      </c>
      <c r="M980" t="s">
        <v>72</v>
      </c>
      <c r="N980" t="s">
        <v>73</v>
      </c>
      <c r="O980">
        <v>1</v>
      </c>
      <c r="P980" t="s">
        <v>3944</v>
      </c>
      <c r="Q980" t="s">
        <v>4626</v>
      </c>
      <c r="R980" t="s">
        <v>4726</v>
      </c>
      <c r="S980" t="s">
        <v>4717</v>
      </c>
      <c r="T980">
        <f t="shared" si="39"/>
        <v>5</v>
      </c>
      <c r="U980" s="21">
        <f>J980+365</f>
        <v>45278</v>
      </c>
    </row>
    <row r="981" spans="1:21" x14ac:dyDescent="0.35">
      <c r="A981" t="s">
        <v>194</v>
      </c>
      <c r="B981" t="s">
        <v>195</v>
      </c>
      <c r="C981" t="s">
        <v>19</v>
      </c>
      <c r="D981" t="s">
        <v>21</v>
      </c>
      <c r="E981" s="1">
        <v>32.308</v>
      </c>
      <c r="F981" t="s">
        <v>22</v>
      </c>
      <c r="G981">
        <v>0</v>
      </c>
      <c r="H981" s="1">
        <v>0</v>
      </c>
      <c r="I981" s="21">
        <v>44543</v>
      </c>
      <c r="J981" s="21">
        <v>44546</v>
      </c>
      <c r="K981" s="21">
        <v>44546</v>
      </c>
      <c r="L981" t="s">
        <v>63</v>
      </c>
      <c r="M981" t="s">
        <v>146</v>
      </c>
      <c r="N981" t="s">
        <v>73</v>
      </c>
      <c r="O981">
        <v>1</v>
      </c>
      <c r="P981" t="s">
        <v>196</v>
      </c>
      <c r="Q981" t="s">
        <v>4729</v>
      </c>
      <c r="R981" t="s">
        <v>4726</v>
      </c>
      <c r="S981" t="s">
        <v>4717</v>
      </c>
      <c r="T981">
        <f t="shared" si="39"/>
        <v>3</v>
      </c>
      <c r="U981" s="21">
        <f>J981</f>
        <v>44546</v>
      </c>
    </row>
    <row r="982" spans="1:21" x14ac:dyDescent="0.35">
      <c r="A982" t="s">
        <v>2937</v>
      </c>
      <c r="B982" t="s">
        <v>2938</v>
      </c>
      <c r="C982" t="s">
        <v>30</v>
      </c>
      <c r="D982" t="s">
        <v>205</v>
      </c>
      <c r="E982" s="1">
        <v>8.0960000000000001</v>
      </c>
      <c r="F982" t="s">
        <v>206</v>
      </c>
      <c r="G982">
        <v>80</v>
      </c>
      <c r="H982" s="1">
        <v>6.4768000000000008</v>
      </c>
      <c r="I982" s="21">
        <v>44908</v>
      </c>
      <c r="J982" s="21">
        <v>44912</v>
      </c>
      <c r="K982" s="21">
        <f t="shared" ref="K982:K984" si="42">J982</f>
        <v>44912</v>
      </c>
      <c r="L982" t="s">
        <v>234</v>
      </c>
      <c r="M982" t="s">
        <v>25</v>
      </c>
      <c r="N982" t="s">
        <v>26</v>
      </c>
      <c r="O982">
        <v>1</v>
      </c>
      <c r="P982" t="s">
        <v>2939</v>
      </c>
      <c r="Q982" t="s">
        <v>4515</v>
      </c>
      <c r="R982" t="s">
        <v>4726</v>
      </c>
      <c r="S982" t="s">
        <v>4717</v>
      </c>
      <c r="T982">
        <f t="shared" si="39"/>
        <v>4</v>
      </c>
      <c r="U982" s="21">
        <f t="shared" ref="U982:U984" si="43">J982+365</f>
        <v>45277</v>
      </c>
    </row>
    <row r="983" spans="1:21" x14ac:dyDescent="0.35">
      <c r="A983" t="s">
        <v>2931</v>
      </c>
      <c r="B983" t="s">
        <v>2932</v>
      </c>
      <c r="C983" t="s">
        <v>30</v>
      </c>
      <c r="D983" t="s">
        <v>212</v>
      </c>
      <c r="E983" s="1">
        <v>54.92</v>
      </c>
      <c r="F983" t="s">
        <v>206</v>
      </c>
      <c r="G983">
        <v>100</v>
      </c>
      <c r="H983" s="1">
        <v>54.92</v>
      </c>
      <c r="I983" s="21">
        <v>44907</v>
      </c>
      <c r="J983" s="21">
        <v>44911</v>
      </c>
      <c r="K983" s="21">
        <f t="shared" si="42"/>
        <v>44911</v>
      </c>
      <c r="L983" t="s">
        <v>238</v>
      </c>
      <c r="M983" t="s">
        <v>40</v>
      </c>
      <c r="N983" t="s">
        <v>34</v>
      </c>
      <c r="O983">
        <v>1</v>
      </c>
      <c r="P983" t="s">
        <v>2933</v>
      </c>
      <c r="Q983" t="s">
        <v>4603</v>
      </c>
      <c r="R983" t="s">
        <v>4721</v>
      </c>
      <c r="S983" t="s">
        <v>4717</v>
      </c>
      <c r="T983">
        <f t="shared" si="39"/>
        <v>4</v>
      </c>
      <c r="U983" s="21">
        <f t="shared" si="43"/>
        <v>45276</v>
      </c>
    </row>
    <row r="984" spans="1:21" x14ac:dyDescent="0.35">
      <c r="A984" t="s">
        <v>516</v>
      </c>
      <c r="B984" t="s">
        <v>517</v>
      </c>
      <c r="C984" t="s">
        <v>30</v>
      </c>
      <c r="D984" t="s">
        <v>212</v>
      </c>
      <c r="E984" s="1">
        <v>110.52800000000001</v>
      </c>
      <c r="F984" t="s">
        <v>206</v>
      </c>
      <c r="G984">
        <v>100</v>
      </c>
      <c r="H984" s="1">
        <v>110.52800000000001</v>
      </c>
      <c r="I984" s="21">
        <v>44907</v>
      </c>
      <c r="J984" s="21">
        <v>44908</v>
      </c>
      <c r="K984" s="21">
        <f t="shared" si="42"/>
        <v>44908</v>
      </c>
      <c r="L984" t="s">
        <v>248</v>
      </c>
      <c r="M984" t="s">
        <v>46</v>
      </c>
      <c r="N984" t="s">
        <v>47</v>
      </c>
      <c r="O984">
        <v>1</v>
      </c>
      <c r="P984" t="s">
        <v>518</v>
      </c>
      <c r="Q984" t="s">
        <v>4528</v>
      </c>
      <c r="R984" t="s">
        <v>4726</v>
      </c>
      <c r="S984" t="s">
        <v>4717</v>
      </c>
      <c r="T984">
        <f t="shared" si="39"/>
        <v>1</v>
      </c>
      <c r="U984" s="21">
        <f t="shared" si="43"/>
        <v>45273</v>
      </c>
    </row>
    <row r="985" spans="1:21" x14ac:dyDescent="0.35">
      <c r="A985" t="s">
        <v>1389</v>
      </c>
      <c r="B985" t="s">
        <v>1390</v>
      </c>
      <c r="C985" t="s">
        <v>30</v>
      </c>
      <c r="D985" t="s">
        <v>21</v>
      </c>
      <c r="E985" s="1">
        <v>324.21999999999997</v>
      </c>
      <c r="F985" t="s">
        <v>22</v>
      </c>
      <c r="G985">
        <v>0</v>
      </c>
      <c r="H985" s="1">
        <v>0</v>
      </c>
      <c r="I985" s="21">
        <v>44542</v>
      </c>
      <c r="J985" s="21">
        <v>44545</v>
      </c>
      <c r="K985" s="21">
        <v>44545</v>
      </c>
      <c r="L985" t="s">
        <v>53</v>
      </c>
      <c r="M985" t="s">
        <v>97</v>
      </c>
      <c r="N985" t="s">
        <v>68</v>
      </c>
      <c r="O985">
        <v>1</v>
      </c>
      <c r="P985" t="s">
        <v>524</v>
      </c>
      <c r="Q985" t="s">
        <v>4574</v>
      </c>
      <c r="R985" t="s">
        <v>4713</v>
      </c>
      <c r="S985" t="s">
        <v>4719</v>
      </c>
      <c r="T985">
        <f t="shared" si="39"/>
        <v>3</v>
      </c>
      <c r="U985" s="21">
        <f>J985</f>
        <v>44545</v>
      </c>
    </row>
    <row r="986" spans="1:21" x14ac:dyDescent="0.35">
      <c r="A986" t="s">
        <v>2934</v>
      </c>
      <c r="B986" t="s">
        <v>2935</v>
      </c>
      <c r="C986" t="s">
        <v>30</v>
      </c>
      <c r="D986" t="s">
        <v>205</v>
      </c>
      <c r="E986" s="1">
        <v>25.488</v>
      </c>
      <c r="F986" t="s">
        <v>206</v>
      </c>
      <c r="G986">
        <v>80</v>
      </c>
      <c r="H986" s="1">
        <v>20.3904</v>
      </c>
      <c r="I986" s="21">
        <v>44907</v>
      </c>
      <c r="J986" s="21">
        <v>44913</v>
      </c>
      <c r="K986" s="21">
        <f t="shared" ref="K986:K994" si="44">J986</f>
        <v>44913</v>
      </c>
      <c r="L986" t="s">
        <v>234</v>
      </c>
      <c r="M986" t="s">
        <v>97</v>
      </c>
      <c r="N986" t="s">
        <v>68</v>
      </c>
      <c r="O986">
        <v>1</v>
      </c>
      <c r="P986" t="s">
        <v>2936</v>
      </c>
      <c r="Q986" t="s">
        <v>4574</v>
      </c>
      <c r="R986" t="s">
        <v>4713</v>
      </c>
      <c r="S986" t="s">
        <v>4719</v>
      </c>
      <c r="T986">
        <f t="shared" si="39"/>
        <v>6</v>
      </c>
      <c r="U986" s="21">
        <f t="shared" ref="U986:U994" si="45">J986+365</f>
        <v>45278</v>
      </c>
    </row>
    <row r="987" spans="1:21" x14ac:dyDescent="0.35">
      <c r="A987" t="s">
        <v>519</v>
      </c>
      <c r="B987" t="s">
        <v>520</v>
      </c>
      <c r="C987" t="s">
        <v>19</v>
      </c>
      <c r="D987" t="s">
        <v>212</v>
      </c>
      <c r="E987" s="1">
        <v>6.16</v>
      </c>
      <c r="F987" t="s">
        <v>206</v>
      </c>
      <c r="G987">
        <v>100</v>
      </c>
      <c r="H987" s="1">
        <v>6.16</v>
      </c>
      <c r="I987" s="21">
        <v>44907</v>
      </c>
      <c r="J987" s="21">
        <v>44911</v>
      </c>
      <c r="K987" s="21">
        <f t="shared" si="44"/>
        <v>44911</v>
      </c>
      <c r="L987" t="s">
        <v>248</v>
      </c>
      <c r="M987" t="s">
        <v>33</v>
      </c>
      <c r="N987" t="s">
        <v>34</v>
      </c>
      <c r="O987">
        <v>1</v>
      </c>
      <c r="P987" t="s">
        <v>521</v>
      </c>
      <c r="Q987" t="s">
        <v>4573</v>
      </c>
      <c r="R987" t="s">
        <v>4721</v>
      </c>
      <c r="S987" t="s">
        <v>4718</v>
      </c>
      <c r="T987">
        <f t="shared" si="39"/>
        <v>4</v>
      </c>
      <c r="U987" s="21">
        <f t="shared" si="45"/>
        <v>45276</v>
      </c>
    </row>
    <row r="988" spans="1:21" x14ac:dyDescent="0.35">
      <c r="A988" t="s">
        <v>3936</v>
      </c>
      <c r="B988" t="s">
        <v>3937</v>
      </c>
      <c r="C988" t="s">
        <v>19</v>
      </c>
      <c r="D988" t="s">
        <v>212</v>
      </c>
      <c r="E988" s="1">
        <v>22.367999999999999</v>
      </c>
      <c r="F988" t="s">
        <v>206</v>
      </c>
      <c r="G988">
        <v>100</v>
      </c>
      <c r="H988" s="1">
        <v>22.367999999999999</v>
      </c>
      <c r="I988" s="21">
        <v>44906</v>
      </c>
      <c r="J988" s="21">
        <v>44912</v>
      </c>
      <c r="K988" s="21">
        <f t="shared" si="44"/>
        <v>44912</v>
      </c>
      <c r="L988" t="s">
        <v>234</v>
      </c>
      <c r="M988" t="s">
        <v>40</v>
      </c>
      <c r="N988" t="s">
        <v>34</v>
      </c>
      <c r="O988">
        <v>1</v>
      </c>
      <c r="P988" t="s">
        <v>3938</v>
      </c>
      <c r="Q988" t="s">
        <v>4703</v>
      </c>
      <c r="R988" t="s">
        <v>4721</v>
      </c>
      <c r="S988" t="s">
        <v>4717</v>
      </c>
      <c r="T988">
        <f t="shared" si="39"/>
        <v>6</v>
      </c>
      <c r="U988" s="21">
        <f t="shared" si="45"/>
        <v>45277</v>
      </c>
    </row>
    <row r="989" spans="1:21" x14ac:dyDescent="0.35">
      <c r="A989" t="s">
        <v>1796</v>
      </c>
      <c r="B989" t="s">
        <v>1797</v>
      </c>
      <c r="C989" t="s">
        <v>19</v>
      </c>
      <c r="D989" t="s">
        <v>205</v>
      </c>
      <c r="E989" s="1">
        <v>52.415999999999997</v>
      </c>
      <c r="F989" t="s">
        <v>206</v>
      </c>
      <c r="G989">
        <v>80</v>
      </c>
      <c r="H989" s="1">
        <v>41.9328</v>
      </c>
      <c r="I989" s="21">
        <v>44906</v>
      </c>
      <c r="J989" s="21">
        <v>44910</v>
      </c>
      <c r="K989" s="21">
        <f t="shared" si="44"/>
        <v>44910</v>
      </c>
      <c r="L989" t="s">
        <v>234</v>
      </c>
      <c r="M989" t="s">
        <v>46</v>
      </c>
      <c r="N989" t="s">
        <v>47</v>
      </c>
      <c r="O989">
        <v>1</v>
      </c>
      <c r="P989" t="s">
        <v>1798</v>
      </c>
      <c r="Q989" t="s">
        <v>4729</v>
      </c>
      <c r="R989" t="s">
        <v>4721</v>
      </c>
      <c r="S989" t="s">
        <v>4718</v>
      </c>
      <c r="T989">
        <f t="shared" si="39"/>
        <v>4</v>
      </c>
      <c r="U989" s="21">
        <f t="shared" si="45"/>
        <v>45275</v>
      </c>
    </row>
    <row r="990" spans="1:21" x14ac:dyDescent="0.35">
      <c r="A990" t="s">
        <v>3933</v>
      </c>
      <c r="B990" t="s">
        <v>3934</v>
      </c>
      <c r="C990" t="s">
        <v>30</v>
      </c>
      <c r="D990" t="s">
        <v>205</v>
      </c>
      <c r="E990" s="1">
        <v>101.94</v>
      </c>
      <c r="F990" t="s">
        <v>206</v>
      </c>
      <c r="G990">
        <v>80</v>
      </c>
      <c r="H990" s="1">
        <v>81.552000000000007</v>
      </c>
      <c r="I990" s="21">
        <v>44906</v>
      </c>
      <c r="J990" s="21">
        <v>44911</v>
      </c>
      <c r="K990" s="21">
        <f t="shared" si="44"/>
        <v>44911</v>
      </c>
      <c r="L990" t="s">
        <v>220</v>
      </c>
      <c r="M990" t="s">
        <v>54</v>
      </c>
      <c r="N990" t="s">
        <v>26</v>
      </c>
      <c r="O990">
        <v>1</v>
      </c>
      <c r="P990" t="s">
        <v>3935</v>
      </c>
      <c r="Q990" t="s">
        <v>4540</v>
      </c>
      <c r="R990" t="s">
        <v>4713</v>
      </c>
      <c r="S990" t="s">
        <v>4719</v>
      </c>
      <c r="T990">
        <f t="shared" si="39"/>
        <v>5</v>
      </c>
      <c r="U990" s="21">
        <f t="shared" si="45"/>
        <v>45276</v>
      </c>
    </row>
    <row r="991" spans="1:21" x14ac:dyDescent="0.35">
      <c r="A991" t="s">
        <v>2928</v>
      </c>
      <c r="B991" t="s">
        <v>2929</v>
      </c>
      <c r="C991" t="s">
        <v>19</v>
      </c>
      <c r="D991" t="s">
        <v>205</v>
      </c>
      <c r="E991" s="1">
        <v>13.12</v>
      </c>
      <c r="F991" t="s">
        <v>206</v>
      </c>
      <c r="G991">
        <v>80</v>
      </c>
      <c r="H991" s="1">
        <v>10.496</v>
      </c>
      <c r="I991" s="21">
        <v>44906</v>
      </c>
      <c r="J991" s="21">
        <v>44911</v>
      </c>
      <c r="K991" s="21">
        <f t="shared" si="44"/>
        <v>44911</v>
      </c>
      <c r="L991" t="s">
        <v>207</v>
      </c>
      <c r="M991" t="s">
        <v>54</v>
      </c>
      <c r="N991" t="s">
        <v>26</v>
      </c>
      <c r="O991">
        <v>1</v>
      </c>
      <c r="P991" t="s">
        <v>2930</v>
      </c>
      <c r="Q991" t="s">
        <v>4520</v>
      </c>
      <c r="R991" t="s">
        <v>4710</v>
      </c>
      <c r="S991" t="s">
        <v>4717</v>
      </c>
      <c r="T991">
        <f t="shared" si="39"/>
        <v>5</v>
      </c>
      <c r="U991" s="21">
        <f t="shared" si="45"/>
        <v>45276</v>
      </c>
    </row>
    <row r="992" spans="1:21" x14ac:dyDescent="0.35">
      <c r="A992" t="s">
        <v>513</v>
      </c>
      <c r="B992" t="s">
        <v>514</v>
      </c>
      <c r="C992" t="s">
        <v>19</v>
      </c>
      <c r="D992" t="s">
        <v>212</v>
      </c>
      <c r="E992" s="1">
        <v>25.92</v>
      </c>
      <c r="F992" t="s">
        <v>206</v>
      </c>
      <c r="G992">
        <v>100</v>
      </c>
      <c r="H992" s="1">
        <v>25.92</v>
      </c>
      <c r="I992" s="21">
        <v>44905</v>
      </c>
      <c r="J992" s="21">
        <v>44908</v>
      </c>
      <c r="K992" s="21">
        <f t="shared" si="44"/>
        <v>44908</v>
      </c>
      <c r="L992" t="s">
        <v>248</v>
      </c>
      <c r="M992" t="s">
        <v>46</v>
      </c>
      <c r="N992" t="s">
        <v>47</v>
      </c>
      <c r="O992">
        <v>1</v>
      </c>
      <c r="P992" t="s">
        <v>515</v>
      </c>
      <c r="Q992" t="s">
        <v>4519</v>
      </c>
      <c r="R992" t="s">
        <v>4726</v>
      </c>
      <c r="S992" t="s">
        <v>4717</v>
      </c>
      <c r="T992">
        <f t="shared" si="39"/>
        <v>3</v>
      </c>
      <c r="U992" s="21">
        <f t="shared" si="45"/>
        <v>45273</v>
      </c>
    </row>
    <row r="993" spans="1:21" x14ac:dyDescent="0.35">
      <c r="A993" t="s">
        <v>1793</v>
      </c>
      <c r="B993" t="s">
        <v>1794</v>
      </c>
      <c r="C993" t="s">
        <v>30</v>
      </c>
      <c r="D993" t="s">
        <v>205</v>
      </c>
      <c r="E993" s="1">
        <v>53.088000000000001</v>
      </c>
      <c r="F993" t="s">
        <v>206</v>
      </c>
      <c r="G993">
        <v>80</v>
      </c>
      <c r="H993" s="1">
        <v>42.470400000000005</v>
      </c>
      <c r="I993" s="21">
        <v>44904</v>
      </c>
      <c r="J993" s="21">
        <v>44906</v>
      </c>
      <c r="K993" s="21">
        <f t="shared" si="44"/>
        <v>44906</v>
      </c>
      <c r="L993" t="s">
        <v>207</v>
      </c>
      <c r="M993" t="s">
        <v>72</v>
      </c>
      <c r="N993" t="s">
        <v>73</v>
      </c>
      <c r="O993">
        <v>1</v>
      </c>
      <c r="P993" t="s">
        <v>1795</v>
      </c>
      <c r="Q993" t="s">
        <v>4599</v>
      </c>
      <c r="R993" t="s">
        <v>4727</v>
      </c>
      <c r="S993" t="s">
        <v>4719</v>
      </c>
      <c r="T993">
        <f t="shared" si="39"/>
        <v>2</v>
      </c>
      <c r="U993" s="21">
        <f t="shared" si="45"/>
        <v>45271</v>
      </c>
    </row>
    <row r="994" spans="1:21" x14ac:dyDescent="0.35">
      <c r="A994" t="s">
        <v>510</v>
      </c>
      <c r="B994" t="s">
        <v>511</v>
      </c>
      <c r="C994" t="s">
        <v>19</v>
      </c>
      <c r="D994" t="s">
        <v>212</v>
      </c>
      <c r="E994" s="1">
        <v>1.78</v>
      </c>
      <c r="F994" t="s">
        <v>206</v>
      </c>
      <c r="G994">
        <v>100</v>
      </c>
      <c r="H994" s="1">
        <v>1.78</v>
      </c>
      <c r="I994" s="21">
        <v>44904</v>
      </c>
      <c r="J994" s="21">
        <v>44908</v>
      </c>
      <c r="K994" s="21">
        <f t="shared" si="44"/>
        <v>44908</v>
      </c>
      <c r="L994" t="s">
        <v>207</v>
      </c>
      <c r="M994" t="s">
        <v>46</v>
      </c>
      <c r="N994" t="s">
        <v>47</v>
      </c>
      <c r="O994">
        <v>1</v>
      </c>
      <c r="P994" t="s">
        <v>512</v>
      </c>
      <c r="Q994" t="s">
        <v>4729</v>
      </c>
      <c r="R994" t="s">
        <v>4726</v>
      </c>
      <c r="S994" t="s">
        <v>4717</v>
      </c>
      <c r="T994">
        <f t="shared" si="39"/>
        <v>4</v>
      </c>
      <c r="U994" s="21">
        <f t="shared" si="45"/>
        <v>45273</v>
      </c>
    </row>
    <row r="995" spans="1:21" x14ac:dyDescent="0.35">
      <c r="A995" t="s">
        <v>2578</v>
      </c>
      <c r="B995" t="s">
        <v>2579</v>
      </c>
      <c r="C995" t="s">
        <v>19</v>
      </c>
      <c r="D995" t="s">
        <v>21</v>
      </c>
      <c r="E995" s="1">
        <v>6.57</v>
      </c>
      <c r="F995" t="s">
        <v>22</v>
      </c>
      <c r="G995">
        <v>0</v>
      </c>
      <c r="H995" s="1">
        <v>0</v>
      </c>
      <c r="I995" s="21">
        <v>44538</v>
      </c>
      <c r="J995" s="21">
        <v>44540</v>
      </c>
      <c r="K995" s="21">
        <v>44540</v>
      </c>
      <c r="L995" t="s">
        <v>32</v>
      </c>
      <c r="M995" t="s">
        <v>67</v>
      </c>
      <c r="N995" t="s">
        <v>68</v>
      </c>
      <c r="O995">
        <v>1</v>
      </c>
      <c r="P995" t="s">
        <v>2580</v>
      </c>
      <c r="Q995" t="s">
        <v>4588</v>
      </c>
      <c r="R995" t="s">
        <v>4726</v>
      </c>
      <c r="S995" t="s">
        <v>4717</v>
      </c>
      <c r="T995">
        <f t="shared" si="39"/>
        <v>2</v>
      </c>
      <c r="U995" s="21">
        <f>J995</f>
        <v>44540</v>
      </c>
    </row>
    <row r="996" spans="1:21" x14ac:dyDescent="0.35">
      <c r="A996" t="s">
        <v>1787</v>
      </c>
      <c r="B996" t="s">
        <v>1788</v>
      </c>
      <c r="C996" t="s">
        <v>19</v>
      </c>
      <c r="D996" t="s">
        <v>205</v>
      </c>
      <c r="E996" s="1">
        <v>56.3</v>
      </c>
      <c r="F996" t="s">
        <v>206</v>
      </c>
      <c r="G996">
        <v>80</v>
      </c>
      <c r="H996" s="1">
        <v>45.04</v>
      </c>
      <c r="I996" s="21">
        <v>44903</v>
      </c>
      <c r="J996" s="21">
        <v>44903</v>
      </c>
      <c r="K996" s="21">
        <f>J996</f>
        <v>44903</v>
      </c>
      <c r="L996" t="s">
        <v>248</v>
      </c>
      <c r="M996" t="s">
        <v>72</v>
      </c>
      <c r="N996" t="s">
        <v>73</v>
      </c>
      <c r="O996">
        <v>1</v>
      </c>
      <c r="P996" t="s">
        <v>1789</v>
      </c>
      <c r="Q996" t="s">
        <v>4531</v>
      </c>
      <c r="R996" t="s">
        <v>4726</v>
      </c>
      <c r="S996" t="s">
        <v>4717</v>
      </c>
      <c r="T996">
        <f t="shared" si="39"/>
        <v>0</v>
      </c>
      <c r="U996" s="21">
        <f>J996+365</f>
        <v>45268</v>
      </c>
    </row>
    <row r="997" spans="1:21" x14ac:dyDescent="0.35">
      <c r="A997" t="s">
        <v>191</v>
      </c>
      <c r="B997" t="s">
        <v>192</v>
      </c>
      <c r="C997" t="s">
        <v>30</v>
      </c>
      <c r="D997" t="s">
        <v>21</v>
      </c>
      <c r="E997" s="1">
        <v>801.98800000000006</v>
      </c>
      <c r="F997" t="s">
        <v>22</v>
      </c>
      <c r="G997">
        <v>0</v>
      </c>
      <c r="H997" s="1">
        <v>0</v>
      </c>
      <c r="I997" s="21">
        <v>44538</v>
      </c>
      <c r="J997" s="21">
        <v>44540</v>
      </c>
      <c r="K997" s="21">
        <v>44540</v>
      </c>
      <c r="L997" t="s">
        <v>63</v>
      </c>
      <c r="M997" t="s">
        <v>40</v>
      </c>
      <c r="N997" t="s">
        <v>34</v>
      </c>
      <c r="O997">
        <v>1</v>
      </c>
      <c r="P997" t="s">
        <v>193</v>
      </c>
      <c r="Q997" t="s">
        <v>4729</v>
      </c>
      <c r="R997" t="s">
        <v>4726</v>
      </c>
      <c r="S997" t="s">
        <v>4717</v>
      </c>
      <c r="T997">
        <f t="shared" si="39"/>
        <v>2</v>
      </c>
      <c r="U997" s="21">
        <f>J997</f>
        <v>44540</v>
      </c>
    </row>
    <row r="998" spans="1:21" x14ac:dyDescent="0.35">
      <c r="A998" t="s">
        <v>1790</v>
      </c>
      <c r="B998" t="s">
        <v>1791</v>
      </c>
      <c r="C998" t="s">
        <v>30</v>
      </c>
      <c r="D998" t="s">
        <v>212</v>
      </c>
      <c r="E998" s="1">
        <v>12.224</v>
      </c>
      <c r="F998" t="s">
        <v>206</v>
      </c>
      <c r="G998">
        <v>100</v>
      </c>
      <c r="H998" s="1">
        <v>12.224</v>
      </c>
      <c r="I998" s="21">
        <v>44903</v>
      </c>
      <c r="J998" s="21">
        <v>44908</v>
      </c>
      <c r="K998" s="21">
        <f t="shared" ref="K998:K1020" si="46">J998</f>
        <v>44908</v>
      </c>
      <c r="L998" t="s">
        <v>248</v>
      </c>
      <c r="M998" t="s">
        <v>25</v>
      </c>
      <c r="N998" t="s">
        <v>26</v>
      </c>
      <c r="O998">
        <v>1</v>
      </c>
      <c r="P998" t="s">
        <v>1792</v>
      </c>
      <c r="Q998" t="s">
        <v>4729</v>
      </c>
      <c r="R998" t="s">
        <v>4512</v>
      </c>
      <c r="S998" t="s">
        <v>4717</v>
      </c>
      <c r="T998">
        <f t="shared" si="39"/>
        <v>5</v>
      </c>
      <c r="U998" s="21">
        <f t="shared" ref="U998:U1020" si="47">J998+365</f>
        <v>45273</v>
      </c>
    </row>
    <row r="999" spans="1:21" x14ac:dyDescent="0.35">
      <c r="A999" t="s">
        <v>2925</v>
      </c>
      <c r="B999" t="s">
        <v>2926</v>
      </c>
      <c r="C999" t="s">
        <v>19</v>
      </c>
      <c r="D999" t="s">
        <v>205</v>
      </c>
      <c r="E999" s="1">
        <v>1619.91</v>
      </c>
      <c r="F999" t="s">
        <v>206</v>
      </c>
      <c r="G999">
        <v>80</v>
      </c>
      <c r="H999" s="1">
        <v>1295.9280000000001</v>
      </c>
      <c r="I999" s="21">
        <v>44902</v>
      </c>
      <c r="J999" s="21">
        <v>44904</v>
      </c>
      <c r="K999" s="21">
        <f t="shared" si="46"/>
        <v>44904</v>
      </c>
      <c r="L999" t="s">
        <v>213</v>
      </c>
      <c r="M999" t="s">
        <v>54</v>
      </c>
      <c r="N999" t="s">
        <v>26</v>
      </c>
      <c r="O999">
        <v>1</v>
      </c>
      <c r="P999" t="s">
        <v>2927</v>
      </c>
      <c r="Q999" t="s">
        <v>4513</v>
      </c>
      <c r="R999" t="s">
        <v>4713</v>
      </c>
      <c r="S999" t="s">
        <v>4719</v>
      </c>
      <c r="T999">
        <f t="shared" si="39"/>
        <v>2</v>
      </c>
      <c r="U999" s="21">
        <f t="shared" si="47"/>
        <v>45269</v>
      </c>
    </row>
    <row r="1000" spans="1:21" x14ac:dyDescent="0.35">
      <c r="A1000" t="s">
        <v>1781</v>
      </c>
      <c r="B1000" t="s">
        <v>1782</v>
      </c>
      <c r="C1000" t="s">
        <v>19</v>
      </c>
      <c r="D1000" t="s">
        <v>205</v>
      </c>
      <c r="E1000" s="1">
        <v>39</v>
      </c>
      <c r="F1000" t="s">
        <v>206</v>
      </c>
      <c r="G1000">
        <v>80</v>
      </c>
      <c r="H1000" s="1">
        <v>31.200000000000003</v>
      </c>
      <c r="I1000" s="21">
        <v>44902</v>
      </c>
      <c r="J1000" s="21">
        <v>44903</v>
      </c>
      <c r="K1000" s="21">
        <f t="shared" si="46"/>
        <v>44903</v>
      </c>
      <c r="L1000" t="s">
        <v>213</v>
      </c>
      <c r="M1000" t="s">
        <v>25</v>
      </c>
      <c r="N1000" t="s">
        <v>26</v>
      </c>
      <c r="O1000">
        <v>1</v>
      </c>
      <c r="P1000" t="s">
        <v>1783</v>
      </c>
      <c r="Q1000" t="s">
        <v>4540</v>
      </c>
      <c r="R1000" t="s">
        <v>4713</v>
      </c>
      <c r="S1000" t="s">
        <v>4719</v>
      </c>
      <c r="T1000">
        <f t="shared" si="39"/>
        <v>1</v>
      </c>
      <c r="U1000" s="21">
        <f t="shared" si="47"/>
        <v>45268</v>
      </c>
    </row>
    <row r="1001" spans="1:21" x14ac:dyDescent="0.35">
      <c r="A1001" t="s">
        <v>2923</v>
      </c>
      <c r="B1001" t="s">
        <v>2924</v>
      </c>
      <c r="C1001" t="s">
        <v>30</v>
      </c>
      <c r="D1001" t="s">
        <v>212</v>
      </c>
      <c r="E1001" s="1">
        <v>16.448</v>
      </c>
      <c r="F1001" t="s">
        <v>206</v>
      </c>
      <c r="G1001">
        <v>100</v>
      </c>
      <c r="H1001" s="1">
        <v>16.448</v>
      </c>
      <c r="I1001" s="21">
        <v>44902</v>
      </c>
      <c r="J1001" s="21">
        <v>44907</v>
      </c>
      <c r="K1001" s="21">
        <f t="shared" si="46"/>
        <v>44907</v>
      </c>
      <c r="L1001" t="s">
        <v>220</v>
      </c>
      <c r="M1001" t="s">
        <v>97</v>
      </c>
      <c r="N1001" t="s">
        <v>68</v>
      </c>
      <c r="O1001">
        <v>1</v>
      </c>
      <c r="P1001" t="s">
        <v>2629</v>
      </c>
      <c r="Q1001" t="s">
        <v>4729</v>
      </c>
      <c r="R1001" t="s">
        <v>4721</v>
      </c>
      <c r="S1001" t="s">
        <v>4717</v>
      </c>
      <c r="T1001">
        <f t="shared" si="39"/>
        <v>5</v>
      </c>
      <c r="U1001" s="21">
        <f t="shared" si="47"/>
        <v>45272</v>
      </c>
    </row>
    <row r="1002" spans="1:21" x14ac:dyDescent="0.35">
      <c r="A1002" t="s">
        <v>1778</v>
      </c>
      <c r="B1002" t="s">
        <v>1779</v>
      </c>
      <c r="C1002" t="s">
        <v>30</v>
      </c>
      <c r="D1002" t="s">
        <v>212</v>
      </c>
      <c r="E1002" s="1">
        <v>41.86</v>
      </c>
      <c r="F1002" t="s">
        <v>206</v>
      </c>
      <c r="G1002">
        <v>100</v>
      </c>
      <c r="H1002" s="1">
        <v>41.86</v>
      </c>
      <c r="I1002" s="21">
        <v>44902</v>
      </c>
      <c r="J1002" s="21">
        <v>44907</v>
      </c>
      <c r="K1002" s="21">
        <f t="shared" si="46"/>
        <v>44907</v>
      </c>
      <c r="L1002" t="s">
        <v>220</v>
      </c>
      <c r="M1002" t="s">
        <v>54</v>
      </c>
      <c r="N1002" t="s">
        <v>26</v>
      </c>
      <c r="O1002">
        <v>1</v>
      </c>
      <c r="P1002" t="s">
        <v>1780</v>
      </c>
      <c r="Q1002" t="s">
        <v>4519</v>
      </c>
      <c r="R1002" t="s">
        <v>4726</v>
      </c>
      <c r="S1002" t="s">
        <v>4717</v>
      </c>
      <c r="T1002">
        <f t="shared" si="39"/>
        <v>5</v>
      </c>
      <c r="U1002" s="21">
        <f t="shared" si="47"/>
        <v>45272</v>
      </c>
    </row>
    <row r="1003" spans="1:21" x14ac:dyDescent="0.35">
      <c r="A1003" t="s">
        <v>504</v>
      </c>
      <c r="B1003" t="s">
        <v>505</v>
      </c>
      <c r="C1003" t="s">
        <v>19</v>
      </c>
      <c r="D1003" t="s">
        <v>212</v>
      </c>
      <c r="E1003" s="1">
        <v>198.27199999999999</v>
      </c>
      <c r="F1003" t="s">
        <v>206</v>
      </c>
      <c r="G1003">
        <v>100</v>
      </c>
      <c r="H1003" s="1">
        <v>198.27199999999999</v>
      </c>
      <c r="I1003" s="21">
        <v>44902</v>
      </c>
      <c r="J1003" s="21">
        <v>44908</v>
      </c>
      <c r="K1003" s="21">
        <f t="shared" si="46"/>
        <v>44908</v>
      </c>
      <c r="L1003" t="s">
        <v>207</v>
      </c>
      <c r="M1003" t="s">
        <v>40</v>
      </c>
      <c r="N1003" t="s">
        <v>34</v>
      </c>
      <c r="O1003">
        <v>1</v>
      </c>
      <c r="P1003" t="s">
        <v>506</v>
      </c>
      <c r="Q1003" t="s">
        <v>4519</v>
      </c>
      <c r="R1003" t="s">
        <v>4726</v>
      </c>
      <c r="S1003" t="s">
        <v>4717</v>
      </c>
      <c r="T1003">
        <f t="shared" si="39"/>
        <v>6</v>
      </c>
      <c r="U1003" s="21">
        <f t="shared" si="47"/>
        <v>45273</v>
      </c>
    </row>
    <row r="1004" spans="1:21" x14ac:dyDescent="0.35">
      <c r="A1004" t="s">
        <v>1784</v>
      </c>
      <c r="B1004" t="s">
        <v>1785</v>
      </c>
      <c r="C1004" t="s">
        <v>30</v>
      </c>
      <c r="D1004" t="s">
        <v>212</v>
      </c>
      <c r="E1004" s="1">
        <v>19.920000000000002</v>
      </c>
      <c r="F1004" t="s">
        <v>206</v>
      </c>
      <c r="G1004">
        <v>100</v>
      </c>
      <c r="H1004" s="1">
        <v>19.920000000000002</v>
      </c>
      <c r="I1004" s="21">
        <v>44902</v>
      </c>
      <c r="J1004" s="21">
        <v>44907</v>
      </c>
      <c r="K1004" s="21">
        <f t="shared" si="46"/>
        <v>44907</v>
      </c>
      <c r="L1004" t="s">
        <v>213</v>
      </c>
      <c r="M1004" t="s">
        <v>25</v>
      </c>
      <c r="N1004" t="s">
        <v>26</v>
      </c>
      <c r="O1004">
        <v>1</v>
      </c>
      <c r="P1004" t="s">
        <v>1786</v>
      </c>
      <c r="Q1004" t="s">
        <v>4519</v>
      </c>
      <c r="R1004" t="s">
        <v>4726</v>
      </c>
      <c r="S1004" t="s">
        <v>4717</v>
      </c>
      <c r="T1004">
        <f t="shared" si="39"/>
        <v>5</v>
      </c>
      <c r="U1004" s="21">
        <f t="shared" si="47"/>
        <v>45272</v>
      </c>
    </row>
    <row r="1005" spans="1:21" x14ac:dyDescent="0.35">
      <c r="A1005" t="s">
        <v>507</v>
      </c>
      <c r="B1005" t="s">
        <v>508</v>
      </c>
      <c r="C1005" t="s">
        <v>30</v>
      </c>
      <c r="D1005" t="s">
        <v>205</v>
      </c>
      <c r="E1005" s="1">
        <v>6.48</v>
      </c>
      <c r="F1005" t="s">
        <v>206</v>
      </c>
      <c r="G1005">
        <v>80</v>
      </c>
      <c r="H1005" s="1">
        <v>5.1840000000000011</v>
      </c>
      <c r="I1005" s="21">
        <v>44902</v>
      </c>
      <c r="J1005" s="21">
        <v>44907</v>
      </c>
      <c r="K1005" s="21">
        <f t="shared" si="46"/>
        <v>44907</v>
      </c>
      <c r="L1005" t="s">
        <v>238</v>
      </c>
      <c r="M1005" t="s">
        <v>46</v>
      </c>
      <c r="N1005" t="s">
        <v>47</v>
      </c>
      <c r="O1005">
        <v>1</v>
      </c>
      <c r="P1005" t="s">
        <v>509</v>
      </c>
      <c r="Q1005" t="s">
        <v>4519</v>
      </c>
      <c r="R1005" t="s">
        <v>4726</v>
      </c>
      <c r="S1005" t="s">
        <v>4717</v>
      </c>
      <c r="T1005">
        <f t="shared" si="39"/>
        <v>5</v>
      </c>
      <c r="U1005" s="21">
        <f t="shared" si="47"/>
        <v>45272</v>
      </c>
    </row>
    <row r="1006" spans="1:21" x14ac:dyDescent="0.35">
      <c r="A1006" t="s">
        <v>1772</v>
      </c>
      <c r="B1006" t="s">
        <v>1773</v>
      </c>
      <c r="C1006" t="s">
        <v>30</v>
      </c>
      <c r="D1006" t="s">
        <v>205</v>
      </c>
      <c r="E1006" s="1">
        <v>10.752000000000001</v>
      </c>
      <c r="F1006" t="s">
        <v>206</v>
      </c>
      <c r="G1006">
        <v>80</v>
      </c>
      <c r="H1006" s="1">
        <v>8.6016000000000012</v>
      </c>
      <c r="I1006" s="21">
        <v>44901</v>
      </c>
      <c r="J1006" s="21">
        <v>44902</v>
      </c>
      <c r="K1006" s="21">
        <f t="shared" si="46"/>
        <v>44902</v>
      </c>
      <c r="L1006" t="s">
        <v>248</v>
      </c>
      <c r="M1006" t="s">
        <v>146</v>
      </c>
      <c r="N1006" t="s">
        <v>73</v>
      </c>
      <c r="O1006">
        <v>1</v>
      </c>
      <c r="P1006" t="s">
        <v>1774</v>
      </c>
      <c r="Q1006" t="s">
        <v>4596</v>
      </c>
      <c r="R1006" t="s">
        <v>4726</v>
      </c>
      <c r="S1006" t="s">
        <v>4717</v>
      </c>
      <c r="T1006">
        <f t="shared" si="39"/>
        <v>1</v>
      </c>
      <c r="U1006" s="21">
        <f t="shared" si="47"/>
        <v>45267</v>
      </c>
    </row>
    <row r="1007" spans="1:21" x14ac:dyDescent="0.35">
      <c r="A1007" t="s">
        <v>1769</v>
      </c>
      <c r="B1007" t="s">
        <v>1770</v>
      </c>
      <c r="C1007" t="s">
        <v>19</v>
      </c>
      <c r="D1007" t="s">
        <v>205</v>
      </c>
      <c r="E1007" s="1">
        <v>9.3439999999999994</v>
      </c>
      <c r="F1007" t="s">
        <v>206</v>
      </c>
      <c r="G1007">
        <v>80</v>
      </c>
      <c r="H1007" s="1">
        <v>7.4752000000000001</v>
      </c>
      <c r="I1007" s="21">
        <v>44901</v>
      </c>
      <c r="J1007" s="21">
        <v>44902</v>
      </c>
      <c r="K1007" s="21">
        <f t="shared" si="46"/>
        <v>44902</v>
      </c>
      <c r="L1007" t="s">
        <v>213</v>
      </c>
      <c r="M1007" t="s">
        <v>146</v>
      </c>
      <c r="N1007" t="s">
        <v>73</v>
      </c>
      <c r="O1007">
        <v>1</v>
      </c>
      <c r="P1007" t="s">
        <v>1771</v>
      </c>
      <c r="Q1007" t="s">
        <v>4520</v>
      </c>
      <c r="R1007" t="s">
        <v>4710</v>
      </c>
      <c r="S1007" t="s">
        <v>4717</v>
      </c>
      <c r="T1007">
        <f t="shared" si="39"/>
        <v>1</v>
      </c>
      <c r="U1007" s="21">
        <f t="shared" si="47"/>
        <v>45267</v>
      </c>
    </row>
    <row r="1008" spans="1:21" x14ac:dyDescent="0.35">
      <c r="A1008" t="s">
        <v>1766</v>
      </c>
      <c r="B1008" t="s">
        <v>1767</v>
      </c>
      <c r="C1008" t="s">
        <v>30</v>
      </c>
      <c r="D1008" t="s">
        <v>205</v>
      </c>
      <c r="E1008" s="1">
        <v>105.584</v>
      </c>
      <c r="F1008" t="s">
        <v>206</v>
      </c>
      <c r="G1008">
        <v>80</v>
      </c>
      <c r="H1008" s="1">
        <v>84.467200000000005</v>
      </c>
      <c r="I1008" s="21">
        <v>44901</v>
      </c>
      <c r="J1008" s="21">
        <v>44907</v>
      </c>
      <c r="K1008" s="21">
        <f t="shared" si="46"/>
        <v>44907</v>
      </c>
      <c r="L1008" t="s">
        <v>207</v>
      </c>
      <c r="M1008" t="s">
        <v>54</v>
      </c>
      <c r="N1008" t="s">
        <v>26</v>
      </c>
      <c r="O1008">
        <v>1</v>
      </c>
      <c r="P1008" t="s">
        <v>1768</v>
      </c>
      <c r="Q1008" t="s">
        <v>4530</v>
      </c>
      <c r="R1008" t="s">
        <v>4711</v>
      </c>
      <c r="S1008" t="s">
        <v>4719</v>
      </c>
      <c r="T1008">
        <f t="shared" si="39"/>
        <v>6</v>
      </c>
      <c r="U1008" s="21">
        <f t="shared" si="47"/>
        <v>45272</v>
      </c>
    </row>
    <row r="1009" spans="1:21" x14ac:dyDescent="0.35">
      <c r="A1009" t="s">
        <v>3930</v>
      </c>
      <c r="B1009" t="s">
        <v>3931</v>
      </c>
      <c r="C1009" t="s">
        <v>19</v>
      </c>
      <c r="D1009" t="s">
        <v>212</v>
      </c>
      <c r="E1009" s="1">
        <v>8.2260000000000009</v>
      </c>
      <c r="F1009" t="s">
        <v>206</v>
      </c>
      <c r="G1009">
        <v>100</v>
      </c>
      <c r="H1009" s="1">
        <v>8.2260000000000009</v>
      </c>
      <c r="I1009" s="21">
        <v>44901</v>
      </c>
      <c r="J1009" s="21">
        <v>44904</v>
      </c>
      <c r="K1009" s="21">
        <f t="shared" si="46"/>
        <v>44904</v>
      </c>
      <c r="L1009" t="s">
        <v>213</v>
      </c>
      <c r="M1009" t="s">
        <v>72</v>
      </c>
      <c r="N1009" t="s">
        <v>73</v>
      </c>
      <c r="O1009">
        <v>1</v>
      </c>
      <c r="P1009" t="s">
        <v>3932</v>
      </c>
      <c r="Q1009" t="s">
        <v>4729</v>
      </c>
      <c r="R1009" t="s">
        <v>4726</v>
      </c>
      <c r="S1009" t="s">
        <v>4717</v>
      </c>
      <c r="T1009">
        <f t="shared" si="39"/>
        <v>3</v>
      </c>
      <c r="U1009" s="21">
        <f t="shared" si="47"/>
        <v>45269</v>
      </c>
    </row>
    <row r="1010" spans="1:21" x14ac:dyDescent="0.35">
      <c r="A1010" t="s">
        <v>1775</v>
      </c>
      <c r="B1010" t="s">
        <v>1776</v>
      </c>
      <c r="C1010" t="s">
        <v>30</v>
      </c>
      <c r="D1010" t="s">
        <v>212</v>
      </c>
      <c r="E1010" s="1">
        <v>55.423999999999999</v>
      </c>
      <c r="F1010" t="s">
        <v>206</v>
      </c>
      <c r="G1010">
        <v>100</v>
      </c>
      <c r="H1010" s="1">
        <v>55.423999999999999</v>
      </c>
      <c r="I1010" s="21">
        <v>44901</v>
      </c>
      <c r="J1010" s="21">
        <v>44905</v>
      </c>
      <c r="K1010" s="21">
        <f t="shared" si="46"/>
        <v>44905</v>
      </c>
      <c r="L1010" t="s">
        <v>248</v>
      </c>
      <c r="M1010" t="s">
        <v>146</v>
      </c>
      <c r="N1010" t="s">
        <v>73</v>
      </c>
      <c r="O1010">
        <v>1</v>
      </c>
      <c r="P1010" t="s">
        <v>1777</v>
      </c>
      <c r="Q1010" t="s">
        <v>4515</v>
      </c>
      <c r="R1010" t="s">
        <v>4726</v>
      </c>
      <c r="S1010" t="s">
        <v>4717</v>
      </c>
      <c r="T1010">
        <f t="shared" si="39"/>
        <v>4</v>
      </c>
      <c r="U1010" s="21">
        <f t="shared" si="47"/>
        <v>45270</v>
      </c>
    </row>
    <row r="1011" spans="1:21" x14ac:dyDescent="0.35">
      <c r="A1011" t="s">
        <v>1764</v>
      </c>
      <c r="B1011" t="s">
        <v>1765</v>
      </c>
      <c r="C1011" t="s">
        <v>19</v>
      </c>
      <c r="D1011" t="s">
        <v>205</v>
      </c>
      <c r="E1011" s="1">
        <v>2.96</v>
      </c>
      <c r="F1011" t="s">
        <v>206</v>
      </c>
      <c r="G1011">
        <v>80</v>
      </c>
      <c r="H1011" s="1">
        <v>2.3679999999999999</v>
      </c>
      <c r="I1011" s="21">
        <v>44900</v>
      </c>
      <c r="J1011" s="21">
        <v>44905</v>
      </c>
      <c r="K1011" s="21">
        <f t="shared" si="46"/>
        <v>44905</v>
      </c>
      <c r="L1011" t="s">
        <v>213</v>
      </c>
      <c r="M1011" t="s">
        <v>146</v>
      </c>
      <c r="N1011" t="s">
        <v>73</v>
      </c>
      <c r="O1011">
        <v>1</v>
      </c>
      <c r="P1011" t="s">
        <v>891</v>
      </c>
      <c r="Q1011" t="s">
        <v>4599</v>
      </c>
      <c r="R1011" t="s">
        <v>4721</v>
      </c>
      <c r="S1011" t="s">
        <v>4718</v>
      </c>
      <c r="T1011">
        <f t="shared" si="39"/>
        <v>5</v>
      </c>
      <c r="U1011" s="21">
        <f t="shared" si="47"/>
        <v>45270</v>
      </c>
    </row>
    <row r="1012" spans="1:21" x14ac:dyDescent="0.35">
      <c r="A1012" t="s">
        <v>2920</v>
      </c>
      <c r="B1012" t="s">
        <v>2921</v>
      </c>
      <c r="C1012" t="s">
        <v>19</v>
      </c>
      <c r="D1012" t="s">
        <v>212</v>
      </c>
      <c r="E1012" s="1">
        <v>482.34</v>
      </c>
      <c r="F1012" t="s">
        <v>206</v>
      </c>
      <c r="G1012">
        <v>100</v>
      </c>
      <c r="H1012" s="1">
        <v>482.34</v>
      </c>
      <c r="I1012" s="21">
        <v>44900</v>
      </c>
      <c r="J1012" s="21">
        <v>44904</v>
      </c>
      <c r="K1012" s="21">
        <f t="shared" si="46"/>
        <v>44904</v>
      </c>
      <c r="L1012" t="s">
        <v>213</v>
      </c>
      <c r="M1012" t="s">
        <v>67</v>
      </c>
      <c r="N1012" t="s">
        <v>68</v>
      </c>
      <c r="O1012">
        <v>1</v>
      </c>
      <c r="P1012" t="s">
        <v>2922</v>
      </c>
      <c r="Q1012" t="s">
        <v>4672</v>
      </c>
      <c r="R1012" t="s">
        <v>4713</v>
      </c>
      <c r="S1012" t="s">
        <v>4719</v>
      </c>
      <c r="T1012">
        <f t="shared" si="39"/>
        <v>4</v>
      </c>
      <c r="U1012" s="21">
        <f t="shared" si="47"/>
        <v>45269</v>
      </c>
    </row>
    <row r="1013" spans="1:21" x14ac:dyDescent="0.35">
      <c r="A1013" t="s">
        <v>501</v>
      </c>
      <c r="B1013" t="s">
        <v>502</v>
      </c>
      <c r="C1013" t="s">
        <v>19</v>
      </c>
      <c r="D1013" t="s">
        <v>212</v>
      </c>
      <c r="E1013" s="1">
        <v>177.48</v>
      </c>
      <c r="F1013" t="s">
        <v>206</v>
      </c>
      <c r="G1013">
        <v>100</v>
      </c>
      <c r="H1013" s="1">
        <v>177.48</v>
      </c>
      <c r="I1013" s="21">
        <v>44899</v>
      </c>
      <c r="J1013" s="21">
        <v>44903</v>
      </c>
      <c r="K1013" s="21">
        <f t="shared" si="46"/>
        <v>44903</v>
      </c>
      <c r="L1013" t="s">
        <v>220</v>
      </c>
      <c r="M1013" t="s">
        <v>67</v>
      </c>
      <c r="N1013" t="s">
        <v>68</v>
      </c>
      <c r="O1013">
        <v>1</v>
      </c>
      <c r="P1013" t="s">
        <v>503</v>
      </c>
      <c r="Q1013" t="s">
        <v>4572</v>
      </c>
      <c r="R1013" t="s">
        <v>4711</v>
      </c>
      <c r="S1013" t="s">
        <v>4719</v>
      </c>
      <c r="T1013">
        <f t="shared" si="39"/>
        <v>4</v>
      </c>
      <c r="U1013" s="21">
        <f t="shared" si="47"/>
        <v>45268</v>
      </c>
    </row>
    <row r="1014" spans="1:21" x14ac:dyDescent="0.35">
      <c r="A1014" t="s">
        <v>1761</v>
      </c>
      <c r="B1014" t="s">
        <v>1762</v>
      </c>
      <c r="C1014" t="s">
        <v>30</v>
      </c>
      <c r="D1014" t="s">
        <v>212</v>
      </c>
      <c r="E1014" s="1">
        <v>681.40800000000002</v>
      </c>
      <c r="F1014" t="s">
        <v>206</v>
      </c>
      <c r="G1014">
        <v>100</v>
      </c>
      <c r="H1014" s="1">
        <v>681.40800000000002</v>
      </c>
      <c r="I1014" s="21">
        <v>44899</v>
      </c>
      <c r="J1014" s="21">
        <v>44901</v>
      </c>
      <c r="K1014" s="21">
        <f t="shared" si="46"/>
        <v>44901</v>
      </c>
      <c r="L1014" t="s">
        <v>220</v>
      </c>
      <c r="M1014" t="s">
        <v>25</v>
      </c>
      <c r="N1014" t="s">
        <v>26</v>
      </c>
      <c r="O1014">
        <v>1</v>
      </c>
      <c r="P1014" t="s">
        <v>1763</v>
      </c>
      <c r="Q1014" t="s">
        <v>4729</v>
      </c>
      <c r="R1014" t="s">
        <v>4723</v>
      </c>
      <c r="S1014" t="s">
        <v>4718</v>
      </c>
      <c r="T1014">
        <f t="shared" si="39"/>
        <v>2</v>
      </c>
      <c r="U1014" s="21">
        <f t="shared" si="47"/>
        <v>45266</v>
      </c>
    </row>
    <row r="1015" spans="1:21" x14ac:dyDescent="0.35">
      <c r="A1015" t="s">
        <v>2918</v>
      </c>
      <c r="B1015" t="s">
        <v>2919</v>
      </c>
      <c r="C1015" t="s">
        <v>30</v>
      </c>
      <c r="D1015" t="s">
        <v>205</v>
      </c>
      <c r="E1015" s="1">
        <v>647.904</v>
      </c>
      <c r="F1015" t="s">
        <v>206</v>
      </c>
      <c r="G1015">
        <v>80</v>
      </c>
      <c r="H1015" s="1">
        <v>518.32320000000004</v>
      </c>
      <c r="I1015" s="21">
        <v>44899</v>
      </c>
      <c r="J1015" s="21">
        <v>44903</v>
      </c>
      <c r="K1015" s="21">
        <f t="shared" si="46"/>
        <v>44903</v>
      </c>
      <c r="L1015" t="s">
        <v>238</v>
      </c>
      <c r="M1015" t="s">
        <v>33</v>
      </c>
      <c r="N1015" t="s">
        <v>34</v>
      </c>
      <c r="O1015">
        <v>1</v>
      </c>
      <c r="P1015" t="s">
        <v>1479</v>
      </c>
      <c r="Q1015" t="s">
        <v>4513</v>
      </c>
      <c r="R1015" t="s">
        <v>4711</v>
      </c>
      <c r="S1015" t="s">
        <v>4719</v>
      </c>
      <c r="T1015">
        <f t="shared" si="39"/>
        <v>4</v>
      </c>
      <c r="U1015" s="21">
        <f t="shared" si="47"/>
        <v>45268</v>
      </c>
    </row>
    <row r="1016" spans="1:21" x14ac:dyDescent="0.35">
      <c r="A1016" t="s">
        <v>3927</v>
      </c>
      <c r="B1016" t="s">
        <v>3928</v>
      </c>
      <c r="C1016" t="s">
        <v>19</v>
      </c>
      <c r="D1016" t="s">
        <v>205</v>
      </c>
      <c r="E1016" s="1">
        <v>10.584</v>
      </c>
      <c r="F1016" t="s">
        <v>206</v>
      </c>
      <c r="G1016">
        <v>80</v>
      </c>
      <c r="H1016" s="1">
        <v>8.4672000000000001</v>
      </c>
      <c r="I1016" s="21">
        <v>44899</v>
      </c>
      <c r="J1016" s="21">
        <v>44904</v>
      </c>
      <c r="K1016" s="21">
        <f t="shared" si="46"/>
        <v>44904</v>
      </c>
      <c r="L1016" t="s">
        <v>234</v>
      </c>
      <c r="M1016" t="s">
        <v>67</v>
      </c>
      <c r="N1016" t="s">
        <v>68</v>
      </c>
      <c r="O1016">
        <v>1</v>
      </c>
      <c r="P1016" t="s">
        <v>3929</v>
      </c>
      <c r="Q1016" t="s">
        <v>4702</v>
      </c>
      <c r="R1016" t="s">
        <v>4726</v>
      </c>
      <c r="S1016" t="s">
        <v>4717</v>
      </c>
      <c r="T1016">
        <f t="shared" si="39"/>
        <v>5</v>
      </c>
      <c r="U1016" s="21">
        <f t="shared" si="47"/>
        <v>45269</v>
      </c>
    </row>
    <row r="1017" spans="1:21" x14ac:dyDescent="0.35">
      <c r="A1017" t="s">
        <v>3924</v>
      </c>
      <c r="B1017" t="s">
        <v>3925</v>
      </c>
      <c r="C1017" t="s">
        <v>19</v>
      </c>
      <c r="D1017" t="s">
        <v>212</v>
      </c>
      <c r="E1017" s="1">
        <v>161.82</v>
      </c>
      <c r="F1017" t="s">
        <v>206</v>
      </c>
      <c r="G1017">
        <v>100</v>
      </c>
      <c r="H1017" s="1">
        <v>161.82</v>
      </c>
      <c r="I1017" s="21">
        <v>44897</v>
      </c>
      <c r="J1017" s="21">
        <v>44904</v>
      </c>
      <c r="K1017" s="21">
        <f t="shared" si="46"/>
        <v>44904</v>
      </c>
      <c r="L1017" t="s">
        <v>220</v>
      </c>
      <c r="M1017" t="s">
        <v>67</v>
      </c>
      <c r="N1017" t="s">
        <v>68</v>
      </c>
      <c r="O1017">
        <v>1</v>
      </c>
      <c r="P1017" t="s">
        <v>3926</v>
      </c>
      <c r="Q1017" t="s">
        <v>4697</v>
      </c>
      <c r="R1017" t="s">
        <v>4726</v>
      </c>
      <c r="S1017" t="s">
        <v>4717</v>
      </c>
      <c r="T1017">
        <f t="shared" si="39"/>
        <v>7</v>
      </c>
      <c r="U1017" s="21">
        <f t="shared" si="47"/>
        <v>45269</v>
      </c>
    </row>
    <row r="1018" spans="1:21" x14ac:dyDescent="0.35">
      <c r="A1018" t="s">
        <v>1759</v>
      </c>
      <c r="B1018" t="s">
        <v>1760</v>
      </c>
      <c r="C1018" t="s">
        <v>30</v>
      </c>
      <c r="D1018" t="s">
        <v>212</v>
      </c>
      <c r="E1018" s="1">
        <v>301.95999999999998</v>
      </c>
      <c r="F1018" t="s">
        <v>206</v>
      </c>
      <c r="G1018">
        <v>100</v>
      </c>
      <c r="H1018" s="1">
        <v>301.95999999999998</v>
      </c>
      <c r="I1018" s="21">
        <v>44897</v>
      </c>
      <c r="J1018" s="21">
        <v>44902</v>
      </c>
      <c r="K1018" s="21">
        <f t="shared" si="46"/>
        <v>44902</v>
      </c>
      <c r="L1018" t="s">
        <v>213</v>
      </c>
      <c r="M1018" t="s">
        <v>33</v>
      </c>
      <c r="N1018" t="s">
        <v>34</v>
      </c>
      <c r="O1018">
        <v>1</v>
      </c>
      <c r="P1018" t="s">
        <v>1660</v>
      </c>
      <c r="Q1018" t="s">
        <v>4567</v>
      </c>
      <c r="R1018" t="s">
        <v>4714</v>
      </c>
      <c r="S1018" t="s">
        <v>4718</v>
      </c>
      <c r="T1018">
        <f t="shared" si="39"/>
        <v>5</v>
      </c>
      <c r="U1018" s="21">
        <f t="shared" si="47"/>
        <v>45267</v>
      </c>
    </row>
    <row r="1019" spans="1:21" x14ac:dyDescent="0.35">
      <c r="A1019" t="s">
        <v>2912</v>
      </c>
      <c r="B1019" t="s">
        <v>2913</v>
      </c>
      <c r="C1019" t="s">
        <v>19</v>
      </c>
      <c r="D1019" t="s">
        <v>212</v>
      </c>
      <c r="E1019" s="1">
        <v>83.975999999999999</v>
      </c>
      <c r="F1019" t="s">
        <v>206</v>
      </c>
      <c r="G1019">
        <v>100</v>
      </c>
      <c r="H1019" s="1">
        <v>83.975999999999999</v>
      </c>
      <c r="I1019" s="21">
        <v>44897</v>
      </c>
      <c r="J1019" s="21">
        <v>44902</v>
      </c>
      <c r="K1019" s="21">
        <f t="shared" si="46"/>
        <v>44902</v>
      </c>
      <c r="L1019" t="s">
        <v>207</v>
      </c>
      <c r="M1019" t="s">
        <v>33</v>
      </c>
      <c r="N1019" t="s">
        <v>34</v>
      </c>
      <c r="O1019">
        <v>1</v>
      </c>
      <c r="P1019" t="s">
        <v>2914</v>
      </c>
      <c r="Q1019" t="s">
        <v>4513</v>
      </c>
      <c r="R1019" t="s">
        <v>4713</v>
      </c>
      <c r="S1019" t="s">
        <v>4719</v>
      </c>
      <c r="T1019">
        <f t="shared" si="39"/>
        <v>5</v>
      </c>
      <c r="U1019" s="21">
        <f t="shared" si="47"/>
        <v>45267</v>
      </c>
    </row>
    <row r="1020" spans="1:21" x14ac:dyDescent="0.35">
      <c r="A1020" t="s">
        <v>2915</v>
      </c>
      <c r="B1020" t="s">
        <v>2916</v>
      </c>
      <c r="C1020" t="s">
        <v>30</v>
      </c>
      <c r="D1020" t="s">
        <v>205</v>
      </c>
      <c r="E1020" s="1">
        <v>62.24</v>
      </c>
      <c r="F1020" t="s">
        <v>206</v>
      </c>
      <c r="G1020">
        <v>80</v>
      </c>
      <c r="H1020" s="1">
        <v>49.792000000000002</v>
      </c>
      <c r="I1020" s="21">
        <v>44897</v>
      </c>
      <c r="J1020" s="21">
        <v>44898</v>
      </c>
      <c r="K1020" s="21">
        <f t="shared" si="46"/>
        <v>44898</v>
      </c>
      <c r="L1020" t="s">
        <v>220</v>
      </c>
      <c r="M1020" t="s">
        <v>82</v>
      </c>
      <c r="N1020" t="s">
        <v>47</v>
      </c>
      <c r="O1020">
        <v>1</v>
      </c>
      <c r="P1020" t="s">
        <v>2917</v>
      </c>
      <c r="Q1020" t="s">
        <v>4729</v>
      </c>
      <c r="R1020" t="s">
        <v>4512</v>
      </c>
      <c r="S1020" t="s">
        <v>4717</v>
      </c>
      <c r="T1020">
        <f t="shared" si="39"/>
        <v>1</v>
      </c>
      <c r="U1020" s="21">
        <f t="shared" si="47"/>
        <v>45263</v>
      </c>
    </row>
    <row r="1021" spans="1:21" x14ac:dyDescent="0.35">
      <c r="A1021" t="s">
        <v>3694</v>
      </c>
      <c r="B1021" t="s">
        <v>3695</v>
      </c>
      <c r="C1021" t="s">
        <v>19</v>
      </c>
      <c r="D1021" t="s">
        <v>21</v>
      </c>
      <c r="E1021" s="1">
        <v>440.14400000000001</v>
      </c>
      <c r="F1021" t="s">
        <v>22</v>
      </c>
      <c r="G1021">
        <v>0</v>
      </c>
      <c r="H1021" s="1">
        <v>0</v>
      </c>
      <c r="I1021" s="21">
        <v>44531</v>
      </c>
      <c r="J1021" s="21">
        <v>44534</v>
      </c>
      <c r="K1021" s="21">
        <v>44534</v>
      </c>
      <c r="L1021" t="s">
        <v>45</v>
      </c>
      <c r="M1021" t="s">
        <v>67</v>
      </c>
      <c r="N1021" t="s">
        <v>68</v>
      </c>
      <c r="O1021">
        <v>1</v>
      </c>
      <c r="P1021" t="s">
        <v>2279</v>
      </c>
      <c r="Q1021" t="s">
        <v>4517</v>
      </c>
      <c r="R1021" t="s">
        <v>4726</v>
      </c>
      <c r="S1021" t="s">
        <v>4717</v>
      </c>
      <c r="T1021">
        <f t="shared" si="39"/>
        <v>3</v>
      </c>
      <c r="U1021" s="21">
        <f>J1021</f>
        <v>44534</v>
      </c>
    </row>
    <row r="1022" spans="1:21" x14ac:dyDescent="0.35">
      <c r="A1022" t="s">
        <v>496</v>
      </c>
      <c r="B1022" t="s">
        <v>497</v>
      </c>
      <c r="C1022" t="s">
        <v>30</v>
      </c>
      <c r="D1022" t="s">
        <v>205</v>
      </c>
      <c r="E1022" s="1">
        <v>91.391999999999996</v>
      </c>
      <c r="F1022" t="s">
        <v>206</v>
      </c>
      <c r="G1022">
        <v>80</v>
      </c>
      <c r="H1022" s="1">
        <v>73.113600000000005</v>
      </c>
      <c r="I1022" s="21">
        <v>44896</v>
      </c>
      <c r="J1022" s="21">
        <v>44901</v>
      </c>
      <c r="K1022" s="21">
        <f t="shared" ref="K1022:K1025" si="48">J1022</f>
        <v>44901</v>
      </c>
      <c r="L1022" t="s">
        <v>207</v>
      </c>
      <c r="M1022" t="s">
        <v>33</v>
      </c>
      <c r="N1022" t="s">
        <v>34</v>
      </c>
      <c r="O1022">
        <v>1</v>
      </c>
      <c r="P1022" t="s">
        <v>328</v>
      </c>
      <c r="Q1022" t="s">
        <v>4517</v>
      </c>
      <c r="R1022" t="s">
        <v>4726</v>
      </c>
      <c r="S1022" t="s">
        <v>4717</v>
      </c>
      <c r="T1022">
        <f t="shared" si="39"/>
        <v>5</v>
      </c>
      <c r="U1022" s="21">
        <f t="shared" ref="U1022:U1025" si="49">J1022+365</f>
        <v>45266</v>
      </c>
    </row>
    <row r="1023" spans="1:21" x14ac:dyDescent="0.35">
      <c r="A1023" t="s">
        <v>3921</v>
      </c>
      <c r="B1023" t="s">
        <v>3922</v>
      </c>
      <c r="C1023" t="s">
        <v>30</v>
      </c>
      <c r="D1023" t="s">
        <v>205</v>
      </c>
      <c r="E1023" s="1">
        <v>375.45749999999998</v>
      </c>
      <c r="F1023" t="s">
        <v>206</v>
      </c>
      <c r="G1023">
        <v>80</v>
      </c>
      <c r="H1023" s="1">
        <v>300.36599999999999</v>
      </c>
      <c r="I1023" s="21">
        <v>44896</v>
      </c>
      <c r="J1023" s="21">
        <v>44899</v>
      </c>
      <c r="K1023" s="21">
        <f t="shared" si="48"/>
        <v>44899</v>
      </c>
      <c r="L1023" t="s">
        <v>213</v>
      </c>
      <c r="M1023" t="s">
        <v>33</v>
      </c>
      <c r="N1023" t="s">
        <v>34</v>
      </c>
      <c r="O1023">
        <v>1</v>
      </c>
      <c r="P1023" t="s">
        <v>3923</v>
      </c>
      <c r="Q1023" t="s">
        <v>4729</v>
      </c>
      <c r="R1023" t="s">
        <v>4712</v>
      </c>
      <c r="S1023" t="s">
        <v>4718</v>
      </c>
      <c r="T1023">
        <f t="shared" si="39"/>
        <v>3</v>
      </c>
      <c r="U1023" s="21">
        <f t="shared" si="49"/>
        <v>45264</v>
      </c>
    </row>
    <row r="1024" spans="1:21" x14ac:dyDescent="0.35">
      <c r="A1024" t="s">
        <v>498</v>
      </c>
      <c r="B1024" t="s">
        <v>499</v>
      </c>
      <c r="C1024" t="s">
        <v>19</v>
      </c>
      <c r="D1024" t="s">
        <v>205</v>
      </c>
      <c r="E1024" s="1">
        <v>107.97</v>
      </c>
      <c r="F1024" t="s">
        <v>206</v>
      </c>
      <c r="G1024">
        <v>80</v>
      </c>
      <c r="H1024" s="1">
        <v>86.376000000000005</v>
      </c>
      <c r="I1024" s="21">
        <v>44896</v>
      </c>
      <c r="J1024" s="21">
        <v>44899</v>
      </c>
      <c r="K1024" s="21">
        <f t="shared" si="48"/>
        <v>44899</v>
      </c>
      <c r="L1024" t="s">
        <v>213</v>
      </c>
      <c r="M1024" t="s">
        <v>46</v>
      </c>
      <c r="N1024" t="s">
        <v>47</v>
      </c>
      <c r="O1024">
        <v>1</v>
      </c>
      <c r="P1024" t="s">
        <v>500</v>
      </c>
      <c r="Q1024" t="s">
        <v>4571</v>
      </c>
      <c r="R1024" t="s">
        <v>4713</v>
      </c>
      <c r="S1024" t="s">
        <v>4719</v>
      </c>
      <c r="T1024">
        <f t="shared" si="39"/>
        <v>3</v>
      </c>
      <c r="U1024" s="21">
        <f t="shared" si="49"/>
        <v>45264</v>
      </c>
    </row>
    <row r="1025" spans="1:21" x14ac:dyDescent="0.35">
      <c r="A1025" t="s">
        <v>3918</v>
      </c>
      <c r="B1025" t="s">
        <v>3919</v>
      </c>
      <c r="C1025" t="s">
        <v>30</v>
      </c>
      <c r="D1025" t="s">
        <v>205</v>
      </c>
      <c r="E1025" s="1">
        <v>454.86</v>
      </c>
      <c r="F1025" t="s">
        <v>206</v>
      </c>
      <c r="G1025">
        <v>80</v>
      </c>
      <c r="H1025" s="1">
        <v>363.88800000000003</v>
      </c>
      <c r="I1025" s="21">
        <v>44895</v>
      </c>
      <c r="J1025" s="21">
        <v>44896</v>
      </c>
      <c r="K1025" s="21">
        <f t="shared" si="48"/>
        <v>44896</v>
      </c>
      <c r="L1025" t="s">
        <v>248</v>
      </c>
      <c r="M1025" t="s">
        <v>33</v>
      </c>
      <c r="N1025" t="s">
        <v>34</v>
      </c>
      <c r="O1025">
        <v>1</v>
      </c>
      <c r="P1025" t="s">
        <v>3920</v>
      </c>
      <c r="Q1025" t="s">
        <v>4560</v>
      </c>
      <c r="R1025" t="s">
        <v>4709</v>
      </c>
      <c r="S1025" t="s">
        <v>4717</v>
      </c>
      <c r="T1025">
        <f t="shared" si="39"/>
        <v>1</v>
      </c>
      <c r="U1025" s="21">
        <f t="shared" si="49"/>
        <v>45261</v>
      </c>
    </row>
    <row r="1026" spans="1:21" x14ac:dyDescent="0.35">
      <c r="A1026" t="s">
        <v>3692</v>
      </c>
      <c r="B1026" t="s">
        <v>3693</v>
      </c>
      <c r="C1026" t="s">
        <v>30</v>
      </c>
      <c r="D1026" t="s">
        <v>21</v>
      </c>
      <c r="E1026" s="1">
        <v>30.264000000000003</v>
      </c>
      <c r="F1026" t="s">
        <v>22</v>
      </c>
      <c r="G1026">
        <v>0</v>
      </c>
      <c r="H1026" s="1">
        <v>0</v>
      </c>
      <c r="I1026" s="21">
        <v>44530</v>
      </c>
      <c r="J1026" s="21">
        <v>44531</v>
      </c>
      <c r="K1026" s="21">
        <v>44531</v>
      </c>
      <c r="L1026" t="s">
        <v>24</v>
      </c>
      <c r="M1026" t="s">
        <v>40</v>
      </c>
      <c r="N1026" t="s">
        <v>34</v>
      </c>
      <c r="O1026">
        <v>1</v>
      </c>
      <c r="P1026" t="s">
        <v>609</v>
      </c>
      <c r="Q1026" t="s">
        <v>4580</v>
      </c>
      <c r="R1026" t="s">
        <v>4713</v>
      </c>
      <c r="S1026" t="s">
        <v>4719</v>
      </c>
      <c r="T1026">
        <f t="shared" ref="T1026:T1089" si="50">J1026-I1026</f>
        <v>1</v>
      </c>
      <c r="U1026" s="21">
        <f>J1026</f>
        <v>44531</v>
      </c>
    </row>
    <row r="1027" spans="1:21" x14ac:dyDescent="0.35">
      <c r="A1027" t="s">
        <v>1756</v>
      </c>
      <c r="B1027" t="s">
        <v>1757</v>
      </c>
      <c r="C1027" t="s">
        <v>19</v>
      </c>
      <c r="D1027" t="s">
        <v>212</v>
      </c>
      <c r="E1027" s="1">
        <v>19.440000000000001</v>
      </c>
      <c r="F1027" t="s">
        <v>206</v>
      </c>
      <c r="G1027">
        <v>100</v>
      </c>
      <c r="H1027" s="1">
        <v>19.440000000000001</v>
      </c>
      <c r="I1027" s="21">
        <v>44895</v>
      </c>
      <c r="J1027" s="21">
        <v>44896</v>
      </c>
      <c r="K1027" s="21">
        <f t="shared" ref="K1027:K1032" si="51">J1027</f>
        <v>44896</v>
      </c>
      <c r="L1027" t="s">
        <v>220</v>
      </c>
      <c r="M1027" t="s">
        <v>72</v>
      </c>
      <c r="N1027" t="s">
        <v>73</v>
      </c>
      <c r="O1027">
        <v>1</v>
      </c>
      <c r="P1027" t="s">
        <v>1758</v>
      </c>
      <c r="Q1027" t="s">
        <v>4519</v>
      </c>
      <c r="R1027" t="s">
        <v>4726</v>
      </c>
      <c r="S1027" t="s">
        <v>4717</v>
      </c>
      <c r="T1027">
        <f t="shared" si="50"/>
        <v>1</v>
      </c>
      <c r="U1027" s="21">
        <f t="shared" ref="U1027:U1032" si="52">J1027+365</f>
        <v>45261</v>
      </c>
    </row>
    <row r="1028" spans="1:21" x14ac:dyDescent="0.35">
      <c r="A1028" t="s">
        <v>2907</v>
      </c>
      <c r="B1028" t="s">
        <v>2908</v>
      </c>
      <c r="C1028" t="s">
        <v>30</v>
      </c>
      <c r="D1028" t="s">
        <v>205</v>
      </c>
      <c r="E1028" s="1">
        <v>3.1680000000000001</v>
      </c>
      <c r="F1028" t="s">
        <v>206</v>
      </c>
      <c r="G1028">
        <v>80</v>
      </c>
      <c r="H1028" s="1">
        <v>2.5344000000000002</v>
      </c>
      <c r="I1028" s="21">
        <v>44894</v>
      </c>
      <c r="J1028" s="21">
        <v>44896</v>
      </c>
      <c r="K1028" s="21">
        <f t="shared" si="51"/>
        <v>44896</v>
      </c>
      <c r="L1028" t="s">
        <v>207</v>
      </c>
      <c r="M1028" t="s">
        <v>25</v>
      </c>
      <c r="N1028" t="s">
        <v>26</v>
      </c>
      <c r="O1028">
        <v>1</v>
      </c>
      <c r="P1028" t="s">
        <v>2170</v>
      </c>
      <c r="Q1028" t="s">
        <v>4517</v>
      </c>
      <c r="R1028" t="s">
        <v>4726</v>
      </c>
      <c r="S1028" t="s">
        <v>4717</v>
      </c>
      <c r="T1028">
        <f t="shared" si="50"/>
        <v>2</v>
      </c>
      <c r="U1028" s="21">
        <f t="shared" si="52"/>
        <v>45261</v>
      </c>
    </row>
    <row r="1029" spans="1:21" x14ac:dyDescent="0.35">
      <c r="A1029" t="s">
        <v>2909</v>
      </c>
      <c r="B1029" t="s">
        <v>2910</v>
      </c>
      <c r="C1029" t="s">
        <v>30</v>
      </c>
      <c r="D1029" t="s">
        <v>212</v>
      </c>
      <c r="E1029" s="1">
        <v>17.440000000000001</v>
      </c>
      <c r="F1029" t="s">
        <v>206</v>
      </c>
      <c r="G1029">
        <v>100</v>
      </c>
      <c r="H1029" s="1">
        <v>17.440000000000001</v>
      </c>
      <c r="I1029" s="21">
        <v>44894</v>
      </c>
      <c r="J1029" s="21">
        <v>44900</v>
      </c>
      <c r="K1029" s="21">
        <f t="shared" si="51"/>
        <v>44900</v>
      </c>
      <c r="L1029" t="s">
        <v>220</v>
      </c>
      <c r="M1029" t="s">
        <v>54</v>
      </c>
      <c r="N1029" t="s">
        <v>26</v>
      </c>
      <c r="O1029">
        <v>1</v>
      </c>
      <c r="P1029" t="s">
        <v>2911</v>
      </c>
      <c r="Q1029" t="s">
        <v>4729</v>
      </c>
      <c r="R1029" t="s">
        <v>4721</v>
      </c>
      <c r="S1029" t="s">
        <v>4717</v>
      </c>
      <c r="T1029">
        <f t="shared" si="50"/>
        <v>6</v>
      </c>
      <c r="U1029" s="21">
        <f t="shared" si="52"/>
        <v>45265</v>
      </c>
    </row>
    <row r="1030" spans="1:21" x14ac:dyDescent="0.35">
      <c r="A1030" t="s">
        <v>2905</v>
      </c>
      <c r="B1030" t="s">
        <v>2906</v>
      </c>
      <c r="C1030" t="s">
        <v>19</v>
      </c>
      <c r="D1030" t="s">
        <v>212</v>
      </c>
      <c r="E1030" s="1">
        <v>62.88</v>
      </c>
      <c r="F1030" t="s">
        <v>206</v>
      </c>
      <c r="G1030">
        <v>100</v>
      </c>
      <c r="H1030" s="1">
        <v>62.88</v>
      </c>
      <c r="I1030" s="21">
        <v>44894</v>
      </c>
      <c r="J1030" s="21">
        <v>44898</v>
      </c>
      <c r="K1030" s="21">
        <f t="shared" si="51"/>
        <v>44898</v>
      </c>
      <c r="L1030" t="s">
        <v>238</v>
      </c>
      <c r="M1030" t="s">
        <v>67</v>
      </c>
      <c r="N1030" t="s">
        <v>68</v>
      </c>
      <c r="O1030">
        <v>1</v>
      </c>
      <c r="P1030" t="s">
        <v>1654</v>
      </c>
      <c r="Q1030" t="s">
        <v>4729</v>
      </c>
      <c r="R1030" t="s">
        <v>4726</v>
      </c>
      <c r="S1030" t="s">
        <v>4717</v>
      </c>
      <c r="T1030">
        <f t="shared" si="50"/>
        <v>4</v>
      </c>
      <c r="U1030" s="21">
        <f t="shared" si="52"/>
        <v>45263</v>
      </c>
    </row>
    <row r="1031" spans="1:21" x14ac:dyDescent="0.35">
      <c r="A1031" t="s">
        <v>1753</v>
      </c>
      <c r="B1031" t="s">
        <v>1754</v>
      </c>
      <c r="C1031" t="s">
        <v>19</v>
      </c>
      <c r="D1031" t="s">
        <v>205</v>
      </c>
      <c r="E1031" s="1">
        <v>13.12</v>
      </c>
      <c r="F1031" t="s">
        <v>206</v>
      </c>
      <c r="G1031">
        <v>80</v>
      </c>
      <c r="H1031" s="1">
        <v>10.496</v>
      </c>
      <c r="I1031" s="21">
        <v>44894</v>
      </c>
      <c r="J1031" s="21">
        <v>44899</v>
      </c>
      <c r="K1031" s="21">
        <f t="shared" si="51"/>
        <v>44899</v>
      </c>
      <c r="L1031" t="s">
        <v>248</v>
      </c>
      <c r="M1031" t="s">
        <v>25</v>
      </c>
      <c r="N1031" t="s">
        <v>26</v>
      </c>
      <c r="O1031">
        <v>1</v>
      </c>
      <c r="P1031" t="s">
        <v>1755</v>
      </c>
      <c r="Q1031" t="s">
        <v>4520</v>
      </c>
      <c r="R1031" t="s">
        <v>4710</v>
      </c>
      <c r="S1031" t="s">
        <v>4717</v>
      </c>
      <c r="T1031">
        <f t="shared" si="50"/>
        <v>5</v>
      </c>
      <c r="U1031" s="21">
        <f t="shared" si="52"/>
        <v>45264</v>
      </c>
    </row>
    <row r="1032" spans="1:21" x14ac:dyDescent="0.35">
      <c r="A1032" t="s">
        <v>2902</v>
      </c>
      <c r="B1032" t="s">
        <v>2903</v>
      </c>
      <c r="C1032" t="s">
        <v>30</v>
      </c>
      <c r="D1032" t="s">
        <v>205</v>
      </c>
      <c r="E1032" s="1">
        <v>1.69599999999999</v>
      </c>
      <c r="F1032" t="s">
        <v>206</v>
      </c>
      <c r="G1032">
        <v>80</v>
      </c>
      <c r="H1032" s="1">
        <v>1.356799999999992</v>
      </c>
      <c r="I1032" s="21">
        <v>44894</v>
      </c>
      <c r="J1032" s="21">
        <v>44899</v>
      </c>
      <c r="K1032" s="21">
        <f t="shared" si="51"/>
        <v>44899</v>
      </c>
      <c r="L1032" t="s">
        <v>248</v>
      </c>
      <c r="M1032" t="s">
        <v>33</v>
      </c>
      <c r="N1032" t="s">
        <v>34</v>
      </c>
      <c r="O1032">
        <v>1</v>
      </c>
      <c r="P1032" t="s">
        <v>2904</v>
      </c>
      <c r="Q1032" t="s">
        <v>4729</v>
      </c>
      <c r="R1032" t="s">
        <v>4726</v>
      </c>
      <c r="S1032" t="s">
        <v>4717</v>
      </c>
      <c r="T1032">
        <f t="shared" si="50"/>
        <v>5</v>
      </c>
      <c r="U1032" s="21">
        <f t="shared" si="52"/>
        <v>45264</v>
      </c>
    </row>
    <row r="1033" spans="1:21" x14ac:dyDescent="0.35">
      <c r="A1033" t="s">
        <v>3690</v>
      </c>
      <c r="B1033" t="s">
        <v>3691</v>
      </c>
      <c r="C1033" t="s">
        <v>19</v>
      </c>
      <c r="D1033" t="s">
        <v>21</v>
      </c>
      <c r="E1033" s="1">
        <v>188.94</v>
      </c>
      <c r="F1033" t="s">
        <v>22</v>
      </c>
      <c r="G1033">
        <v>0</v>
      </c>
      <c r="H1033" s="1">
        <v>0</v>
      </c>
      <c r="I1033" s="21">
        <v>44528</v>
      </c>
      <c r="J1033" s="21">
        <v>44530</v>
      </c>
      <c r="K1033" s="21">
        <v>44530</v>
      </c>
      <c r="L1033" t="s">
        <v>45</v>
      </c>
      <c r="M1033" t="s">
        <v>46</v>
      </c>
      <c r="N1033" t="s">
        <v>47</v>
      </c>
      <c r="O1033">
        <v>1</v>
      </c>
      <c r="P1033" t="s">
        <v>2232</v>
      </c>
      <c r="Q1033" t="s">
        <v>4652</v>
      </c>
      <c r="R1033" t="s">
        <v>4711</v>
      </c>
      <c r="S1033" t="s">
        <v>4719</v>
      </c>
      <c r="T1033">
        <f t="shared" si="50"/>
        <v>2</v>
      </c>
      <c r="U1033" s="21">
        <f>J1033</f>
        <v>44530</v>
      </c>
    </row>
    <row r="1034" spans="1:21" x14ac:dyDescent="0.35">
      <c r="A1034" t="s">
        <v>493</v>
      </c>
      <c r="B1034" t="s">
        <v>494</v>
      </c>
      <c r="C1034" t="s">
        <v>19</v>
      </c>
      <c r="D1034" t="s">
        <v>212</v>
      </c>
      <c r="E1034" s="1">
        <v>141.55199999999999</v>
      </c>
      <c r="F1034" t="s">
        <v>206</v>
      </c>
      <c r="G1034">
        <v>100</v>
      </c>
      <c r="H1034" s="1">
        <v>141.55199999999999</v>
      </c>
      <c r="I1034" s="21">
        <v>44893</v>
      </c>
      <c r="J1034" s="21">
        <v>44897</v>
      </c>
      <c r="K1034" s="21">
        <f t="shared" ref="K1034:K1052" si="53">J1034</f>
        <v>44897</v>
      </c>
      <c r="L1034" t="s">
        <v>248</v>
      </c>
      <c r="M1034" t="s">
        <v>33</v>
      </c>
      <c r="N1034" t="s">
        <v>34</v>
      </c>
      <c r="O1034">
        <v>1</v>
      </c>
      <c r="P1034" t="s">
        <v>495</v>
      </c>
      <c r="Q1034" t="s">
        <v>4545</v>
      </c>
      <c r="R1034" t="s">
        <v>4723</v>
      </c>
      <c r="S1034" t="s">
        <v>4718</v>
      </c>
      <c r="T1034">
        <f t="shared" si="50"/>
        <v>4</v>
      </c>
      <c r="U1034" s="21">
        <f t="shared" ref="U1034:U1052" si="54">J1034+365</f>
        <v>45262</v>
      </c>
    </row>
    <row r="1035" spans="1:21" x14ac:dyDescent="0.35">
      <c r="A1035" t="s">
        <v>2899</v>
      </c>
      <c r="B1035" t="s">
        <v>2900</v>
      </c>
      <c r="C1035" t="s">
        <v>19</v>
      </c>
      <c r="D1035" t="s">
        <v>212</v>
      </c>
      <c r="E1035" s="1">
        <v>27.167999999999999</v>
      </c>
      <c r="F1035" t="s">
        <v>206</v>
      </c>
      <c r="G1035">
        <v>100</v>
      </c>
      <c r="H1035" s="1">
        <v>27.167999999999999</v>
      </c>
      <c r="I1035" s="21">
        <v>44893</v>
      </c>
      <c r="J1035" s="21">
        <v>44899</v>
      </c>
      <c r="K1035" s="21">
        <f t="shared" si="53"/>
        <v>44899</v>
      </c>
      <c r="L1035" t="s">
        <v>238</v>
      </c>
      <c r="M1035" t="s">
        <v>72</v>
      </c>
      <c r="N1035" t="s">
        <v>73</v>
      </c>
      <c r="O1035">
        <v>1</v>
      </c>
      <c r="P1035" t="s">
        <v>2901</v>
      </c>
      <c r="Q1035" t="s">
        <v>4538</v>
      </c>
      <c r="R1035" t="s">
        <v>4713</v>
      </c>
      <c r="S1035" t="s">
        <v>4719</v>
      </c>
      <c r="T1035">
        <f t="shared" si="50"/>
        <v>6</v>
      </c>
      <c r="U1035" s="21">
        <f t="shared" si="54"/>
        <v>45264</v>
      </c>
    </row>
    <row r="1036" spans="1:21" x14ac:dyDescent="0.35">
      <c r="A1036" t="s">
        <v>1750</v>
      </c>
      <c r="B1036" t="s">
        <v>1751</v>
      </c>
      <c r="C1036" t="s">
        <v>30</v>
      </c>
      <c r="D1036" t="s">
        <v>212</v>
      </c>
      <c r="E1036" s="1">
        <v>63.823999999999998</v>
      </c>
      <c r="F1036" t="s">
        <v>206</v>
      </c>
      <c r="G1036">
        <v>100</v>
      </c>
      <c r="H1036" s="1">
        <v>63.823999999999998</v>
      </c>
      <c r="I1036" s="21">
        <v>44893</v>
      </c>
      <c r="J1036" s="21">
        <v>44897</v>
      </c>
      <c r="K1036" s="21">
        <f t="shared" si="53"/>
        <v>44897</v>
      </c>
      <c r="L1036" t="s">
        <v>238</v>
      </c>
      <c r="M1036" t="s">
        <v>82</v>
      </c>
      <c r="N1036" t="s">
        <v>47</v>
      </c>
      <c r="O1036">
        <v>1</v>
      </c>
      <c r="P1036" t="s">
        <v>1752</v>
      </c>
      <c r="Q1036" t="s">
        <v>4729</v>
      </c>
      <c r="R1036" t="s">
        <v>4721</v>
      </c>
      <c r="S1036" t="s">
        <v>4718</v>
      </c>
      <c r="T1036">
        <f t="shared" si="50"/>
        <v>4</v>
      </c>
      <c r="U1036" s="21">
        <f t="shared" si="54"/>
        <v>45262</v>
      </c>
    </row>
    <row r="1037" spans="1:21" x14ac:dyDescent="0.35">
      <c r="A1037" t="s">
        <v>3916</v>
      </c>
      <c r="B1037" t="s">
        <v>3917</v>
      </c>
      <c r="C1037" t="s">
        <v>30</v>
      </c>
      <c r="D1037" t="s">
        <v>205</v>
      </c>
      <c r="E1037" s="1">
        <v>7.23</v>
      </c>
      <c r="F1037" t="s">
        <v>206</v>
      </c>
      <c r="G1037">
        <v>80</v>
      </c>
      <c r="H1037" s="1">
        <v>5.7840000000000007</v>
      </c>
      <c r="I1037" s="21">
        <v>44893</v>
      </c>
      <c r="J1037" s="21">
        <v>44899</v>
      </c>
      <c r="K1037" s="21">
        <f t="shared" si="53"/>
        <v>44899</v>
      </c>
      <c r="L1037" t="s">
        <v>248</v>
      </c>
      <c r="M1037" t="s">
        <v>67</v>
      </c>
      <c r="N1037" t="s">
        <v>68</v>
      </c>
      <c r="O1037">
        <v>1</v>
      </c>
      <c r="P1037" t="s">
        <v>1880</v>
      </c>
      <c r="Q1037" t="s">
        <v>4515</v>
      </c>
      <c r="R1037" t="s">
        <v>4726</v>
      </c>
      <c r="S1037" t="s">
        <v>4717</v>
      </c>
      <c r="T1037">
        <f t="shared" si="50"/>
        <v>6</v>
      </c>
      <c r="U1037" s="21">
        <f t="shared" si="54"/>
        <v>45264</v>
      </c>
    </row>
    <row r="1038" spans="1:21" x14ac:dyDescent="0.35">
      <c r="A1038" t="s">
        <v>1748</v>
      </c>
      <c r="B1038" t="s">
        <v>1749</v>
      </c>
      <c r="C1038" t="s">
        <v>30</v>
      </c>
      <c r="D1038" t="s">
        <v>205</v>
      </c>
      <c r="E1038" s="1">
        <v>106.32</v>
      </c>
      <c r="F1038" t="s">
        <v>206</v>
      </c>
      <c r="G1038">
        <v>80</v>
      </c>
      <c r="H1038" s="1">
        <v>85.055999999999997</v>
      </c>
      <c r="I1038" s="21">
        <v>44892</v>
      </c>
      <c r="J1038" s="21">
        <v>44896</v>
      </c>
      <c r="K1038" s="21">
        <f t="shared" si="53"/>
        <v>44896</v>
      </c>
      <c r="L1038" t="s">
        <v>234</v>
      </c>
      <c r="M1038" t="s">
        <v>40</v>
      </c>
      <c r="N1038" t="s">
        <v>34</v>
      </c>
      <c r="O1038">
        <v>1</v>
      </c>
      <c r="P1038" t="s">
        <v>1202</v>
      </c>
      <c r="Q1038" t="s">
        <v>4729</v>
      </c>
      <c r="R1038" t="s">
        <v>4726</v>
      </c>
      <c r="S1038" t="s">
        <v>4717</v>
      </c>
      <c r="T1038">
        <f t="shared" si="50"/>
        <v>4</v>
      </c>
      <c r="U1038" s="21">
        <f t="shared" si="54"/>
        <v>45261</v>
      </c>
    </row>
    <row r="1039" spans="1:21" x14ac:dyDescent="0.35">
      <c r="A1039" t="s">
        <v>1745</v>
      </c>
      <c r="B1039" t="s">
        <v>1746</v>
      </c>
      <c r="C1039" t="s">
        <v>19</v>
      </c>
      <c r="D1039" t="s">
        <v>212</v>
      </c>
      <c r="E1039" s="1">
        <v>541.24</v>
      </c>
      <c r="F1039" t="s">
        <v>206</v>
      </c>
      <c r="G1039">
        <v>100</v>
      </c>
      <c r="H1039" s="1">
        <v>541.24</v>
      </c>
      <c r="I1039" s="21">
        <v>44892</v>
      </c>
      <c r="J1039" s="21">
        <v>44897</v>
      </c>
      <c r="K1039" s="21">
        <f t="shared" si="53"/>
        <v>44897</v>
      </c>
      <c r="L1039" t="s">
        <v>238</v>
      </c>
      <c r="M1039" t="s">
        <v>40</v>
      </c>
      <c r="N1039" t="s">
        <v>34</v>
      </c>
      <c r="O1039">
        <v>1</v>
      </c>
      <c r="P1039" t="s">
        <v>1747</v>
      </c>
      <c r="Q1039" t="s">
        <v>4729</v>
      </c>
      <c r="R1039" t="s">
        <v>4709</v>
      </c>
      <c r="S1039" t="s">
        <v>4717</v>
      </c>
      <c r="T1039">
        <f t="shared" si="50"/>
        <v>5</v>
      </c>
      <c r="U1039" s="21">
        <f t="shared" si="54"/>
        <v>45262</v>
      </c>
    </row>
    <row r="1040" spans="1:21" x14ac:dyDescent="0.35">
      <c r="A1040" t="s">
        <v>3913</v>
      </c>
      <c r="B1040" t="s">
        <v>3914</v>
      </c>
      <c r="C1040" t="s">
        <v>30</v>
      </c>
      <c r="D1040" t="s">
        <v>205</v>
      </c>
      <c r="E1040" s="1">
        <v>861.76</v>
      </c>
      <c r="F1040" t="s">
        <v>206</v>
      </c>
      <c r="G1040">
        <v>80</v>
      </c>
      <c r="H1040" s="1">
        <v>689.40800000000002</v>
      </c>
      <c r="I1040" s="21">
        <v>44891</v>
      </c>
      <c r="J1040" s="21">
        <v>44895</v>
      </c>
      <c r="K1040" s="21">
        <f t="shared" si="53"/>
        <v>44895</v>
      </c>
      <c r="L1040" t="s">
        <v>213</v>
      </c>
      <c r="M1040" t="s">
        <v>54</v>
      </c>
      <c r="N1040" t="s">
        <v>26</v>
      </c>
      <c r="O1040">
        <v>1</v>
      </c>
      <c r="P1040" t="s">
        <v>3915</v>
      </c>
      <c r="Q1040" t="s">
        <v>4685</v>
      </c>
      <c r="R1040" t="s">
        <v>4711</v>
      </c>
      <c r="S1040" t="s">
        <v>4719</v>
      </c>
      <c r="T1040">
        <f t="shared" si="50"/>
        <v>4</v>
      </c>
      <c r="U1040" s="21">
        <f t="shared" si="54"/>
        <v>45260</v>
      </c>
    </row>
    <row r="1041" spans="1:21" x14ac:dyDescent="0.35">
      <c r="A1041" t="s">
        <v>490</v>
      </c>
      <c r="B1041" t="s">
        <v>491</v>
      </c>
      <c r="C1041" t="s">
        <v>30</v>
      </c>
      <c r="D1041" t="s">
        <v>212</v>
      </c>
      <c r="E1041" s="1">
        <v>5.984</v>
      </c>
      <c r="F1041" t="s">
        <v>206</v>
      </c>
      <c r="G1041">
        <v>100</v>
      </c>
      <c r="H1041" s="1">
        <v>5.984</v>
      </c>
      <c r="I1041" s="21">
        <v>44888</v>
      </c>
      <c r="J1041" s="21">
        <v>44892</v>
      </c>
      <c r="K1041" s="21">
        <f t="shared" si="53"/>
        <v>44892</v>
      </c>
      <c r="L1041" t="s">
        <v>220</v>
      </c>
      <c r="M1041" t="s">
        <v>54</v>
      </c>
      <c r="N1041" t="s">
        <v>26</v>
      </c>
      <c r="O1041">
        <v>1</v>
      </c>
      <c r="P1041" t="s">
        <v>492</v>
      </c>
      <c r="Q1041" t="s">
        <v>4570</v>
      </c>
      <c r="R1041" t="s">
        <v>4726</v>
      </c>
      <c r="S1041" t="s">
        <v>4717</v>
      </c>
      <c r="T1041">
        <f t="shared" si="50"/>
        <v>4</v>
      </c>
      <c r="U1041" s="21">
        <f t="shared" si="54"/>
        <v>45257</v>
      </c>
    </row>
    <row r="1042" spans="1:21" x14ac:dyDescent="0.35">
      <c r="A1042" t="s">
        <v>3911</v>
      </c>
      <c r="B1042" t="s">
        <v>3912</v>
      </c>
      <c r="C1042" t="s">
        <v>19</v>
      </c>
      <c r="D1042" t="s">
        <v>212</v>
      </c>
      <c r="E1042" s="1">
        <v>36.6</v>
      </c>
      <c r="F1042" t="s">
        <v>206</v>
      </c>
      <c r="G1042">
        <v>100</v>
      </c>
      <c r="H1042" s="1">
        <v>36.6</v>
      </c>
      <c r="I1042" s="21">
        <v>44888</v>
      </c>
      <c r="J1042" s="21">
        <v>44892</v>
      </c>
      <c r="K1042" s="21">
        <f t="shared" si="53"/>
        <v>44892</v>
      </c>
      <c r="L1042" t="s">
        <v>220</v>
      </c>
      <c r="M1042" t="s">
        <v>146</v>
      </c>
      <c r="N1042" t="s">
        <v>73</v>
      </c>
      <c r="O1042">
        <v>1</v>
      </c>
      <c r="P1042" t="s">
        <v>59</v>
      </c>
      <c r="Q1042" t="s">
        <v>4518</v>
      </c>
      <c r="R1042" t="s">
        <v>4721</v>
      </c>
      <c r="S1042" t="s">
        <v>4718</v>
      </c>
      <c r="T1042">
        <f t="shared" si="50"/>
        <v>4</v>
      </c>
      <c r="U1042" s="21">
        <f t="shared" si="54"/>
        <v>45257</v>
      </c>
    </row>
    <row r="1043" spans="1:21" x14ac:dyDescent="0.35">
      <c r="A1043" t="s">
        <v>2890</v>
      </c>
      <c r="B1043" t="s">
        <v>2891</v>
      </c>
      <c r="C1043" t="s">
        <v>19</v>
      </c>
      <c r="D1043" t="s">
        <v>205</v>
      </c>
      <c r="E1043" s="1">
        <v>696.42</v>
      </c>
      <c r="F1043" t="s">
        <v>206</v>
      </c>
      <c r="G1043">
        <v>80</v>
      </c>
      <c r="H1043" s="1">
        <v>557.13599999999997</v>
      </c>
      <c r="I1043" s="21">
        <v>44888</v>
      </c>
      <c r="J1043" s="21">
        <v>44892</v>
      </c>
      <c r="K1043" s="21">
        <f t="shared" si="53"/>
        <v>44892</v>
      </c>
      <c r="L1043" t="s">
        <v>213</v>
      </c>
      <c r="M1043" t="s">
        <v>72</v>
      </c>
      <c r="N1043" t="s">
        <v>73</v>
      </c>
      <c r="O1043">
        <v>1</v>
      </c>
      <c r="P1043" t="s">
        <v>2892</v>
      </c>
      <c r="Q1043" t="s">
        <v>4602</v>
      </c>
      <c r="R1043" t="s">
        <v>4712</v>
      </c>
      <c r="S1043" t="s">
        <v>4718</v>
      </c>
      <c r="T1043">
        <f t="shared" si="50"/>
        <v>4</v>
      </c>
      <c r="U1043" s="21">
        <f t="shared" si="54"/>
        <v>45257</v>
      </c>
    </row>
    <row r="1044" spans="1:21" x14ac:dyDescent="0.35">
      <c r="A1044" t="s">
        <v>2896</v>
      </c>
      <c r="B1044" t="s">
        <v>2897</v>
      </c>
      <c r="C1044" t="s">
        <v>19</v>
      </c>
      <c r="D1044" t="s">
        <v>212</v>
      </c>
      <c r="E1044" s="1">
        <v>344.37200000000001</v>
      </c>
      <c r="F1044" t="s">
        <v>206</v>
      </c>
      <c r="G1044">
        <v>100</v>
      </c>
      <c r="H1044" s="1">
        <v>344.37200000000001</v>
      </c>
      <c r="I1044" s="21">
        <v>44888</v>
      </c>
      <c r="J1044" s="21">
        <v>44889</v>
      </c>
      <c r="K1044" s="21">
        <f t="shared" si="53"/>
        <v>44889</v>
      </c>
      <c r="L1044" t="s">
        <v>238</v>
      </c>
      <c r="M1044" t="s">
        <v>146</v>
      </c>
      <c r="N1044" t="s">
        <v>73</v>
      </c>
      <c r="O1044">
        <v>1</v>
      </c>
      <c r="P1044" t="s">
        <v>2898</v>
      </c>
      <c r="Q1044" t="s">
        <v>4567</v>
      </c>
      <c r="R1044" t="s">
        <v>4714</v>
      </c>
      <c r="S1044" t="s">
        <v>4718</v>
      </c>
      <c r="T1044">
        <f t="shared" si="50"/>
        <v>1</v>
      </c>
      <c r="U1044" s="21">
        <f t="shared" si="54"/>
        <v>45254</v>
      </c>
    </row>
    <row r="1045" spans="1:21" x14ac:dyDescent="0.35">
      <c r="A1045" t="s">
        <v>2893</v>
      </c>
      <c r="B1045" t="s">
        <v>2894</v>
      </c>
      <c r="C1045" t="s">
        <v>19</v>
      </c>
      <c r="D1045" t="s">
        <v>205</v>
      </c>
      <c r="E1045" s="1">
        <v>572.16</v>
      </c>
      <c r="F1045" t="s">
        <v>206</v>
      </c>
      <c r="G1045">
        <v>80</v>
      </c>
      <c r="H1045" s="1">
        <v>457.72800000000001</v>
      </c>
      <c r="I1045" s="21">
        <v>44888</v>
      </c>
      <c r="J1045" s="21">
        <v>44893</v>
      </c>
      <c r="K1045" s="21">
        <f t="shared" si="53"/>
        <v>44893</v>
      </c>
      <c r="L1045" t="s">
        <v>213</v>
      </c>
      <c r="M1045" t="s">
        <v>54</v>
      </c>
      <c r="N1045" t="s">
        <v>26</v>
      </c>
      <c r="O1045">
        <v>1</v>
      </c>
      <c r="P1045" t="s">
        <v>2895</v>
      </c>
      <c r="Q1045" t="s">
        <v>4581</v>
      </c>
      <c r="R1045" t="s">
        <v>4714</v>
      </c>
      <c r="S1045" t="s">
        <v>4718</v>
      </c>
      <c r="T1045">
        <f t="shared" si="50"/>
        <v>5</v>
      </c>
      <c r="U1045" s="21">
        <f t="shared" si="54"/>
        <v>45258</v>
      </c>
    </row>
    <row r="1046" spans="1:21" x14ac:dyDescent="0.35">
      <c r="A1046" t="s">
        <v>1742</v>
      </c>
      <c r="B1046" t="s">
        <v>1743</v>
      </c>
      <c r="C1046" t="s">
        <v>19</v>
      </c>
      <c r="D1046" t="s">
        <v>205</v>
      </c>
      <c r="E1046" s="1">
        <v>47.984000000000002</v>
      </c>
      <c r="F1046" t="s">
        <v>206</v>
      </c>
      <c r="G1046">
        <v>80</v>
      </c>
      <c r="H1046" s="1">
        <v>38.387200000000007</v>
      </c>
      <c r="I1046" s="21">
        <v>44887</v>
      </c>
      <c r="J1046" s="21">
        <v>44890</v>
      </c>
      <c r="K1046" s="21">
        <f t="shared" si="53"/>
        <v>44890</v>
      </c>
      <c r="L1046" t="s">
        <v>234</v>
      </c>
      <c r="M1046" t="s">
        <v>40</v>
      </c>
      <c r="N1046" t="s">
        <v>34</v>
      </c>
      <c r="O1046">
        <v>1</v>
      </c>
      <c r="P1046" t="s">
        <v>1744</v>
      </c>
      <c r="Q1046" t="s">
        <v>4729</v>
      </c>
      <c r="R1046" t="s">
        <v>4713</v>
      </c>
      <c r="S1046" t="s">
        <v>4719</v>
      </c>
      <c r="T1046">
        <f t="shared" si="50"/>
        <v>3</v>
      </c>
      <c r="U1046" s="21">
        <f t="shared" si="54"/>
        <v>45255</v>
      </c>
    </row>
    <row r="1047" spans="1:21" x14ac:dyDescent="0.35">
      <c r="A1047" t="s">
        <v>2887</v>
      </c>
      <c r="B1047" t="s">
        <v>2888</v>
      </c>
      <c r="C1047" t="s">
        <v>30</v>
      </c>
      <c r="D1047" t="s">
        <v>212</v>
      </c>
      <c r="E1047" s="1">
        <v>39.96</v>
      </c>
      <c r="F1047" t="s">
        <v>206</v>
      </c>
      <c r="G1047">
        <v>100</v>
      </c>
      <c r="H1047" s="1">
        <v>39.96</v>
      </c>
      <c r="I1047" s="21">
        <v>44886</v>
      </c>
      <c r="J1047" s="21">
        <v>44890</v>
      </c>
      <c r="K1047" s="21">
        <f t="shared" si="53"/>
        <v>44890</v>
      </c>
      <c r="L1047" t="s">
        <v>220</v>
      </c>
      <c r="M1047" t="s">
        <v>82</v>
      </c>
      <c r="N1047" t="s">
        <v>47</v>
      </c>
      <c r="O1047">
        <v>1</v>
      </c>
      <c r="P1047" t="s">
        <v>2889</v>
      </c>
      <c r="Q1047" t="s">
        <v>4729</v>
      </c>
      <c r="R1047" t="s">
        <v>4722</v>
      </c>
      <c r="S1047" t="s">
        <v>4718</v>
      </c>
      <c r="T1047">
        <f t="shared" si="50"/>
        <v>4</v>
      </c>
      <c r="U1047" s="21">
        <f t="shared" si="54"/>
        <v>45255</v>
      </c>
    </row>
    <row r="1048" spans="1:21" x14ac:dyDescent="0.35">
      <c r="A1048" t="s">
        <v>1739</v>
      </c>
      <c r="B1048" t="s">
        <v>1740</v>
      </c>
      <c r="C1048" t="s">
        <v>30</v>
      </c>
      <c r="D1048" t="s">
        <v>212</v>
      </c>
      <c r="E1048" s="1">
        <v>42.28</v>
      </c>
      <c r="F1048" t="s">
        <v>206</v>
      </c>
      <c r="G1048">
        <v>100</v>
      </c>
      <c r="H1048" s="1">
        <v>42.28</v>
      </c>
      <c r="I1048" s="21">
        <v>44886</v>
      </c>
      <c r="J1048" s="21">
        <v>44890</v>
      </c>
      <c r="K1048" s="21">
        <f t="shared" si="53"/>
        <v>44890</v>
      </c>
      <c r="L1048" t="s">
        <v>238</v>
      </c>
      <c r="M1048" t="s">
        <v>25</v>
      </c>
      <c r="N1048" t="s">
        <v>26</v>
      </c>
      <c r="O1048">
        <v>1</v>
      </c>
      <c r="P1048" t="s">
        <v>1741</v>
      </c>
      <c r="Q1048" t="s">
        <v>4615</v>
      </c>
      <c r="R1048" t="s">
        <v>4726</v>
      </c>
      <c r="S1048" t="s">
        <v>4717</v>
      </c>
      <c r="T1048">
        <f t="shared" si="50"/>
        <v>4</v>
      </c>
      <c r="U1048" s="21">
        <f t="shared" si="54"/>
        <v>45255</v>
      </c>
    </row>
    <row r="1049" spans="1:21" x14ac:dyDescent="0.35">
      <c r="A1049" t="s">
        <v>1733</v>
      </c>
      <c r="B1049" t="s">
        <v>1734</v>
      </c>
      <c r="C1049" t="s">
        <v>30</v>
      </c>
      <c r="D1049" t="s">
        <v>205</v>
      </c>
      <c r="E1049" s="1">
        <v>377.97</v>
      </c>
      <c r="F1049" t="s">
        <v>206</v>
      </c>
      <c r="G1049">
        <v>80</v>
      </c>
      <c r="H1049" s="1">
        <v>302.37600000000003</v>
      </c>
      <c r="I1049" s="21">
        <v>44886</v>
      </c>
      <c r="J1049" s="21">
        <v>44892</v>
      </c>
      <c r="K1049" s="21">
        <f t="shared" si="53"/>
        <v>44892</v>
      </c>
      <c r="L1049" t="s">
        <v>234</v>
      </c>
      <c r="M1049" t="s">
        <v>146</v>
      </c>
      <c r="N1049" t="s">
        <v>73</v>
      </c>
      <c r="O1049">
        <v>1</v>
      </c>
      <c r="P1049" t="s">
        <v>1735</v>
      </c>
      <c r="Q1049" t="s">
        <v>4639</v>
      </c>
      <c r="R1049" t="s">
        <v>4711</v>
      </c>
      <c r="S1049" t="s">
        <v>4719</v>
      </c>
      <c r="T1049">
        <f t="shared" si="50"/>
        <v>6</v>
      </c>
      <c r="U1049" s="21">
        <f t="shared" si="54"/>
        <v>45257</v>
      </c>
    </row>
    <row r="1050" spans="1:21" x14ac:dyDescent="0.35">
      <c r="A1050" t="s">
        <v>3909</v>
      </c>
      <c r="B1050" t="s">
        <v>3910</v>
      </c>
      <c r="C1050" t="s">
        <v>30</v>
      </c>
      <c r="D1050" t="s">
        <v>205</v>
      </c>
      <c r="E1050" s="1">
        <v>64.784000000000006</v>
      </c>
      <c r="F1050" t="s">
        <v>206</v>
      </c>
      <c r="G1050">
        <v>80</v>
      </c>
      <c r="H1050" s="1">
        <v>51.827200000000005</v>
      </c>
      <c r="I1050" s="21">
        <v>44886</v>
      </c>
      <c r="J1050" s="21">
        <v>44890</v>
      </c>
      <c r="K1050" s="21">
        <f t="shared" si="53"/>
        <v>44890</v>
      </c>
      <c r="L1050" t="s">
        <v>238</v>
      </c>
      <c r="M1050" t="s">
        <v>67</v>
      </c>
      <c r="N1050" t="s">
        <v>68</v>
      </c>
      <c r="O1050">
        <v>1</v>
      </c>
      <c r="P1050" t="s">
        <v>1164</v>
      </c>
      <c r="Q1050" t="s">
        <v>4577</v>
      </c>
      <c r="R1050" t="s">
        <v>4709</v>
      </c>
      <c r="S1050" t="s">
        <v>4718</v>
      </c>
      <c r="T1050">
        <f t="shared" si="50"/>
        <v>4</v>
      </c>
      <c r="U1050" s="21">
        <f t="shared" si="54"/>
        <v>45255</v>
      </c>
    </row>
    <row r="1051" spans="1:21" x14ac:dyDescent="0.35">
      <c r="A1051" t="s">
        <v>1736</v>
      </c>
      <c r="B1051" t="s">
        <v>1737</v>
      </c>
      <c r="C1051" t="s">
        <v>30</v>
      </c>
      <c r="D1051" t="s">
        <v>212</v>
      </c>
      <c r="E1051" s="1">
        <v>76.14</v>
      </c>
      <c r="F1051" t="s">
        <v>206</v>
      </c>
      <c r="G1051">
        <v>100</v>
      </c>
      <c r="H1051" s="1">
        <v>76.14</v>
      </c>
      <c r="I1051" s="21">
        <v>44886</v>
      </c>
      <c r="J1051" s="21">
        <v>44892</v>
      </c>
      <c r="K1051" s="21">
        <f t="shared" si="53"/>
        <v>44892</v>
      </c>
      <c r="L1051" t="s">
        <v>220</v>
      </c>
      <c r="M1051" t="s">
        <v>72</v>
      </c>
      <c r="N1051" t="s">
        <v>73</v>
      </c>
      <c r="O1051">
        <v>1</v>
      </c>
      <c r="P1051" t="s">
        <v>1738</v>
      </c>
      <c r="Q1051" t="s">
        <v>4729</v>
      </c>
      <c r="R1051" t="s">
        <v>4722</v>
      </c>
      <c r="S1051" t="s">
        <v>4718</v>
      </c>
      <c r="T1051">
        <f t="shared" si="50"/>
        <v>6</v>
      </c>
      <c r="U1051" s="21">
        <f t="shared" si="54"/>
        <v>45257</v>
      </c>
    </row>
    <row r="1052" spans="1:21" x14ac:dyDescent="0.35">
      <c r="A1052" t="s">
        <v>488</v>
      </c>
      <c r="B1052" t="s">
        <v>489</v>
      </c>
      <c r="C1052" t="s">
        <v>30</v>
      </c>
      <c r="D1052" t="s">
        <v>205</v>
      </c>
      <c r="E1052" s="1">
        <v>230.352</v>
      </c>
      <c r="F1052" t="s">
        <v>206</v>
      </c>
      <c r="G1052">
        <v>80</v>
      </c>
      <c r="H1052" s="1">
        <v>184.28160000000003</v>
      </c>
      <c r="I1052" s="21">
        <v>44886</v>
      </c>
      <c r="J1052" s="21">
        <v>44890</v>
      </c>
      <c r="K1052" s="21">
        <f t="shared" si="53"/>
        <v>44890</v>
      </c>
      <c r="L1052" t="s">
        <v>234</v>
      </c>
      <c r="M1052" t="s">
        <v>54</v>
      </c>
      <c r="N1052" t="s">
        <v>26</v>
      </c>
      <c r="O1052">
        <v>1</v>
      </c>
      <c r="P1052" t="s">
        <v>463</v>
      </c>
      <c r="Q1052" t="s">
        <v>4567</v>
      </c>
      <c r="R1052" t="s">
        <v>4714</v>
      </c>
      <c r="S1052" t="s">
        <v>4718</v>
      </c>
      <c r="T1052">
        <f t="shared" si="50"/>
        <v>4</v>
      </c>
      <c r="U1052" s="21">
        <f t="shared" si="54"/>
        <v>45255</v>
      </c>
    </row>
    <row r="1053" spans="1:21" x14ac:dyDescent="0.35">
      <c r="A1053" t="s">
        <v>2575</v>
      </c>
      <c r="B1053" t="s">
        <v>2576</v>
      </c>
      <c r="C1053" t="s">
        <v>30</v>
      </c>
      <c r="D1053" t="s">
        <v>21</v>
      </c>
      <c r="E1053" s="1">
        <v>139.816</v>
      </c>
      <c r="F1053" t="s">
        <v>22</v>
      </c>
      <c r="G1053">
        <v>0</v>
      </c>
      <c r="H1053" s="1">
        <v>0</v>
      </c>
      <c r="I1053" s="21">
        <v>44521</v>
      </c>
      <c r="J1053" s="21">
        <v>44522</v>
      </c>
      <c r="K1053" s="21">
        <v>44522</v>
      </c>
      <c r="L1053" t="s">
        <v>53</v>
      </c>
      <c r="M1053" t="s">
        <v>46</v>
      </c>
      <c r="N1053" t="s">
        <v>47</v>
      </c>
      <c r="O1053">
        <v>1</v>
      </c>
      <c r="P1053" t="s">
        <v>2577</v>
      </c>
      <c r="Q1053" t="s">
        <v>4729</v>
      </c>
      <c r="R1053" t="s">
        <v>4726</v>
      </c>
      <c r="S1053" t="s">
        <v>4717</v>
      </c>
      <c r="T1053">
        <f t="shared" si="50"/>
        <v>1</v>
      </c>
      <c r="U1053" s="21">
        <f>J1053</f>
        <v>44522</v>
      </c>
    </row>
    <row r="1054" spans="1:21" x14ac:dyDescent="0.35">
      <c r="A1054" t="s">
        <v>1730</v>
      </c>
      <c r="B1054" t="s">
        <v>1731</v>
      </c>
      <c r="C1054" t="s">
        <v>30</v>
      </c>
      <c r="D1054" t="s">
        <v>205</v>
      </c>
      <c r="E1054" s="1">
        <v>29.96</v>
      </c>
      <c r="F1054" t="s">
        <v>206</v>
      </c>
      <c r="G1054">
        <v>80</v>
      </c>
      <c r="H1054" s="1">
        <v>23.968000000000004</v>
      </c>
      <c r="I1054" s="21">
        <v>44885</v>
      </c>
      <c r="J1054" s="21">
        <v>44892</v>
      </c>
      <c r="K1054" s="21">
        <f t="shared" ref="K1054:K1059" si="55">J1054</f>
        <v>44892</v>
      </c>
      <c r="L1054" t="s">
        <v>238</v>
      </c>
      <c r="M1054" t="s">
        <v>40</v>
      </c>
      <c r="N1054" t="s">
        <v>34</v>
      </c>
      <c r="O1054">
        <v>1</v>
      </c>
      <c r="P1054" t="s">
        <v>1732</v>
      </c>
      <c r="Q1054" t="s">
        <v>4519</v>
      </c>
      <c r="R1054" t="s">
        <v>4726</v>
      </c>
      <c r="S1054" t="s">
        <v>4717</v>
      </c>
      <c r="T1054">
        <f t="shared" si="50"/>
        <v>7</v>
      </c>
      <c r="U1054" s="21">
        <f t="shared" ref="U1054:U1059" si="56">J1054+365</f>
        <v>45257</v>
      </c>
    </row>
    <row r="1055" spans="1:21" x14ac:dyDescent="0.35">
      <c r="A1055" t="s">
        <v>1727</v>
      </c>
      <c r="B1055" t="s">
        <v>1728</v>
      </c>
      <c r="C1055" t="s">
        <v>19</v>
      </c>
      <c r="D1055" t="s">
        <v>212</v>
      </c>
      <c r="E1055" s="1">
        <v>96.08</v>
      </c>
      <c r="F1055" t="s">
        <v>206</v>
      </c>
      <c r="G1055">
        <v>100</v>
      </c>
      <c r="H1055" s="1">
        <v>96.08</v>
      </c>
      <c r="I1055" s="21">
        <v>44885</v>
      </c>
      <c r="J1055" s="21">
        <v>44887</v>
      </c>
      <c r="K1055" s="21">
        <f t="shared" si="55"/>
        <v>44887</v>
      </c>
      <c r="L1055" t="s">
        <v>234</v>
      </c>
      <c r="M1055" t="s">
        <v>54</v>
      </c>
      <c r="N1055" t="s">
        <v>26</v>
      </c>
      <c r="O1055">
        <v>1</v>
      </c>
      <c r="P1055" t="s">
        <v>1729</v>
      </c>
      <c r="Q1055" t="s">
        <v>4519</v>
      </c>
      <c r="R1055" t="s">
        <v>4726</v>
      </c>
      <c r="S1055" t="s">
        <v>4717</v>
      </c>
      <c r="T1055">
        <f t="shared" si="50"/>
        <v>2</v>
      </c>
      <c r="U1055" s="21">
        <f t="shared" si="56"/>
        <v>45252</v>
      </c>
    </row>
    <row r="1056" spans="1:21" x14ac:dyDescent="0.35">
      <c r="A1056" t="s">
        <v>1724</v>
      </c>
      <c r="B1056" t="s">
        <v>1725</v>
      </c>
      <c r="C1056" t="s">
        <v>30</v>
      </c>
      <c r="D1056" t="s">
        <v>212</v>
      </c>
      <c r="E1056" s="1">
        <v>50.97</v>
      </c>
      <c r="F1056" t="s">
        <v>206</v>
      </c>
      <c r="G1056">
        <v>100</v>
      </c>
      <c r="H1056" s="1">
        <v>50.97</v>
      </c>
      <c r="I1056" s="21">
        <v>44883</v>
      </c>
      <c r="J1056" s="21">
        <v>44887</v>
      </c>
      <c r="K1056" s="21">
        <f t="shared" si="55"/>
        <v>44887</v>
      </c>
      <c r="L1056" t="s">
        <v>213</v>
      </c>
      <c r="M1056" t="s">
        <v>72</v>
      </c>
      <c r="N1056" t="s">
        <v>73</v>
      </c>
      <c r="O1056">
        <v>1</v>
      </c>
      <c r="P1056" t="s">
        <v>1726</v>
      </c>
      <c r="Q1056" t="s">
        <v>4729</v>
      </c>
      <c r="R1056" t="s">
        <v>4721</v>
      </c>
      <c r="S1056" t="s">
        <v>4717</v>
      </c>
      <c r="T1056">
        <f t="shared" si="50"/>
        <v>4</v>
      </c>
      <c r="U1056" s="21">
        <f t="shared" si="56"/>
        <v>45252</v>
      </c>
    </row>
    <row r="1057" spans="1:21" x14ac:dyDescent="0.35">
      <c r="A1057" t="s">
        <v>1718</v>
      </c>
      <c r="B1057" t="s">
        <v>1719</v>
      </c>
      <c r="C1057" t="s">
        <v>30</v>
      </c>
      <c r="D1057" t="s">
        <v>212</v>
      </c>
      <c r="E1057" s="1">
        <v>17.940000000000001</v>
      </c>
      <c r="F1057" t="s">
        <v>206</v>
      </c>
      <c r="G1057">
        <v>100</v>
      </c>
      <c r="H1057" s="1">
        <v>17.940000000000001</v>
      </c>
      <c r="I1057" s="21">
        <v>44882</v>
      </c>
      <c r="J1057" s="21">
        <v>44884</v>
      </c>
      <c r="K1057" s="21">
        <f t="shared" si="55"/>
        <v>44884</v>
      </c>
      <c r="L1057" t="s">
        <v>220</v>
      </c>
      <c r="M1057" t="s">
        <v>25</v>
      </c>
      <c r="N1057" t="s">
        <v>26</v>
      </c>
      <c r="O1057">
        <v>1</v>
      </c>
      <c r="P1057" t="s">
        <v>1720</v>
      </c>
      <c r="Q1057" t="s">
        <v>4638</v>
      </c>
      <c r="R1057" t="s">
        <v>4709</v>
      </c>
      <c r="S1057" t="s">
        <v>4717</v>
      </c>
      <c r="T1057">
        <f t="shared" si="50"/>
        <v>2</v>
      </c>
      <c r="U1057" s="21">
        <f t="shared" si="56"/>
        <v>45249</v>
      </c>
    </row>
    <row r="1058" spans="1:21" x14ac:dyDescent="0.35">
      <c r="A1058" t="s">
        <v>1721</v>
      </c>
      <c r="B1058" t="s">
        <v>1722</v>
      </c>
      <c r="C1058" t="s">
        <v>30</v>
      </c>
      <c r="D1058" t="s">
        <v>205</v>
      </c>
      <c r="E1058" s="1">
        <v>39.878999999999998</v>
      </c>
      <c r="F1058" t="s">
        <v>206</v>
      </c>
      <c r="G1058">
        <v>80</v>
      </c>
      <c r="H1058" s="1">
        <v>31.903199999999998</v>
      </c>
      <c r="I1058" s="21">
        <v>44882</v>
      </c>
      <c r="J1058" s="21">
        <v>44888</v>
      </c>
      <c r="K1058" s="21">
        <f t="shared" si="55"/>
        <v>44888</v>
      </c>
      <c r="L1058" t="s">
        <v>207</v>
      </c>
      <c r="M1058" t="s">
        <v>25</v>
      </c>
      <c r="N1058" t="s">
        <v>26</v>
      </c>
      <c r="O1058">
        <v>1</v>
      </c>
      <c r="P1058" t="s">
        <v>1723</v>
      </c>
      <c r="Q1058" t="s">
        <v>4729</v>
      </c>
      <c r="R1058" t="s">
        <v>4721</v>
      </c>
      <c r="S1058" t="s">
        <v>4717</v>
      </c>
      <c r="T1058">
        <f t="shared" si="50"/>
        <v>6</v>
      </c>
      <c r="U1058" s="21">
        <f t="shared" si="56"/>
        <v>45253</v>
      </c>
    </row>
    <row r="1059" spans="1:21" x14ac:dyDescent="0.35">
      <c r="A1059" t="s">
        <v>2884</v>
      </c>
      <c r="B1059" t="s">
        <v>2885</v>
      </c>
      <c r="C1059" t="s">
        <v>30</v>
      </c>
      <c r="D1059" t="s">
        <v>205</v>
      </c>
      <c r="E1059" s="1">
        <v>11.65</v>
      </c>
      <c r="F1059" t="s">
        <v>206</v>
      </c>
      <c r="G1059">
        <v>80</v>
      </c>
      <c r="H1059" s="1">
        <v>9.32</v>
      </c>
      <c r="I1059" s="21">
        <v>44881</v>
      </c>
      <c r="J1059" s="21">
        <v>44885</v>
      </c>
      <c r="K1059" s="21">
        <f t="shared" si="55"/>
        <v>44885</v>
      </c>
      <c r="L1059" t="s">
        <v>220</v>
      </c>
      <c r="M1059" t="s">
        <v>54</v>
      </c>
      <c r="N1059" t="s">
        <v>26</v>
      </c>
      <c r="O1059">
        <v>1</v>
      </c>
      <c r="P1059" t="s">
        <v>2886</v>
      </c>
      <c r="Q1059" t="s">
        <v>4729</v>
      </c>
      <c r="R1059" t="s">
        <v>4726</v>
      </c>
      <c r="S1059" t="s">
        <v>4717</v>
      </c>
      <c r="T1059">
        <f t="shared" si="50"/>
        <v>4</v>
      </c>
      <c r="U1059" s="21">
        <f t="shared" si="56"/>
        <v>45250</v>
      </c>
    </row>
    <row r="1060" spans="1:21" x14ac:dyDescent="0.35">
      <c r="A1060" t="s">
        <v>188</v>
      </c>
      <c r="B1060" t="s">
        <v>189</v>
      </c>
      <c r="C1060" t="s">
        <v>19</v>
      </c>
      <c r="D1060" t="s">
        <v>21</v>
      </c>
      <c r="E1060" s="1">
        <v>224.93399999999991</v>
      </c>
      <c r="F1060" t="s">
        <v>22</v>
      </c>
      <c r="G1060">
        <v>0</v>
      </c>
      <c r="H1060" s="1">
        <v>0</v>
      </c>
      <c r="I1060" s="21">
        <v>44516</v>
      </c>
      <c r="J1060" s="21">
        <v>44518</v>
      </c>
      <c r="K1060" s="21">
        <v>44518</v>
      </c>
      <c r="L1060" t="s">
        <v>24</v>
      </c>
      <c r="M1060" t="s">
        <v>97</v>
      </c>
      <c r="N1060" t="s">
        <v>68</v>
      </c>
      <c r="O1060">
        <v>1</v>
      </c>
      <c r="P1060" t="s">
        <v>190</v>
      </c>
      <c r="Q1060" t="s">
        <v>4533</v>
      </c>
      <c r="R1060" t="s">
        <v>4709</v>
      </c>
      <c r="S1060" t="s">
        <v>4717</v>
      </c>
      <c r="T1060">
        <f t="shared" si="50"/>
        <v>2</v>
      </c>
      <c r="U1060" s="21">
        <f>J1060</f>
        <v>44518</v>
      </c>
    </row>
    <row r="1061" spans="1:21" x14ac:dyDescent="0.35">
      <c r="A1061" t="s">
        <v>3907</v>
      </c>
      <c r="B1061" t="s">
        <v>3908</v>
      </c>
      <c r="C1061" t="s">
        <v>30</v>
      </c>
      <c r="D1061" t="s">
        <v>212</v>
      </c>
      <c r="E1061" s="1">
        <v>76.64</v>
      </c>
      <c r="F1061" t="s">
        <v>206</v>
      </c>
      <c r="G1061">
        <v>100</v>
      </c>
      <c r="H1061" s="1">
        <v>76.64</v>
      </c>
      <c r="I1061" s="21">
        <v>44881</v>
      </c>
      <c r="J1061" s="21">
        <v>44886</v>
      </c>
      <c r="K1061" s="21">
        <f>J1061</f>
        <v>44886</v>
      </c>
      <c r="L1061" t="s">
        <v>213</v>
      </c>
      <c r="M1061" t="s">
        <v>146</v>
      </c>
      <c r="N1061" t="s">
        <v>73</v>
      </c>
      <c r="O1061">
        <v>1</v>
      </c>
      <c r="P1061" t="s">
        <v>723</v>
      </c>
      <c r="Q1061" t="s">
        <v>4519</v>
      </c>
      <c r="R1061" t="s">
        <v>4726</v>
      </c>
      <c r="S1061" t="s">
        <v>4717</v>
      </c>
      <c r="T1061">
        <f t="shared" si="50"/>
        <v>5</v>
      </c>
      <c r="U1061" s="21">
        <f>J1061+365</f>
        <v>45251</v>
      </c>
    </row>
    <row r="1062" spans="1:21" x14ac:dyDescent="0.35">
      <c r="A1062" t="s">
        <v>2573</v>
      </c>
      <c r="B1062" t="s">
        <v>2574</v>
      </c>
      <c r="C1062" t="s">
        <v>19</v>
      </c>
      <c r="D1062" t="s">
        <v>21</v>
      </c>
      <c r="E1062" s="1">
        <v>259.86399999999998</v>
      </c>
      <c r="F1062" t="s">
        <v>22</v>
      </c>
      <c r="G1062">
        <v>0</v>
      </c>
      <c r="H1062" s="1">
        <v>0</v>
      </c>
      <c r="I1062" s="21">
        <v>44515</v>
      </c>
      <c r="J1062" s="21">
        <v>44518</v>
      </c>
      <c r="K1062" s="21">
        <v>44518</v>
      </c>
      <c r="L1062" t="s">
        <v>39</v>
      </c>
      <c r="M1062" t="s">
        <v>72</v>
      </c>
      <c r="N1062" t="s">
        <v>73</v>
      </c>
      <c r="O1062">
        <v>1</v>
      </c>
      <c r="P1062" t="s">
        <v>855</v>
      </c>
      <c r="Q1062" t="s">
        <v>4518</v>
      </c>
      <c r="R1062" t="s">
        <v>4726</v>
      </c>
      <c r="S1062" t="s">
        <v>4717</v>
      </c>
      <c r="T1062">
        <f t="shared" si="50"/>
        <v>3</v>
      </c>
      <c r="U1062" s="21">
        <f>J1062</f>
        <v>44518</v>
      </c>
    </row>
    <row r="1063" spans="1:21" x14ac:dyDescent="0.35">
      <c r="A1063" t="s">
        <v>3905</v>
      </c>
      <c r="B1063" t="s">
        <v>3906</v>
      </c>
      <c r="C1063" t="s">
        <v>30</v>
      </c>
      <c r="D1063" t="s">
        <v>205</v>
      </c>
      <c r="E1063" s="1">
        <v>1024.3800000000001</v>
      </c>
      <c r="F1063" t="s">
        <v>206</v>
      </c>
      <c r="G1063">
        <v>80</v>
      </c>
      <c r="H1063" s="1">
        <v>819.50400000000013</v>
      </c>
      <c r="I1063" s="21">
        <v>44880</v>
      </c>
      <c r="J1063" s="21">
        <v>44886</v>
      </c>
      <c r="K1063" s="21">
        <f>J1063</f>
        <v>44886</v>
      </c>
      <c r="L1063" t="s">
        <v>248</v>
      </c>
      <c r="M1063" t="s">
        <v>46</v>
      </c>
      <c r="N1063" t="s">
        <v>47</v>
      </c>
      <c r="O1063">
        <v>1</v>
      </c>
      <c r="P1063" t="s">
        <v>1510</v>
      </c>
      <c r="Q1063" t="s">
        <v>4620</v>
      </c>
      <c r="R1063" t="s">
        <v>4712</v>
      </c>
      <c r="S1063" t="s">
        <v>4718</v>
      </c>
      <c r="T1063">
        <f t="shared" si="50"/>
        <v>6</v>
      </c>
      <c r="U1063" s="21">
        <f>J1063+365</f>
        <v>45251</v>
      </c>
    </row>
    <row r="1064" spans="1:21" x14ac:dyDescent="0.35">
      <c r="A1064" t="s">
        <v>184</v>
      </c>
      <c r="B1064" t="s">
        <v>185</v>
      </c>
      <c r="C1064" t="s">
        <v>19</v>
      </c>
      <c r="D1064" t="s">
        <v>21</v>
      </c>
      <c r="E1064" s="1">
        <v>860.07</v>
      </c>
      <c r="F1064" t="s">
        <v>22</v>
      </c>
      <c r="G1064">
        <v>0</v>
      </c>
      <c r="H1064" s="1">
        <v>0</v>
      </c>
      <c r="I1064" s="21">
        <v>44515</v>
      </c>
      <c r="J1064" s="21">
        <v>44518</v>
      </c>
      <c r="K1064" s="21">
        <v>44518</v>
      </c>
      <c r="L1064" t="s">
        <v>39</v>
      </c>
      <c r="M1064" t="s">
        <v>46</v>
      </c>
      <c r="N1064" t="s">
        <v>47</v>
      </c>
      <c r="O1064">
        <v>1</v>
      </c>
      <c r="P1064" t="s">
        <v>187</v>
      </c>
      <c r="Q1064" t="s">
        <v>4536</v>
      </c>
      <c r="R1064" t="s">
        <v>4512</v>
      </c>
      <c r="S1064" t="s">
        <v>4717</v>
      </c>
      <c r="T1064">
        <f t="shared" si="50"/>
        <v>3</v>
      </c>
      <c r="U1064" s="21">
        <f>J1064</f>
        <v>44518</v>
      </c>
    </row>
    <row r="1065" spans="1:21" x14ac:dyDescent="0.35">
      <c r="A1065" t="s">
        <v>1716</v>
      </c>
      <c r="B1065" t="s">
        <v>1717</v>
      </c>
      <c r="C1065" t="s">
        <v>30</v>
      </c>
      <c r="D1065" t="s">
        <v>205</v>
      </c>
      <c r="E1065" s="1">
        <v>17.22</v>
      </c>
      <c r="F1065" t="s">
        <v>206</v>
      </c>
      <c r="G1065">
        <v>80</v>
      </c>
      <c r="H1065" s="1">
        <v>13.776</v>
      </c>
      <c r="I1065" s="21">
        <v>44879</v>
      </c>
      <c r="J1065" s="21">
        <v>44879</v>
      </c>
      <c r="K1065" s="21">
        <f t="shared" ref="K1065:K1085" si="57">J1065</f>
        <v>44879</v>
      </c>
      <c r="L1065" t="s">
        <v>234</v>
      </c>
      <c r="M1065" t="s">
        <v>54</v>
      </c>
      <c r="N1065" t="s">
        <v>26</v>
      </c>
      <c r="O1065">
        <v>1</v>
      </c>
      <c r="P1065" t="s">
        <v>1154</v>
      </c>
      <c r="Q1065" t="s">
        <v>4729</v>
      </c>
      <c r="R1065" t="s">
        <v>4726</v>
      </c>
      <c r="S1065" t="s">
        <v>4717</v>
      </c>
      <c r="T1065">
        <f t="shared" si="50"/>
        <v>0</v>
      </c>
      <c r="U1065" s="21">
        <f t="shared" ref="U1065:U1085" si="58">J1065+365</f>
        <v>45244</v>
      </c>
    </row>
    <row r="1066" spans="1:21" x14ac:dyDescent="0.35">
      <c r="A1066" t="s">
        <v>485</v>
      </c>
      <c r="B1066" t="s">
        <v>486</v>
      </c>
      <c r="C1066" t="s">
        <v>19</v>
      </c>
      <c r="D1066" t="s">
        <v>212</v>
      </c>
      <c r="E1066" s="1">
        <v>263.95999999999998</v>
      </c>
      <c r="F1066" t="s">
        <v>206</v>
      </c>
      <c r="G1066">
        <v>100</v>
      </c>
      <c r="H1066" s="1">
        <v>263.95999999999998</v>
      </c>
      <c r="I1066" s="21">
        <v>44879</v>
      </c>
      <c r="J1066" s="21">
        <v>44883</v>
      </c>
      <c r="K1066" s="21">
        <f t="shared" si="57"/>
        <v>44883</v>
      </c>
      <c r="L1066" t="s">
        <v>234</v>
      </c>
      <c r="M1066" t="s">
        <v>25</v>
      </c>
      <c r="N1066" t="s">
        <v>26</v>
      </c>
      <c r="O1066">
        <v>1</v>
      </c>
      <c r="P1066" t="s">
        <v>487</v>
      </c>
      <c r="Q1066" t="s">
        <v>4551</v>
      </c>
      <c r="R1066" t="s">
        <v>4711</v>
      </c>
      <c r="S1066" t="s">
        <v>4719</v>
      </c>
      <c r="T1066">
        <f t="shared" si="50"/>
        <v>4</v>
      </c>
      <c r="U1066" s="21">
        <f t="shared" si="58"/>
        <v>45248</v>
      </c>
    </row>
    <row r="1067" spans="1:21" x14ac:dyDescent="0.35">
      <c r="A1067" t="s">
        <v>1713</v>
      </c>
      <c r="B1067" t="s">
        <v>1714</v>
      </c>
      <c r="C1067" t="s">
        <v>19</v>
      </c>
      <c r="D1067" t="s">
        <v>212</v>
      </c>
      <c r="E1067" s="1">
        <v>119.9</v>
      </c>
      <c r="F1067" t="s">
        <v>206</v>
      </c>
      <c r="G1067">
        <v>100</v>
      </c>
      <c r="H1067" s="1">
        <v>119.9</v>
      </c>
      <c r="I1067" s="21">
        <v>44879</v>
      </c>
      <c r="J1067" s="21">
        <v>44883</v>
      </c>
      <c r="K1067" s="21">
        <f t="shared" si="57"/>
        <v>44883</v>
      </c>
      <c r="L1067" t="s">
        <v>213</v>
      </c>
      <c r="M1067" t="s">
        <v>67</v>
      </c>
      <c r="N1067" t="s">
        <v>68</v>
      </c>
      <c r="O1067">
        <v>1</v>
      </c>
      <c r="P1067" t="s">
        <v>1715</v>
      </c>
      <c r="Q1067" t="s">
        <v>4613</v>
      </c>
      <c r="R1067" t="s">
        <v>4713</v>
      </c>
      <c r="S1067" t="s">
        <v>4719</v>
      </c>
      <c r="T1067">
        <f t="shared" si="50"/>
        <v>4</v>
      </c>
      <c r="U1067" s="21">
        <f t="shared" si="58"/>
        <v>45248</v>
      </c>
    </row>
    <row r="1068" spans="1:21" x14ac:dyDescent="0.35">
      <c r="A1068" t="s">
        <v>482</v>
      </c>
      <c r="B1068" t="s">
        <v>483</v>
      </c>
      <c r="C1068" t="s">
        <v>19</v>
      </c>
      <c r="D1068" t="s">
        <v>212</v>
      </c>
      <c r="E1068" s="1">
        <v>4404.8999999999996</v>
      </c>
      <c r="F1068" t="s">
        <v>206</v>
      </c>
      <c r="G1068">
        <v>100</v>
      </c>
      <c r="H1068" s="1">
        <v>4404.8999999999996</v>
      </c>
      <c r="I1068" s="21">
        <v>44879</v>
      </c>
      <c r="J1068" s="21">
        <v>44883</v>
      </c>
      <c r="K1068" s="21">
        <f t="shared" si="57"/>
        <v>44883</v>
      </c>
      <c r="L1068" t="s">
        <v>220</v>
      </c>
      <c r="M1068" t="s">
        <v>25</v>
      </c>
      <c r="N1068" t="s">
        <v>26</v>
      </c>
      <c r="O1068">
        <v>1</v>
      </c>
      <c r="P1068" t="s">
        <v>484</v>
      </c>
      <c r="Q1068" t="s">
        <v>4569</v>
      </c>
      <c r="R1068" t="s">
        <v>4723</v>
      </c>
      <c r="S1068" t="s">
        <v>4718</v>
      </c>
      <c r="T1068">
        <f t="shared" si="50"/>
        <v>4</v>
      </c>
      <c r="U1068" s="21">
        <f t="shared" si="58"/>
        <v>45248</v>
      </c>
    </row>
    <row r="1069" spans="1:21" x14ac:dyDescent="0.35">
      <c r="A1069" t="s">
        <v>1707</v>
      </c>
      <c r="B1069" t="s">
        <v>1708</v>
      </c>
      <c r="C1069" t="s">
        <v>19</v>
      </c>
      <c r="D1069" t="s">
        <v>212</v>
      </c>
      <c r="E1069" s="1">
        <v>16.146000000000001</v>
      </c>
      <c r="F1069" t="s">
        <v>206</v>
      </c>
      <c r="G1069">
        <v>100</v>
      </c>
      <c r="H1069" s="1">
        <v>16.146000000000001</v>
      </c>
      <c r="I1069" s="21">
        <v>44878</v>
      </c>
      <c r="J1069" s="21">
        <v>44880</v>
      </c>
      <c r="K1069" s="21">
        <f t="shared" si="57"/>
        <v>44880</v>
      </c>
      <c r="L1069" t="s">
        <v>248</v>
      </c>
      <c r="M1069" t="s">
        <v>40</v>
      </c>
      <c r="N1069" t="s">
        <v>34</v>
      </c>
      <c r="O1069">
        <v>1</v>
      </c>
      <c r="P1069" t="s">
        <v>1709</v>
      </c>
      <c r="Q1069" t="s">
        <v>4517</v>
      </c>
      <c r="R1069" t="s">
        <v>4726</v>
      </c>
      <c r="S1069" t="s">
        <v>4717</v>
      </c>
      <c r="T1069">
        <f t="shared" si="50"/>
        <v>2</v>
      </c>
      <c r="U1069" s="21">
        <f t="shared" si="58"/>
        <v>45245</v>
      </c>
    </row>
    <row r="1070" spans="1:21" x14ac:dyDescent="0.35">
      <c r="A1070" t="s">
        <v>1710</v>
      </c>
      <c r="B1070" t="s">
        <v>1711</v>
      </c>
      <c r="C1070" t="s">
        <v>30</v>
      </c>
      <c r="D1070" t="s">
        <v>205</v>
      </c>
      <c r="E1070" s="1">
        <v>1345.4849999999999</v>
      </c>
      <c r="F1070" t="s">
        <v>206</v>
      </c>
      <c r="G1070">
        <v>80</v>
      </c>
      <c r="H1070" s="1">
        <v>1076.3879999999999</v>
      </c>
      <c r="I1070" s="21">
        <v>44878</v>
      </c>
      <c r="J1070" s="21">
        <v>44884</v>
      </c>
      <c r="K1070" s="21">
        <f t="shared" si="57"/>
        <v>44884</v>
      </c>
      <c r="L1070" t="s">
        <v>220</v>
      </c>
      <c r="M1070" t="s">
        <v>54</v>
      </c>
      <c r="N1070" t="s">
        <v>26</v>
      </c>
      <c r="O1070">
        <v>1</v>
      </c>
      <c r="P1070" t="s">
        <v>1712</v>
      </c>
      <c r="Q1070" t="s">
        <v>4528</v>
      </c>
      <c r="R1070" t="s">
        <v>4710</v>
      </c>
      <c r="S1070" t="s">
        <v>4717</v>
      </c>
      <c r="T1070">
        <f t="shared" si="50"/>
        <v>6</v>
      </c>
      <c r="U1070" s="21">
        <f t="shared" si="58"/>
        <v>45249</v>
      </c>
    </row>
    <row r="1071" spans="1:21" x14ac:dyDescent="0.35">
      <c r="A1071" t="s">
        <v>2882</v>
      </c>
      <c r="B1071" t="s">
        <v>2883</v>
      </c>
      <c r="C1071" t="s">
        <v>30</v>
      </c>
      <c r="D1071" t="s">
        <v>212</v>
      </c>
      <c r="E1071" s="1">
        <v>29.372</v>
      </c>
      <c r="F1071" t="s">
        <v>206</v>
      </c>
      <c r="G1071">
        <v>100</v>
      </c>
      <c r="H1071" s="1">
        <v>29.372</v>
      </c>
      <c r="I1071" s="21">
        <v>44876</v>
      </c>
      <c r="J1071" s="21">
        <v>44880</v>
      </c>
      <c r="K1071" s="21">
        <f t="shared" si="57"/>
        <v>44880</v>
      </c>
      <c r="L1071" t="s">
        <v>207</v>
      </c>
      <c r="M1071" t="s">
        <v>25</v>
      </c>
      <c r="N1071" t="s">
        <v>26</v>
      </c>
      <c r="O1071">
        <v>1</v>
      </c>
      <c r="P1071" t="s">
        <v>1545</v>
      </c>
      <c r="Q1071" t="s">
        <v>4528</v>
      </c>
      <c r="R1071" t="s">
        <v>4726</v>
      </c>
      <c r="S1071" t="s">
        <v>4717</v>
      </c>
      <c r="T1071">
        <f t="shared" si="50"/>
        <v>4</v>
      </c>
      <c r="U1071" s="21">
        <f t="shared" si="58"/>
        <v>45245</v>
      </c>
    </row>
    <row r="1072" spans="1:21" x14ac:dyDescent="0.35">
      <c r="A1072" t="s">
        <v>1705</v>
      </c>
      <c r="B1072" t="s">
        <v>1706</v>
      </c>
      <c r="C1072" t="s">
        <v>19</v>
      </c>
      <c r="D1072" t="s">
        <v>205</v>
      </c>
      <c r="E1072" s="1">
        <v>24.4</v>
      </c>
      <c r="F1072" t="s">
        <v>206</v>
      </c>
      <c r="G1072">
        <v>80</v>
      </c>
      <c r="H1072" s="1">
        <v>19.52</v>
      </c>
      <c r="I1072" s="21">
        <v>44876</v>
      </c>
      <c r="J1072" s="21">
        <v>44880</v>
      </c>
      <c r="K1072" s="21">
        <f t="shared" si="57"/>
        <v>44880</v>
      </c>
      <c r="L1072" t="s">
        <v>248</v>
      </c>
      <c r="M1072" t="s">
        <v>54</v>
      </c>
      <c r="N1072" t="s">
        <v>26</v>
      </c>
      <c r="O1072">
        <v>1</v>
      </c>
      <c r="P1072" t="s">
        <v>394</v>
      </c>
      <c r="Q1072" t="s">
        <v>4729</v>
      </c>
      <c r="R1072" t="s">
        <v>4512</v>
      </c>
      <c r="S1072" t="s">
        <v>4717</v>
      </c>
      <c r="T1072">
        <f t="shared" si="50"/>
        <v>4</v>
      </c>
      <c r="U1072" s="21">
        <f t="shared" si="58"/>
        <v>45245</v>
      </c>
    </row>
    <row r="1073" spans="1:21" x14ac:dyDescent="0.35">
      <c r="A1073" t="s">
        <v>2879</v>
      </c>
      <c r="B1073" t="s">
        <v>2880</v>
      </c>
      <c r="C1073" t="s">
        <v>19</v>
      </c>
      <c r="D1073" t="s">
        <v>205</v>
      </c>
      <c r="E1073" s="1">
        <v>25.344000000000001</v>
      </c>
      <c r="F1073" t="s">
        <v>206</v>
      </c>
      <c r="G1073">
        <v>80</v>
      </c>
      <c r="H1073" s="1">
        <v>20.275200000000002</v>
      </c>
      <c r="I1073" s="21">
        <v>44876</v>
      </c>
      <c r="J1073" s="21">
        <v>44881</v>
      </c>
      <c r="K1073" s="21">
        <f t="shared" si="57"/>
        <v>44881</v>
      </c>
      <c r="L1073" t="s">
        <v>248</v>
      </c>
      <c r="M1073" t="s">
        <v>97</v>
      </c>
      <c r="N1073" t="s">
        <v>68</v>
      </c>
      <c r="O1073">
        <v>1</v>
      </c>
      <c r="P1073" t="s">
        <v>2881</v>
      </c>
      <c r="Q1073" t="s">
        <v>4515</v>
      </c>
      <c r="R1073" t="s">
        <v>4726</v>
      </c>
      <c r="S1073" t="s">
        <v>4717</v>
      </c>
      <c r="T1073">
        <f t="shared" si="50"/>
        <v>5</v>
      </c>
      <c r="U1073" s="21">
        <f t="shared" si="58"/>
        <v>45246</v>
      </c>
    </row>
    <row r="1074" spans="1:21" x14ac:dyDescent="0.35">
      <c r="A1074" t="s">
        <v>3902</v>
      </c>
      <c r="B1074" t="s">
        <v>3903</v>
      </c>
      <c r="C1074" t="s">
        <v>19</v>
      </c>
      <c r="D1074" t="s">
        <v>205</v>
      </c>
      <c r="E1074" s="1">
        <v>1212.848</v>
      </c>
      <c r="F1074" t="s">
        <v>206</v>
      </c>
      <c r="G1074">
        <v>80</v>
      </c>
      <c r="H1074" s="1">
        <v>970.27840000000003</v>
      </c>
      <c r="I1074" s="21">
        <v>44875</v>
      </c>
      <c r="J1074" s="21">
        <v>44879</v>
      </c>
      <c r="K1074" s="21">
        <f t="shared" si="57"/>
        <v>44879</v>
      </c>
      <c r="L1074" t="s">
        <v>234</v>
      </c>
      <c r="M1074" t="s">
        <v>40</v>
      </c>
      <c r="N1074" t="s">
        <v>34</v>
      </c>
      <c r="O1074">
        <v>1</v>
      </c>
      <c r="P1074" t="s">
        <v>3904</v>
      </c>
      <c r="Q1074" t="s">
        <v>4551</v>
      </c>
      <c r="R1074" t="s">
        <v>4711</v>
      </c>
      <c r="S1074" t="s">
        <v>4719</v>
      </c>
      <c r="T1074">
        <f t="shared" si="50"/>
        <v>4</v>
      </c>
      <c r="U1074" s="21">
        <f t="shared" si="58"/>
        <v>45244</v>
      </c>
    </row>
    <row r="1075" spans="1:21" x14ac:dyDescent="0.35">
      <c r="A1075" t="s">
        <v>479</v>
      </c>
      <c r="B1075" t="s">
        <v>480</v>
      </c>
      <c r="C1075" t="s">
        <v>19</v>
      </c>
      <c r="D1075" t="s">
        <v>205</v>
      </c>
      <c r="E1075" s="1">
        <v>109.764</v>
      </c>
      <c r="F1075" t="s">
        <v>206</v>
      </c>
      <c r="G1075">
        <v>80</v>
      </c>
      <c r="H1075" s="1">
        <v>87.811199999999999</v>
      </c>
      <c r="I1075" s="21">
        <v>44875</v>
      </c>
      <c r="J1075" s="21">
        <v>44875</v>
      </c>
      <c r="K1075" s="21">
        <f t="shared" si="57"/>
        <v>44875</v>
      </c>
      <c r="L1075" t="s">
        <v>238</v>
      </c>
      <c r="M1075" t="s">
        <v>54</v>
      </c>
      <c r="N1075" t="s">
        <v>26</v>
      </c>
      <c r="O1075">
        <v>1</v>
      </c>
      <c r="P1075" t="s">
        <v>481</v>
      </c>
      <c r="Q1075" t="s">
        <v>4567</v>
      </c>
      <c r="R1075" t="s">
        <v>4714</v>
      </c>
      <c r="S1075" t="s">
        <v>4718</v>
      </c>
      <c r="T1075">
        <f t="shared" si="50"/>
        <v>0</v>
      </c>
      <c r="U1075" s="21">
        <f t="shared" si="58"/>
        <v>45240</v>
      </c>
    </row>
    <row r="1076" spans="1:21" x14ac:dyDescent="0.35">
      <c r="A1076" t="s">
        <v>2876</v>
      </c>
      <c r="B1076" t="s">
        <v>2877</v>
      </c>
      <c r="C1076" t="s">
        <v>30</v>
      </c>
      <c r="D1076" t="s">
        <v>212</v>
      </c>
      <c r="E1076" s="1">
        <v>512.49900000000002</v>
      </c>
      <c r="F1076" t="s">
        <v>206</v>
      </c>
      <c r="G1076">
        <v>100</v>
      </c>
      <c r="H1076" s="1">
        <v>512.49900000000002</v>
      </c>
      <c r="I1076" s="21">
        <v>44875</v>
      </c>
      <c r="J1076" s="21">
        <v>44875</v>
      </c>
      <c r="K1076" s="21">
        <f t="shared" si="57"/>
        <v>44875</v>
      </c>
      <c r="L1076" t="s">
        <v>238</v>
      </c>
      <c r="M1076" t="s">
        <v>72</v>
      </c>
      <c r="N1076" t="s">
        <v>73</v>
      </c>
      <c r="O1076">
        <v>1</v>
      </c>
      <c r="P1076" t="s">
        <v>2878</v>
      </c>
      <c r="Q1076" t="s">
        <v>4606</v>
      </c>
      <c r="R1076" t="s">
        <v>4723</v>
      </c>
      <c r="S1076" t="s">
        <v>4718</v>
      </c>
      <c r="T1076">
        <f t="shared" si="50"/>
        <v>0</v>
      </c>
      <c r="U1076" s="21">
        <f t="shared" si="58"/>
        <v>45240</v>
      </c>
    </row>
    <row r="1077" spans="1:21" x14ac:dyDescent="0.35">
      <c r="A1077" t="s">
        <v>2868</v>
      </c>
      <c r="B1077" t="s">
        <v>2869</v>
      </c>
      <c r="C1077" t="s">
        <v>30</v>
      </c>
      <c r="D1077" t="s">
        <v>205</v>
      </c>
      <c r="E1077" s="1">
        <v>13.52</v>
      </c>
      <c r="F1077" t="s">
        <v>206</v>
      </c>
      <c r="G1077">
        <v>80</v>
      </c>
      <c r="H1077" s="1">
        <v>10.816000000000001</v>
      </c>
      <c r="I1077" s="21">
        <v>44874</v>
      </c>
      <c r="J1077" s="21">
        <v>44880</v>
      </c>
      <c r="K1077" s="21">
        <f t="shared" si="57"/>
        <v>44880</v>
      </c>
      <c r="L1077" t="s">
        <v>207</v>
      </c>
      <c r="M1077" t="s">
        <v>146</v>
      </c>
      <c r="N1077" t="s">
        <v>73</v>
      </c>
      <c r="O1077">
        <v>1</v>
      </c>
      <c r="P1077" t="s">
        <v>2870</v>
      </c>
      <c r="Q1077" t="s">
        <v>4729</v>
      </c>
      <c r="R1077" t="s">
        <v>4721</v>
      </c>
      <c r="S1077" t="s">
        <v>4717</v>
      </c>
      <c r="T1077">
        <f t="shared" si="50"/>
        <v>6</v>
      </c>
      <c r="U1077" s="21">
        <f t="shared" si="58"/>
        <v>45245</v>
      </c>
    </row>
    <row r="1078" spans="1:21" x14ac:dyDescent="0.35">
      <c r="A1078" t="s">
        <v>1702</v>
      </c>
      <c r="B1078" t="s">
        <v>1703</v>
      </c>
      <c r="C1078" t="s">
        <v>19</v>
      </c>
      <c r="D1078" t="s">
        <v>212</v>
      </c>
      <c r="E1078" s="1">
        <v>11.952</v>
      </c>
      <c r="F1078" t="s">
        <v>206</v>
      </c>
      <c r="G1078">
        <v>100</v>
      </c>
      <c r="H1078" s="1">
        <v>11.952</v>
      </c>
      <c r="I1078" s="21">
        <v>44874</v>
      </c>
      <c r="J1078" s="21">
        <v>44878</v>
      </c>
      <c r="K1078" s="21">
        <f t="shared" si="57"/>
        <v>44878</v>
      </c>
      <c r="L1078" t="s">
        <v>248</v>
      </c>
      <c r="M1078" t="s">
        <v>82</v>
      </c>
      <c r="N1078" t="s">
        <v>47</v>
      </c>
      <c r="O1078">
        <v>1</v>
      </c>
      <c r="P1078" t="s">
        <v>1704</v>
      </c>
      <c r="Q1078" t="s">
        <v>4596</v>
      </c>
      <c r="R1078" t="s">
        <v>4726</v>
      </c>
      <c r="S1078" t="s">
        <v>4717</v>
      </c>
      <c r="T1078">
        <f t="shared" si="50"/>
        <v>4</v>
      </c>
      <c r="U1078" s="21">
        <f t="shared" si="58"/>
        <v>45243</v>
      </c>
    </row>
    <row r="1079" spans="1:21" x14ac:dyDescent="0.35">
      <c r="A1079" t="s">
        <v>2871</v>
      </c>
      <c r="B1079" t="s">
        <v>2872</v>
      </c>
      <c r="C1079" t="s">
        <v>30</v>
      </c>
      <c r="D1079" t="s">
        <v>212</v>
      </c>
      <c r="E1079" s="1">
        <v>96.96</v>
      </c>
      <c r="F1079" t="s">
        <v>206</v>
      </c>
      <c r="G1079">
        <v>100</v>
      </c>
      <c r="H1079" s="1">
        <v>96.96</v>
      </c>
      <c r="I1079" s="21">
        <v>44874</v>
      </c>
      <c r="J1079" s="21">
        <v>44878</v>
      </c>
      <c r="K1079" s="21">
        <f t="shared" si="57"/>
        <v>44878</v>
      </c>
      <c r="L1079" t="s">
        <v>234</v>
      </c>
      <c r="M1079" t="s">
        <v>46</v>
      </c>
      <c r="N1079" t="s">
        <v>47</v>
      </c>
      <c r="O1079">
        <v>1</v>
      </c>
      <c r="P1079" t="s">
        <v>2873</v>
      </c>
      <c r="Q1079" t="s">
        <v>4671</v>
      </c>
      <c r="R1079" t="s">
        <v>4721</v>
      </c>
      <c r="S1079" t="s">
        <v>4717</v>
      </c>
      <c r="T1079">
        <f t="shared" si="50"/>
        <v>4</v>
      </c>
      <c r="U1079" s="21">
        <f t="shared" si="58"/>
        <v>45243</v>
      </c>
    </row>
    <row r="1080" spans="1:21" x14ac:dyDescent="0.35">
      <c r="A1080" t="s">
        <v>2874</v>
      </c>
      <c r="B1080" t="s">
        <v>2875</v>
      </c>
      <c r="C1080" t="s">
        <v>19</v>
      </c>
      <c r="D1080" t="s">
        <v>205</v>
      </c>
      <c r="E1080" s="1">
        <v>117.488</v>
      </c>
      <c r="F1080" t="s">
        <v>206</v>
      </c>
      <c r="G1080">
        <v>80</v>
      </c>
      <c r="H1080" s="1">
        <v>93.990400000000008</v>
      </c>
      <c r="I1080" s="21">
        <v>44874</v>
      </c>
      <c r="J1080" s="21">
        <v>44878</v>
      </c>
      <c r="K1080" s="21">
        <f t="shared" si="57"/>
        <v>44878</v>
      </c>
      <c r="L1080" t="s">
        <v>234</v>
      </c>
      <c r="M1080" t="s">
        <v>33</v>
      </c>
      <c r="N1080" t="s">
        <v>34</v>
      </c>
      <c r="O1080">
        <v>1</v>
      </c>
      <c r="P1080" t="s">
        <v>1545</v>
      </c>
      <c r="Q1080" t="s">
        <v>4528</v>
      </c>
      <c r="R1080" t="s">
        <v>4726</v>
      </c>
      <c r="S1080" t="s">
        <v>4717</v>
      </c>
      <c r="T1080">
        <f t="shared" si="50"/>
        <v>4</v>
      </c>
      <c r="U1080" s="21">
        <f t="shared" si="58"/>
        <v>45243</v>
      </c>
    </row>
    <row r="1081" spans="1:21" x14ac:dyDescent="0.35">
      <c r="A1081" t="s">
        <v>2865</v>
      </c>
      <c r="B1081" t="s">
        <v>2866</v>
      </c>
      <c r="C1081" t="s">
        <v>30</v>
      </c>
      <c r="D1081" t="s">
        <v>212</v>
      </c>
      <c r="E1081" s="1">
        <v>259.7</v>
      </c>
      <c r="F1081" t="s">
        <v>206</v>
      </c>
      <c r="G1081">
        <v>100</v>
      </c>
      <c r="H1081" s="1">
        <v>259.7</v>
      </c>
      <c r="I1081" s="21">
        <v>44874</v>
      </c>
      <c r="J1081" s="21">
        <v>44879</v>
      </c>
      <c r="K1081" s="21">
        <f t="shared" si="57"/>
        <v>44879</v>
      </c>
      <c r="L1081" t="s">
        <v>238</v>
      </c>
      <c r="M1081" t="s">
        <v>25</v>
      </c>
      <c r="N1081" t="s">
        <v>26</v>
      </c>
      <c r="O1081">
        <v>1</v>
      </c>
      <c r="P1081" t="s">
        <v>2867</v>
      </c>
      <c r="Q1081" t="s">
        <v>4553</v>
      </c>
      <c r="R1081" t="s">
        <v>4722</v>
      </c>
      <c r="S1081" t="s">
        <v>4718</v>
      </c>
      <c r="T1081">
        <f t="shared" si="50"/>
        <v>5</v>
      </c>
      <c r="U1081" s="21">
        <f t="shared" si="58"/>
        <v>45244</v>
      </c>
    </row>
    <row r="1082" spans="1:21" x14ac:dyDescent="0.35">
      <c r="A1082" t="s">
        <v>1700</v>
      </c>
      <c r="B1082" t="s">
        <v>1701</v>
      </c>
      <c r="C1082" t="s">
        <v>30</v>
      </c>
      <c r="D1082" t="s">
        <v>212</v>
      </c>
      <c r="E1082" s="1">
        <v>70.12</v>
      </c>
      <c r="F1082" t="s">
        <v>206</v>
      </c>
      <c r="G1082">
        <v>100</v>
      </c>
      <c r="H1082" s="1">
        <v>70.12</v>
      </c>
      <c r="I1082" s="21">
        <v>44873</v>
      </c>
      <c r="J1082" s="21">
        <v>44875</v>
      </c>
      <c r="K1082" s="21">
        <f t="shared" si="57"/>
        <v>44875</v>
      </c>
      <c r="L1082" t="s">
        <v>207</v>
      </c>
      <c r="M1082" t="s">
        <v>33</v>
      </c>
      <c r="N1082" t="s">
        <v>34</v>
      </c>
      <c r="O1082">
        <v>1</v>
      </c>
      <c r="P1082" t="s">
        <v>1143</v>
      </c>
      <c r="Q1082" t="s">
        <v>4546</v>
      </c>
      <c r="R1082" t="s">
        <v>4726</v>
      </c>
      <c r="S1082" t="s">
        <v>4717</v>
      </c>
      <c r="T1082">
        <f t="shared" si="50"/>
        <v>2</v>
      </c>
      <c r="U1082" s="21">
        <f t="shared" si="58"/>
        <v>45240</v>
      </c>
    </row>
    <row r="1083" spans="1:21" x14ac:dyDescent="0.35">
      <c r="A1083" t="s">
        <v>476</v>
      </c>
      <c r="B1083" t="s">
        <v>477</v>
      </c>
      <c r="C1083" t="s">
        <v>30</v>
      </c>
      <c r="D1083" t="s">
        <v>212</v>
      </c>
      <c r="E1083" s="1">
        <v>60.45</v>
      </c>
      <c r="F1083" t="s">
        <v>206</v>
      </c>
      <c r="G1083">
        <v>100</v>
      </c>
      <c r="H1083" s="1">
        <v>60.45</v>
      </c>
      <c r="I1083" s="21">
        <v>44873</v>
      </c>
      <c r="J1083" s="21">
        <v>44875</v>
      </c>
      <c r="K1083" s="21">
        <f t="shared" si="57"/>
        <v>44875</v>
      </c>
      <c r="L1083" t="s">
        <v>238</v>
      </c>
      <c r="M1083" t="s">
        <v>72</v>
      </c>
      <c r="N1083" t="s">
        <v>73</v>
      </c>
      <c r="O1083">
        <v>1</v>
      </c>
      <c r="P1083" t="s">
        <v>478</v>
      </c>
      <c r="Q1083" t="s">
        <v>4531</v>
      </c>
      <c r="R1083" t="s">
        <v>4726</v>
      </c>
      <c r="S1083" t="s">
        <v>4717</v>
      </c>
      <c r="T1083">
        <f t="shared" si="50"/>
        <v>2</v>
      </c>
      <c r="U1083" s="21">
        <f t="shared" si="58"/>
        <v>45240</v>
      </c>
    </row>
    <row r="1084" spans="1:21" x14ac:dyDescent="0.35">
      <c r="A1084" t="s">
        <v>1698</v>
      </c>
      <c r="B1084" t="s">
        <v>1699</v>
      </c>
      <c r="C1084" t="s">
        <v>19</v>
      </c>
      <c r="D1084" t="s">
        <v>205</v>
      </c>
      <c r="E1084" s="1">
        <v>10.67</v>
      </c>
      <c r="F1084" t="s">
        <v>206</v>
      </c>
      <c r="G1084">
        <v>80</v>
      </c>
      <c r="H1084" s="1">
        <v>8.5359999999999996</v>
      </c>
      <c r="I1084" s="21">
        <v>44873</v>
      </c>
      <c r="J1084" s="21">
        <v>44879</v>
      </c>
      <c r="K1084" s="21">
        <f t="shared" si="57"/>
        <v>44879</v>
      </c>
      <c r="L1084" t="s">
        <v>248</v>
      </c>
      <c r="M1084" t="s">
        <v>25</v>
      </c>
      <c r="N1084" t="s">
        <v>26</v>
      </c>
      <c r="O1084">
        <v>1</v>
      </c>
      <c r="P1084" t="s">
        <v>358</v>
      </c>
      <c r="Q1084" t="s">
        <v>4729</v>
      </c>
      <c r="R1084" t="s">
        <v>4512</v>
      </c>
      <c r="S1084" t="s">
        <v>4717</v>
      </c>
      <c r="T1084">
        <f t="shared" si="50"/>
        <v>6</v>
      </c>
      <c r="U1084" s="21">
        <f t="shared" si="58"/>
        <v>45244</v>
      </c>
    </row>
    <row r="1085" spans="1:21" x14ac:dyDescent="0.35">
      <c r="A1085" t="s">
        <v>473</v>
      </c>
      <c r="B1085" t="s">
        <v>474</v>
      </c>
      <c r="C1085" t="s">
        <v>30</v>
      </c>
      <c r="D1085" t="s">
        <v>205</v>
      </c>
      <c r="E1085" s="1">
        <v>36.630000000000003</v>
      </c>
      <c r="F1085" t="s">
        <v>206</v>
      </c>
      <c r="G1085">
        <v>80</v>
      </c>
      <c r="H1085" s="1">
        <v>29.304000000000002</v>
      </c>
      <c r="I1085" s="21">
        <v>44873</v>
      </c>
      <c r="J1085" s="21">
        <v>44877</v>
      </c>
      <c r="K1085" s="21">
        <f t="shared" si="57"/>
        <v>44877</v>
      </c>
      <c r="L1085" t="s">
        <v>234</v>
      </c>
      <c r="M1085" t="s">
        <v>67</v>
      </c>
      <c r="N1085" t="s">
        <v>68</v>
      </c>
      <c r="O1085">
        <v>1</v>
      </c>
      <c r="P1085" t="s">
        <v>475</v>
      </c>
      <c r="Q1085" t="s">
        <v>4729</v>
      </c>
      <c r="R1085" t="s">
        <v>4709</v>
      </c>
      <c r="S1085" t="s">
        <v>4717</v>
      </c>
      <c r="T1085">
        <f t="shared" si="50"/>
        <v>4</v>
      </c>
      <c r="U1085" s="21">
        <f t="shared" si="58"/>
        <v>45242</v>
      </c>
    </row>
    <row r="1086" spans="1:21" x14ac:dyDescent="0.35">
      <c r="A1086" t="s">
        <v>3687</v>
      </c>
      <c r="B1086" t="s">
        <v>3688</v>
      </c>
      <c r="C1086" t="s">
        <v>19</v>
      </c>
      <c r="D1086" t="s">
        <v>21</v>
      </c>
      <c r="E1086" s="1">
        <v>11.481</v>
      </c>
      <c r="F1086" t="s">
        <v>22</v>
      </c>
      <c r="G1086">
        <v>0</v>
      </c>
      <c r="H1086" s="1">
        <v>0</v>
      </c>
      <c r="I1086" s="21">
        <v>44507</v>
      </c>
      <c r="J1086" s="21">
        <v>44510</v>
      </c>
      <c r="K1086" s="21">
        <v>44510</v>
      </c>
      <c r="L1086" t="s">
        <v>39</v>
      </c>
      <c r="M1086" t="s">
        <v>46</v>
      </c>
      <c r="N1086" t="s">
        <v>47</v>
      </c>
      <c r="O1086">
        <v>1</v>
      </c>
      <c r="P1086" t="s">
        <v>3689</v>
      </c>
      <c r="Q1086" t="s">
        <v>4729</v>
      </c>
      <c r="R1086" t="s">
        <v>4512</v>
      </c>
      <c r="S1086" t="s">
        <v>4717</v>
      </c>
      <c r="T1086">
        <f t="shared" si="50"/>
        <v>3</v>
      </c>
      <c r="U1086" s="21">
        <f>J1086</f>
        <v>44510</v>
      </c>
    </row>
    <row r="1087" spans="1:21" x14ac:dyDescent="0.35">
      <c r="A1087" t="s">
        <v>1695</v>
      </c>
      <c r="B1087" t="s">
        <v>1696</v>
      </c>
      <c r="C1087" t="s">
        <v>19</v>
      </c>
      <c r="D1087" t="s">
        <v>212</v>
      </c>
      <c r="E1087" s="1">
        <v>5.76</v>
      </c>
      <c r="F1087" t="s">
        <v>206</v>
      </c>
      <c r="G1087">
        <v>100</v>
      </c>
      <c r="H1087" s="1">
        <v>5.76</v>
      </c>
      <c r="I1087" s="21">
        <v>44871</v>
      </c>
      <c r="J1087" s="21">
        <v>44871</v>
      </c>
      <c r="K1087" s="21">
        <f t="shared" ref="K1087:K1090" si="59">J1087</f>
        <v>44871</v>
      </c>
      <c r="L1087" t="s">
        <v>238</v>
      </c>
      <c r="M1087" t="s">
        <v>40</v>
      </c>
      <c r="N1087" t="s">
        <v>34</v>
      </c>
      <c r="O1087">
        <v>1</v>
      </c>
      <c r="P1087" t="s">
        <v>1697</v>
      </c>
      <c r="Q1087" t="s">
        <v>4517</v>
      </c>
      <c r="R1087" t="s">
        <v>4726</v>
      </c>
      <c r="S1087" t="s">
        <v>4717</v>
      </c>
      <c r="T1087">
        <f t="shared" si="50"/>
        <v>0</v>
      </c>
      <c r="U1087" s="21">
        <f t="shared" ref="U1087:U1090" si="60">J1087+365</f>
        <v>45236</v>
      </c>
    </row>
    <row r="1088" spans="1:21" x14ac:dyDescent="0.35">
      <c r="A1088" t="s">
        <v>1693</v>
      </c>
      <c r="B1088" t="s">
        <v>1694</v>
      </c>
      <c r="C1088" t="s">
        <v>30</v>
      </c>
      <c r="D1088" t="s">
        <v>205</v>
      </c>
      <c r="E1088" s="1">
        <v>3.5919999999999899</v>
      </c>
      <c r="F1088" t="s">
        <v>206</v>
      </c>
      <c r="G1088">
        <v>80</v>
      </c>
      <c r="H1088" s="1">
        <v>2.8735999999999922</v>
      </c>
      <c r="I1088" s="21">
        <v>44871</v>
      </c>
      <c r="J1088" s="21">
        <v>44877</v>
      </c>
      <c r="K1088" s="21">
        <f t="shared" si="59"/>
        <v>44877</v>
      </c>
      <c r="L1088" t="s">
        <v>213</v>
      </c>
      <c r="M1088" t="s">
        <v>33</v>
      </c>
      <c r="N1088" t="s">
        <v>34</v>
      </c>
      <c r="O1088">
        <v>1</v>
      </c>
      <c r="P1088" t="s">
        <v>55</v>
      </c>
      <c r="Q1088" t="s">
        <v>4517</v>
      </c>
      <c r="R1088" t="s">
        <v>4726</v>
      </c>
      <c r="S1088" t="s">
        <v>4717</v>
      </c>
      <c r="T1088">
        <f t="shared" si="50"/>
        <v>6</v>
      </c>
      <c r="U1088" s="21">
        <f t="shared" si="60"/>
        <v>45242</v>
      </c>
    </row>
    <row r="1089" spans="1:21" x14ac:dyDescent="0.35">
      <c r="A1089" t="s">
        <v>467</v>
      </c>
      <c r="B1089" t="s">
        <v>468</v>
      </c>
      <c r="C1089" t="s">
        <v>19</v>
      </c>
      <c r="D1089" t="s">
        <v>205</v>
      </c>
      <c r="E1089" s="1">
        <v>5.1759999999999904</v>
      </c>
      <c r="F1089" t="s">
        <v>206</v>
      </c>
      <c r="G1089">
        <v>80</v>
      </c>
      <c r="H1089" s="1">
        <v>4.1407999999999925</v>
      </c>
      <c r="I1089" s="21">
        <v>44871</v>
      </c>
      <c r="J1089" s="21">
        <v>44871</v>
      </c>
      <c r="K1089" s="21">
        <f t="shared" si="59"/>
        <v>44871</v>
      </c>
      <c r="L1089" t="s">
        <v>248</v>
      </c>
      <c r="M1089" t="s">
        <v>40</v>
      </c>
      <c r="N1089" t="s">
        <v>34</v>
      </c>
      <c r="O1089">
        <v>1</v>
      </c>
      <c r="P1089" t="s">
        <v>469</v>
      </c>
      <c r="Q1089" t="s">
        <v>4528</v>
      </c>
      <c r="R1089" t="s">
        <v>4721</v>
      </c>
      <c r="S1089" t="s">
        <v>4717</v>
      </c>
      <c r="T1089">
        <f t="shared" si="50"/>
        <v>0</v>
      </c>
      <c r="U1089" s="21">
        <f t="shared" si="60"/>
        <v>45236</v>
      </c>
    </row>
    <row r="1090" spans="1:21" x14ac:dyDescent="0.35">
      <c r="A1090" t="s">
        <v>2862</v>
      </c>
      <c r="B1090" t="s">
        <v>2863</v>
      </c>
      <c r="C1090" t="s">
        <v>30</v>
      </c>
      <c r="D1090" t="s">
        <v>212</v>
      </c>
      <c r="E1090" s="1">
        <v>6.0799999999999903</v>
      </c>
      <c r="F1090" t="s">
        <v>206</v>
      </c>
      <c r="G1090">
        <v>100</v>
      </c>
      <c r="H1090" s="1">
        <v>6.0799999999999903</v>
      </c>
      <c r="I1090" s="21">
        <v>44871</v>
      </c>
      <c r="J1090" s="21">
        <v>44875</v>
      </c>
      <c r="K1090" s="21">
        <f t="shared" si="59"/>
        <v>44875</v>
      </c>
      <c r="L1090" t="s">
        <v>207</v>
      </c>
      <c r="M1090" t="s">
        <v>82</v>
      </c>
      <c r="N1090" t="s">
        <v>47</v>
      </c>
      <c r="O1090">
        <v>1</v>
      </c>
      <c r="P1090" t="s">
        <v>2864</v>
      </c>
      <c r="Q1090" t="s">
        <v>4729</v>
      </c>
      <c r="R1090" t="s">
        <v>4726</v>
      </c>
      <c r="S1090" t="s">
        <v>4717</v>
      </c>
      <c r="T1090">
        <f t="shared" ref="T1090:T1153" si="61">J1090-I1090</f>
        <v>4</v>
      </c>
      <c r="U1090" s="21">
        <f t="shared" si="60"/>
        <v>45240</v>
      </c>
    </row>
    <row r="1091" spans="1:21" x14ac:dyDescent="0.35">
      <c r="A1091" t="s">
        <v>3684</v>
      </c>
      <c r="B1091" t="s">
        <v>3685</v>
      </c>
      <c r="C1091" t="s">
        <v>30</v>
      </c>
      <c r="D1091" t="s">
        <v>21</v>
      </c>
      <c r="E1091" s="1">
        <v>34.417999999999999</v>
      </c>
      <c r="F1091" t="s">
        <v>22</v>
      </c>
      <c r="G1091">
        <v>0</v>
      </c>
      <c r="H1091" s="1">
        <v>0</v>
      </c>
      <c r="I1091" s="21">
        <v>44506</v>
      </c>
      <c r="J1091" s="21">
        <v>44509</v>
      </c>
      <c r="K1091" s="21">
        <v>44509</v>
      </c>
      <c r="L1091" t="s">
        <v>63</v>
      </c>
      <c r="M1091" t="s">
        <v>40</v>
      </c>
      <c r="N1091" t="s">
        <v>34</v>
      </c>
      <c r="O1091">
        <v>1</v>
      </c>
      <c r="P1091" t="s">
        <v>3686</v>
      </c>
      <c r="Q1091" t="s">
        <v>4695</v>
      </c>
      <c r="R1091" t="s">
        <v>4726</v>
      </c>
      <c r="S1091" t="s">
        <v>4717</v>
      </c>
      <c r="T1091">
        <f t="shared" si="61"/>
        <v>3</v>
      </c>
      <c r="U1091" s="21">
        <f>J1091</f>
        <v>44509</v>
      </c>
    </row>
    <row r="1092" spans="1:21" x14ac:dyDescent="0.35">
      <c r="A1092" t="s">
        <v>2859</v>
      </c>
      <c r="B1092" t="s">
        <v>2860</v>
      </c>
      <c r="C1092" t="s">
        <v>30</v>
      </c>
      <c r="D1092" t="s">
        <v>205</v>
      </c>
      <c r="E1092" s="1">
        <v>339.96</v>
      </c>
      <c r="F1092" t="s">
        <v>206</v>
      </c>
      <c r="G1092">
        <v>80</v>
      </c>
      <c r="H1092" s="1">
        <v>271.96800000000002</v>
      </c>
      <c r="I1092" s="21">
        <v>44871</v>
      </c>
      <c r="J1092" s="21">
        <v>44875</v>
      </c>
      <c r="K1092" s="21">
        <f t="shared" ref="K1092:K1105" si="62">J1092</f>
        <v>44875</v>
      </c>
      <c r="L1092" t="s">
        <v>234</v>
      </c>
      <c r="M1092" t="s">
        <v>82</v>
      </c>
      <c r="N1092" t="s">
        <v>47</v>
      </c>
      <c r="O1092">
        <v>1</v>
      </c>
      <c r="P1092" t="s">
        <v>2861</v>
      </c>
      <c r="Q1092" t="s">
        <v>4513</v>
      </c>
      <c r="R1092" t="s">
        <v>4713</v>
      </c>
      <c r="S1092" t="s">
        <v>4719</v>
      </c>
      <c r="T1092">
        <f t="shared" si="61"/>
        <v>4</v>
      </c>
      <c r="U1092" s="21">
        <f t="shared" ref="U1092:U1105" si="63">J1092+365</f>
        <v>45240</v>
      </c>
    </row>
    <row r="1093" spans="1:21" x14ac:dyDescent="0.35">
      <c r="A1093" t="s">
        <v>470</v>
      </c>
      <c r="B1093" t="s">
        <v>471</v>
      </c>
      <c r="C1093" t="s">
        <v>19</v>
      </c>
      <c r="D1093" t="s">
        <v>212</v>
      </c>
      <c r="E1093" s="1">
        <v>270</v>
      </c>
      <c r="F1093" t="s">
        <v>206</v>
      </c>
      <c r="G1093">
        <v>100</v>
      </c>
      <c r="H1093" s="1">
        <v>270</v>
      </c>
      <c r="I1093" s="21">
        <v>44871</v>
      </c>
      <c r="J1093" s="21">
        <v>44875</v>
      </c>
      <c r="K1093" s="21">
        <f t="shared" si="62"/>
        <v>44875</v>
      </c>
      <c r="L1093" t="s">
        <v>234</v>
      </c>
      <c r="M1093" t="s">
        <v>146</v>
      </c>
      <c r="N1093" t="s">
        <v>73</v>
      </c>
      <c r="O1093">
        <v>1</v>
      </c>
      <c r="P1093" t="s">
        <v>472</v>
      </c>
      <c r="Q1093" t="s">
        <v>4568</v>
      </c>
      <c r="R1093" t="s">
        <v>4713</v>
      </c>
      <c r="S1093" t="s">
        <v>4719</v>
      </c>
      <c r="T1093">
        <f t="shared" si="61"/>
        <v>4</v>
      </c>
      <c r="U1093" s="21">
        <f t="shared" si="63"/>
        <v>45240</v>
      </c>
    </row>
    <row r="1094" spans="1:21" x14ac:dyDescent="0.35">
      <c r="A1094" t="s">
        <v>1690</v>
      </c>
      <c r="B1094" t="s">
        <v>1691</v>
      </c>
      <c r="C1094" t="s">
        <v>19</v>
      </c>
      <c r="D1094" t="s">
        <v>205</v>
      </c>
      <c r="E1094" s="1">
        <v>81.959999999999894</v>
      </c>
      <c r="F1094" t="s">
        <v>206</v>
      </c>
      <c r="G1094">
        <v>80</v>
      </c>
      <c r="H1094" s="1">
        <v>65.567999999999913</v>
      </c>
      <c r="I1094" s="21">
        <v>44869</v>
      </c>
      <c r="J1094" s="21">
        <v>44871</v>
      </c>
      <c r="K1094" s="21">
        <f t="shared" si="62"/>
        <v>44871</v>
      </c>
      <c r="L1094" t="s">
        <v>248</v>
      </c>
      <c r="M1094" t="s">
        <v>146</v>
      </c>
      <c r="N1094" t="s">
        <v>73</v>
      </c>
      <c r="O1094">
        <v>1</v>
      </c>
      <c r="P1094" t="s">
        <v>1692</v>
      </c>
      <c r="Q1094" t="s">
        <v>4637</v>
      </c>
      <c r="R1094" t="s">
        <v>4709</v>
      </c>
      <c r="S1094" t="s">
        <v>4718</v>
      </c>
      <c r="T1094">
        <f t="shared" si="61"/>
        <v>2</v>
      </c>
      <c r="U1094" s="21">
        <f t="shared" si="63"/>
        <v>45236</v>
      </c>
    </row>
    <row r="1095" spans="1:21" x14ac:dyDescent="0.35">
      <c r="A1095" t="s">
        <v>2857</v>
      </c>
      <c r="B1095" t="s">
        <v>2858</v>
      </c>
      <c r="C1095" t="s">
        <v>19</v>
      </c>
      <c r="D1095" t="s">
        <v>205</v>
      </c>
      <c r="E1095" s="1">
        <v>17.899999999999999</v>
      </c>
      <c r="F1095" t="s">
        <v>206</v>
      </c>
      <c r="G1095">
        <v>80</v>
      </c>
      <c r="H1095" s="1">
        <v>14.32</v>
      </c>
      <c r="I1095" s="21">
        <v>44869</v>
      </c>
      <c r="J1095" s="21">
        <v>44876</v>
      </c>
      <c r="K1095" s="21">
        <f t="shared" si="62"/>
        <v>44876</v>
      </c>
      <c r="L1095" t="s">
        <v>213</v>
      </c>
      <c r="M1095" t="s">
        <v>54</v>
      </c>
      <c r="N1095" t="s">
        <v>26</v>
      </c>
      <c r="O1095">
        <v>1</v>
      </c>
      <c r="P1095" t="s">
        <v>609</v>
      </c>
      <c r="Q1095" t="s">
        <v>4580</v>
      </c>
      <c r="R1095" t="s">
        <v>4713</v>
      </c>
      <c r="S1095" t="s">
        <v>4719</v>
      </c>
      <c r="T1095">
        <f t="shared" si="61"/>
        <v>7</v>
      </c>
      <c r="U1095" s="21">
        <f t="shared" si="63"/>
        <v>45241</v>
      </c>
    </row>
    <row r="1096" spans="1:21" x14ac:dyDescent="0.35">
      <c r="A1096" t="s">
        <v>1687</v>
      </c>
      <c r="B1096" t="s">
        <v>1688</v>
      </c>
      <c r="C1096" t="s">
        <v>19</v>
      </c>
      <c r="D1096" t="s">
        <v>212</v>
      </c>
      <c r="E1096" s="1">
        <v>8.016</v>
      </c>
      <c r="F1096" t="s">
        <v>206</v>
      </c>
      <c r="G1096">
        <v>100</v>
      </c>
      <c r="H1096" s="1">
        <v>8.016</v>
      </c>
      <c r="I1096" s="21">
        <v>44868</v>
      </c>
      <c r="J1096" s="21">
        <v>44870</v>
      </c>
      <c r="K1096" s="21">
        <f t="shared" si="62"/>
        <v>44870</v>
      </c>
      <c r="L1096" t="s">
        <v>238</v>
      </c>
      <c r="M1096" t="s">
        <v>146</v>
      </c>
      <c r="N1096" t="s">
        <v>73</v>
      </c>
      <c r="O1096">
        <v>1</v>
      </c>
      <c r="P1096" t="s">
        <v>1689</v>
      </c>
      <c r="Q1096" t="s">
        <v>4517</v>
      </c>
      <c r="R1096" t="s">
        <v>4726</v>
      </c>
      <c r="S1096" t="s">
        <v>4717</v>
      </c>
      <c r="T1096">
        <f t="shared" si="61"/>
        <v>2</v>
      </c>
      <c r="U1096" s="21">
        <f t="shared" si="63"/>
        <v>45235</v>
      </c>
    </row>
    <row r="1097" spans="1:21" x14ac:dyDescent="0.35">
      <c r="A1097" t="s">
        <v>2854</v>
      </c>
      <c r="B1097" t="s">
        <v>2855</v>
      </c>
      <c r="C1097" t="s">
        <v>19</v>
      </c>
      <c r="D1097" t="s">
        <v>212</v>
      </c>
      <c r="E1097" s="1">
        <v>37.375999999999998</v>
      </c>
      <c r="F1097" t="s">
        <v>206</v>
      </c>
      <c r="G1097">
        <v>100</v>
      </c>
      <c r="H1097" s="1">
        <v>37.375999999999998</v>
      </c>
      <c r="I1097" s="21">
        <v>44868</v>
      </c>
      <c r="J1097" s="21">
        <v>44873</v>
      </c>
      <c r="K1097" s="21">
        <f t="shared" si="62"/>
        <v>44873</v>
      </c>
      <c r="L1097" t="s">
        <v>238</v>
      </c>
      <c r="M1097" t="s">
        <v>46</v>
      </c>
      <c r="N1097" t="s">
        <v>47</v>
      </c>
      <c r="O1097">
        <v>1</v>
      </c>
      <c r="P1097" t="s">
        <v>2856</v>
      </c>
      <c r="Q1097" t="s">
        <v>4517</v>
      </c>
      <c r="R1097" t="s">
        <v>4726</v>
      </c>
      <c r="S1097" t="s">
        <v>4717</v>
      </c>
      <c r="T1097">
        <f t="shared" si="61"/>
        <v>5</v>
      </c>
      <c r="U1097" s="21">
        <f t="shared" si="63"/>
        <v>45238</v>
      </c>
    </row>
    <row r="1098" spans="1:21" x14ac:dyDescent="0.35">
      <c r="A1098" t="s">
        <v>461</v>
      </c>
      <c r="B1098" t="s">
        <v>462</v>
      </c>
      <c r="C1098" t="s">
        <v>19</v>
      </c>
      <c r="D1098" t="s">
        <v>205</v>
      </c>
      <c r="E1098" s="1">
        <v>287.94</v>
      </c>
      <c r="F1098" t="s">
        <v>206</v>
      </c>
      <c r="G1098">
        <v>80</v>
      </c>
      <c r="H1098" s="1">
        <v>230.352</v>
      </c>
      <c r="I1098" s="21">
        <v>44868</v>
      </c>
      <c r="J1098" s="21">
        <v>44871</v>
      </c>
      <c r="K1098" s="21">
        <f t="shared" si="62"/>
        <v>44871</v>
      </c>
      <c r="L1098" t="s">
        <v>238</v>
      </c>
      <c r="M1098" t="s">
        <v>72</v>
      </c>
      <c r="N1098" t="s">
        <v>73</v>
      </c>
      <c r="O1098">
        <v>1</v>
      </c>
      <c r="P1098" t="s">
        <v>463</v>
      </c>
      <c r="Q1098" t="s">
        <v>4567</v>
      </c>
      <c r="R1098" t="s">
        <v>4714</v>
      </c>
      <c r="S1098" t="s">
        <v>4718</v>
      </c>
      <c r="T1098">
        <f t="shared" si="61"/>
        <v>3</v>
      </c>
      <c r="U1098" s="21">
        <f t="shared" si="63"/>
        <v>45236</v>
      </c>
    </row>
    <row r="1099" spans="1:21" x14ac:dyDescent="0.35">
      <c r="A1099" t="s">
        <v>464</v>
      </c>
      <c r="B1099" t="s">
        <v>465</v>
      </c>
      <c r="C1099" t="s">
        <v>19</v>
      </c>
      <c r="D1099" t="s">
        <v>212</v>
      </c>
      <c r="E1099" s="1">
        <v>83.72</v>
      </c>
      <c r="F1099" t="s">
        <v>206</v>
      </c>
      <c r="G1099">
        <v>100</v>
      </c>
      <c r="H1099" s="1">
        <v>83.72</v>
      </c>
      <c r="I1099" s="21">
        <v>44868</v>
      </c>
      <c r="J1099" s="21">
        <v>44872</v>
      </c>
      <c r="K1099" s="21">
        <f t="shared" si="62"/>
        <v>44872</v>
      </c>
      <c r="L1099" t="s">
        <v>220</v>
      </c>
      <c r="M1099" t="s">
        <v>146</v>
      </c>
      <c r="N1099" t="s">
        <v>73</v>
      </c>
      <c r="O1099">
        <v>1</v>
      </c>
      <c r="P1099" t="s">
        <v>466</v>
      </c>
      <c r="Q1099" t="s">
        <v>4729</v>
      </c>
      <c r="R1099" t="s">
        <v>4711</v>
      </c>
      <c r="S1099" t="s">
        <v>4719</v>
      </c>
      <c r="T1099">
        <f t="shared" si="61"/>
        <v>4</v>
      </c>
      <c r="U1099" s="21">
        <f t="shared" si="63"/>
        <v>45237</v>
      </c>
    </row>
    <row r="1100" spans="1:21" x14ac:dyDescent="0.35">
      <c r="A1100" t="s">
        <v>3899</v>
      </c>
      <c r="B1100" t="s">
        <v>3900</v>
      </c>
      <c r="C1100" t="s">
        <v>30</v>
      </c>
      <c r="D1100" t="s">
        <v>205</v>
      </c>
      <c r="E1100" s="1">
        <v>72.78</v>
      </c>
      <c r="F1100" t="s">
        <v>206</v>
      </c>
      <c r="G1100">
        <v>80</v>
      </c>
      <c r="H1100" s="1">
        <v>58.224000000000004</v>
      </c>
      <c r="I1100" s="21">
        <v>44868</v>
      </c>
      <c r="J1100" s="21">
        <v>44868</v>
      </c>
      <c r="K1100" s="21">
        <f t="shared" si="62"/>
        <v>44868</v>
      </c>
      <c r="L1100" t="s">
        <v>213</v>
      </c>
      <c r="M1100" t="s">
        <v>146</v>
      </c>
      <c r="N1100" t="s">
        <v>73</v>
      </c>
      <c r="O1100">
        <v>1</v>
      </c>
      <c r="P1100" t="s">
        <v>3901</v>
      </c>
      <c r="Q1100" t="s">
        <v>4729</v>
      </c>
      <c r="R1100" t="s">
        <v>4721</v>
      </c>
      <c r="S1100" t="s">
        <v>4717</v>
      </c>
      <c r="T1100">
        <f t="shared" si="61"/>
        <v>0</v>
      </c>
      <c r="U1100" s="21">
        <f t="shared" si="63"/>
        <v>45233</v>
      </c>
    </row>
    <row r="1101" spans="1:21" x14ac:dyDescent="0.35">
      <c r="A1101" t="s">
        <v>458</v>
      </c>
      <c r="B1101" t="s">
        <v>459</v>
      </c>
      <c r="C1101" t="s">
        <v>30</v>
      </c>
      <c r="D1101" t="s">
        <v>205</v>
      </c>
      <c r="E1101" s="1">
        <v>66.293999999999997</v>
      </c>
      <c r="F1101" t="s">
        <v>206</v>
      </c>
      <c r="G1101">
        <v>80</v>
      </c>
      <c r="H1101" s="1">
        <v>53.035200000000003</v>
      </c>
      <c r="I1101" s="21">
        <v>44867</v>
      </c>
      <c r="J1101" s="21">
        <v>44871</v>
      </c>
      <c r="K1101" s="21">
        <f t="shared" si="62"/>
        <v>44871</v>
      </c>
      <c r="L1101" t="s">
        <v>234</v>
      </c>
      <c r="M1101" t="s">
        <v>46</v>
      </c>
      <c r="N1101" t="s">
        <v>47</v>
      </c>
      <c r="O1101">
        <v>1</v>
      </c>
      <c r="P1101" t="s">
        <v>460</v>
      </c>
      <c r="Q1101" t="s">
        <v>4566</v>
      </c>
      <c r="R1101" t="s">
        <v>4723</v>
      </c>
      <c r="S1101" t="s">
        <v>4718</v>
      </c>
      <c r="T1101">
        <f t="shared" si="61"/>
        <v>4</v>
      </c>
      <c r="U1101" s="21">
        <f t="shared" si="63"/>
        <v>45236</v>
      </c>
    </row>
    <row r="1102" spans="1:21" x14ac:dyDescent="0.35">
      <c r="A1102" t="s">
        <v>1684</v>
      </c>
      <c r="B1102" t="s">
        <v>1685</v>
      </c>
      <c r="C1102" t="s">
        <v>30</v>
      </c>
      <c r="D1102" t="s">
        <v>212</v>
      </c>
      <c r="E1102" s="1">
        <v>11.214</v>
      </c>
      <c r="F1102" t="s">
        <v>206</v>
      </c>
      <c r="G1102">
        <v>100</v>
      </c>
      <c r="H1102" s="1">
        <v>11.214</v>
      </c>
      <c r="I1102" s="21">
        <v>44867</v>
      </c>
      <c r="J1102" s="21">
        <v>44870</v>
      </c>
      <c r="K1102" s="21">
        <f t="shared" si="62"/>
        <v>44870</v>
      </c>
      <c r="L1102" t="s">
        <v>213</v>
      </c>
      <c r="M1102" t="s">
        <v>72</v>
      </c>
      <c r="N1102" t="s">
        <v>73</v>
      </c>
      <c r="O1102">
        <v>1</v>
      </c>
      <c r="P1102" t="s">
        <v>1686</v>
      </c>
      <c r="Q1102" t="s">
        <v>4729</v>
      </c>
      <c r="R1102" t="s">
        <v>4726</v>
      </c>
      <c r="S1102" t="s">
        <v>4717</v>
      </c>
      <c r="T1102">
        <f t="shared" si="61"/>
        <v>3</v>
      </c>
      <c r="U1102" s="21">
        <f t="shared" si="63"/>
        <v>45235</v>
      </c>
    </row>
    <row r="1103" spans="1:21" x14ac:dyDescent="0.35">
      <c r="A1103" t="s">
        <v>3897</v>
      </c>
      <c r="B1103" t="s">
        <v>3898</v>
      </c>
      <c r="C1103" t="s">
        <v>30</v>
      </c>
      <c r="D1103" t="s">
        <v>212</v>
      </c>
      <c r="E1103" s="1">
        <v>57.503999999999998</v>
      </c>
      <c r="F1103" t="s">
        <v>206</v>
      </c>
      <c r="G1103">
        <v>100</v>
      </c>
      <c r="H1103" s="1">
        <v>57.503999999999998</v>
      </c>
      <c r="I1103" s="21">
        <v>44867</v>
      </c>
      <c r="J1103" s="21">
        <v>44874</v>
      </c>
      <c r="K1103" s="21">
        <f t="shared" si="62"/>
        <v>44874</v>
      </c>
      <c r="L1103" t="s">
        <v>238</v>
      </c>
      <c r="M1103" t="s">
        <v>97</v>
      </c>
      <c r="N1103" t="s">
        <v>68</v>
      </c>
      <c r="O1103">
        <v>1</v>
      </c>
      <c r="P1103" t="s">
        <v>3022</v>
      </c>
      <c r="Q1103" t="s">
        <v>4528</v>
      </c>
      <c r="R1103" t="s">
        <v>4726</v>
      </c>
      <c r="S1103" t="s">
        <v>4717</v>
      </c>
      <c r="T1103">
        <f t="shared" si="61"/>
        <v>7</v>
      </c>
      <c r="U1103" s="21">
        <f t="shared" si="63"/>
        <v>45239</v>
      </c>
    </row>
    <row r="1104" spans="1:21" x14ac:dyDescent="0.35">
      <c r="A1104" t="s">
        <v>1679</v>
      </c>
      <c r="B1104" t="s">
        <v>1680</v>
      </c>
      <c r="C1104" t="s">
        <v>30</v>
      </c>
      <c r="D1104" t="s">
        <v>212</v>
      </c>
      <c r="E1104" s="1">
        <v>51.12</v>
      </c>
      <c r="F1104" t="s">
        <v>206</v>
      </c>
      <c r="G1104">
        <v>100</v>
      </c>
      <c r="H1104" s="1">
        <v>51.12</v>
      </c>
      <c r="I1104" s="21">
        <v>44867</v>
      </c>
      <c r="J1104" s="21">
        <v>44869</v>
      </c>
      <c r="K1104" s="21">
        <f t="shared" si="62"/>
        <v>44869</v>
      </c>
      <c r="L1104" t="s">
        <v>207</v>
      </c>
      <c r="M1104" t="s">
        <v>25</v>
      </c>
      <c r="N1104" t="s">
        <v>26</v>
      </c>
      <c r="O1104">
        <v>1</v>
      </c>
      <c r="P1104" t="s">
        <v>1681</v>
      </c>
      <c r="Q1104" t="s">
        <v>4636</v>
      </c>
      <c r="R1104" t="s">
        <v>4512</v>
      </c>
      <c r="S1104" t="s">
        <v>4717</v>
      </c>
      <c r="T1104">
        <f t="shared" si="61"/>
        <v>2</v>
      </c>
      <c r="U1104" s="21">
        <f t="shared" si="63"/>
        <v>45234</v>
      </c>
    </row>
    <row r="1105" spans="1:21" x14ac:dyDescent="0.35">
      <c r="A1105" t="s">
        <v>1682</v>
      </c>
      <c r="B1105" t="s">
        <v>1683</v>
      </c>
      <c r="C1105" t="s">
        <v>30</v>
      </c>
      <c r="D1105" t="s">
        <v>212</v>
      </c>
      <c r="E1105" s="1">
        <v>90</v>
      </c>
      <c r="F1105" t="s">
        <v>206</v>
      </c>
      <c r="G1105">
        <v>100</v>
      </c>
      <c r="H1105" s="1">
        <v>90</v>
      </c>
      <c r="I1105" s="21">
        <v>44867</v>
      </c>
      <c r="J1105" s="21">
        <v>44872</v>
      </c>
      <c r="K1105" s="21">
        <f t="shared" si="62"/>
        <v>44872</v>
      </c>
      <c r="L1105" t="s">
        <v>238</v>
      </c>
      <c r="M1105" t="s">
        <v>54</v>
      </c>
      <c r="N1105" t="s">
        <v>26</v>
      </c>
      <c r="O1105">
        <v>1</v>
      </c>
      <c r="P1105" t="s">
        <v>472</v>
      </c>
      <c r="Q1105" t="s">
        <v>4568</v>
      </c>
      <c r="R1105" t="s">
        <v>4713</v>
      </c>
      <c r="S1105" t="s">
        <v>4719</v>
      </c>
      <c r="T1105">
        <f t="shared" si="61"/>
        <v>5</v>
      </c>
      <c r="U1105" s="21">
        <f t="shared" si="63"/>
        <v>45237</v>
      </c>
    </row>
    <row r="1106" spans="1:21" x14ac:dyDescent="0.35">
      <c r="A1106" t="s">
        <v>3681</v>
      </c>
      <c r="B1106" t="s">
        <v>3682</v>
      </c>
      <c r="C1106" t="s">
        <v>30</v>
      </c>
      <c r="D1106" t="s">
        <v>21</v>
      </c>
      <c r="E1106" s="1">
        <v>38.527999999999999</v>
      </c>
      <c r="F1106" t="s">
        <v>22</v>
      </c>
      <c r="G1106">
        <v>0</v>
      </c>
      <c r="H1106" s="1">
        <v>0</v>
      </c>
      <c r="I1106" s="21">
        <v>44502</v>
      </c>
      <c r="J1106" s="21">
        <v>44504</v>
      </c>
      <c r="K1106" s="21">
        <v>44504</v>
      </c>
      <c r="L1106" t="s">
        <v>39</v>
      </c>
      <c r="M1106" t="s">
        <v>97</v>
      </c>
      <c r="N1106" t="s">
        <v>68</v>
      </c>
      <c r="O1106">
        <v>1</v>
      </c>
      <c r="P1106" t="s">
        <v>3683</v>
      </c>
      <c r="Q1106" t="s">
        <v>4538</v>
      </c>
      <c r="R1106" t="s">
        <v>4713</v>
      </c>
      <c r="S1106" t="s">
        <v>4719</v>
      </c>
      <c r="T1106">
        <f t="shared" si="61"/>
        <v>2</v>
      </c>
      <c r="U1106" s="21">
        <f>J1106</f>
        <v>44504</v>
      </c>
    </row>
    <row r="1107" spans="1:21" x14ac:dyDescent="0.35">
      <c r="A1107" t="s">
        <v>455</v>
      </c>
      <c r="B1107" t="s">
        <v>456</v>
      </c>
      <c r="C1107" t="s">
        <v>30</v>
      </c>
      <c r="D1107" t="s">
        <v>205</v>
      </c>
      <c r="E1107" s="1">
        <v>10.944000000000001</v>
      </c>
      <c r="F1107" t="s">
        <v>206</v>
      </c>
      <c r="G1107">
        <v>80</v>
      </c>
      <c r="H1107" s="1">
        <v>8.7552000000000003</v>
      </c>
      <c r="I1107" s="21">
        <v>44866</v>
      </c>
      <c r="J1107" s="21">
        <v>44872</v>
      </c>
      <c r="K1107" s="21">
        <f t="shared" ref="K1107:K1117" si="64">J1107</f>
        <v>44872</v>
      </c>
      <c r="L1107" t="s">
        <v>207</v>
      </c>
      <c r="M1107" t="s">
        <v>82</v>
      </c>
      <c r="N1107" t="s">
        <v>47</v>
      </c>
      <c r="O1107">
        <v>1</v>
      </c>
      <c r="P1107" t="s">
        <v>457</v>
      </c>
      <c r="Q1107" t="s">
        <v>4546</v>
      </c>
      <c r="R1107" t="s">
        <v>4726</v>
      </c>
      <c r="S1107" t="s">
        <v>4717</v>
      </c>
      <c r="T1107">
        <f t="shared" si="61"/>
        <v>6</v>
      </c>
      <c r="U1107" s="21">
        <f t="shared" ref="U1107:U1117" si="65">J1107+365</f>
        <v>45237</v>
      </c>
    </row>
    <row r="1108" spans="1:21" x14ac:dyDescent="0.35">
      <c r="A1108" t="s">
        <v>2851</v>
      </c>
      <c r="B1108" t="s">
        <v>2852</v>
      </c>
      <c r="C1108" t="s">
        <v>19</v>
      </c>
      <c r="D1108" t="s">
        <v>212</v>
      </c>
      <c r="E1108" s="1">
        <v>47.19</v>
      </c>
      <c r="F1108" t="s">
        <v>206</v>
      </c>
      <c r="G1108">
        <v>100</v>
      </c>
      <c r="H1108" s="1">
        <v>47.19</v>
      </c>
      <c r="I1108" s="21">
        <v>44866</v>
      </c>
      <c r="J1108" s="21">
        <v>44870</v>
      </c>
      <c r="K1108" s="21">
        <f t="shared" si="64"/>
        <v>44870</v>
      </c>
      <c r="L1108" t="s">
        <v>248</v>
      </c>
      <c r="M1108" t="s">
        <v>46</v>
      </c>
      <c r="N1108" t="s">
        <v>47</v>
      </c>
      <c r="O1108">
        <v>1</v>
      </c>
      <c r="P1108" t="s">
        <v>2853</v>
      </c>
      <c r="Q1108" t="s">
        <v>4546</v>
      </c>
      <c r="R1108" t="s">
        <v>4726</v>
      </c>
      <c r="S1108" t="s">
        <v>4717</v>
      </c>
      <c r="T1108">
        <f t="shared" si="61"/>
        <v>4</v>
      </c>
      <c r="U1108" s="21">
        <f t="shared" si="65"/>
        <v>45235</v>
      </c>
    </row>
    <row r="1109" spans="1:21" x14ac:dyDescent="0.35">
      <c r="A1109" t="s">
        <v>2848</v>
      </c>
      <c r="B1109" t="s">
        <v>2849</v>
      </c>
      <c r="C1109" t="s">
        <v>19</v>
      </c>
      <c r="D1109" t="s">
        <v>205</v>
      </c>
      <c r="E1109" s="1">
        <v>1871.88</v>
      </c>
      <c r="F1109" t="s">
        <v>206</v>
      </c>
      <c r="G1109">
        <v>80</v>
      </c>
      <c r="H1109" s="1">
        <v>1497.5040000000001</v>
      </c>
      <c r="I1109" s="21">
        <v>44865</v>
      </c>
      <c r="J1109" s="21">
        <v>44868</v>
      </c>
      <c r="K1109" s="21">
        <f t="shared" si="64"/>
        <v>44868</v>
      </c>
      <c r="L1109" t="s">
        <v>234</v>
      </c>
      <c r="M1109" t="s">
        <v>33</v>
      </c>
      <c r="N1109" t="s">
        <v>34</v>
      </c>
      <c r="O1109">
        <v>1</v>
      </c>
      <c r="P1109" t="s">
        <v>2850</v>
      </c>
      <c r="Q1109" t="s">
        <v>4551</v>
      </c>
      <c r="R1109" t="s">
        <v>4711</v>
      </c>
      <c r="S1109" t="s">
        <v>4719</v>
      </c>
      <c r="T1109">
        <f t="shared" si="61"/>
        <v>3</v>
      </c>
      <c r="U1109" s="21">
        <f t="shared" si="65"/>
        <v>45233</v>
      </c>
    </row>
    <row r="1110" spans="1:21" x14ac:dyDescent="0.35">
      <c r="A1110" t="s">
        <v>453</v>
      </c>
      <c r="B1110" t="s">
        <v>454</v>
      </c>
      <c r="C1110" t="s">
        <v>19</v>
      </c>
      <c r="D1110" t="s">
        <v>205</v>
      </c>
      <c r="E1110" s="1">
        <v>1.08</v>
      </c>
      <c r="F1110" t="s">
        <v>206</v>
      </c>
      <c r="G1110">
        <v>80</v>
      </c>
      <c r="H1110" s="1">
        <v>0.8640000000000001</v>
      </c>
      <c r="I1110" s="21">
        <v>44865</v>
      </c>
      <c r="J1110" s="21">
        <v>44865</v>
      </c>
      <c r="K1110" s="21">
        <f t="shared" si="64"/>
        <v>44865</v>
      </c>
      <c r="L1110" t="s">
        <v>213</v>
      </c>
      <c r="M1110" t="s">
        <v>46</v>
      </c>
      <c r="N1110" t="s">
        <v>47</v>
      </c>
      <c r="O1110">
        <v>1</v>
      </c>
      <c r="P1110" t="s">
        <v>273</v>
      </c>
      <c r="Q1110" t="s">
        <v>4515</v>
      </c>
      <c r="R1110" t="s">
        <v>4726</v>
      </c>
      <c r="S1110" t="s">
        <v>4717</v>
      </c>
      <c r="T1110">
        <f t="shared" si="61"/>
        <v>0</v>
      </c>
      <c r="U1110" s="21">
        <f t="shared" si="65"/>
        <v>45230</v>
      </c>
    </row>
    <row r="1111" spans="1:21" x14ac:dyDescent="0.35">
      <c r="A1111" t="s">
        <v>450</v>
      </c>
      <c r="B1111" t="s">
        <v>451</v>
      </c>
      <c r="C1111" t="s">
        <v>30</v>
      </c>
      <c r="D1111" t="s">
        <v>212</v>
      </c>
      <c r="E1111" s="1">
        <v>154.9</v>
      </c>
      <c r="F1111" t="s">
        <v>206</v>
      </c>
      <c r="G1111">
        <v>100</v>
      </c>
      <c r="H1111" s="1">
        <v>154.9</v>
      </c>
      <c r="I1111" s="21">
        <v>44865</v>
      </c>
      <c r="J1111" s="21">
        <v>44867</v>
      </c>
      <c r="K1111" s="21">
        <f t="shared" si="64"/>
        <v>44867</v>
      </c>
      <c r="L1111" t="s">
        <v>213</v>
      </c>
      <c r="M1111" t="s">
        <v>46</v>
      </c>
      <c r="N1111" t="s">
        <v>47</v>
      </c>
      <c r="O1111">
        <v>1</v>
      </c>
      <c r="P1111" t="s">
        <v>452</v>
      </c>
      <c r="Q1111" t="s">
        <v>4519</v>
      </c>
      <c r="R1111" t="s">
        <v>4726</v>
      </c>
      <c r="S1111" t="s">
        <v>4717</v>
      </c>
      <c r="T1111">
        <f t="shared" si="61"/>
        <v>2</v>
      </c>
      <c r="U1111" s="21">
        <f t="shared" si="65"/>
        <v>45232</v>
      </c>
    </row>
    <row r="1112" spans="1:21" x14ac:dyDescent="0.35">
      <c r="A1112" t="s">
        <v>1676</v>
      </c>
      <c r="B1112" t="s">
        <v>1677</v>
      </c>
      <c r="C1112" t="s">
        <v>19</v>
      </c>
      <c r="D1112" t="s">
        <v>212</v>
      </c>
      <c r="E1112" s="1">
        <v>159.97999999999999</v>
      </c>
      <c r="F1112" t="s">
        <v>206</v>
      </c>
      <c r="G1112">
        <v>100</v>
      </c>
      <c r="H1112" s="1">
        <v>159.97999999999999</v>
      </c>
      <c r="I1112" s="21">
        <v>44861</v>
      </c>
      <c r="J1112" s="21">
        <v>44865</v>
      </c>
      <c r="K1112" s="21">
        <f t="shared" si="64"/>
        <v>44865</v>
      </c>
      <c r="L1112" t="s">
        <v>213</v>
      </c>
      <c r="M1112" t="s">
        <v>82</v>
      </c>
      <c r="N1112" t="s">
        <v>47</v>
      </c>
      <c r="O1112">
        <v>1</v>
      </c>
      <c r="P1112" t="s">
        <v>1678</v>
      </c>
      <c r="Q1112" t="s">
        <v>4513</v>
      </c>
      <c r="R1112" t="s">
        <v>4713</v>
      </c>
      <c r="S1112" t="s">
        <v>4719</v>
      </c>
      <c r="T1112">
        <f t="shared" si="61"/>
        <v>4</v>
      </c>
      <c r="U1112" s="21">
        <f t="shared" si="65"/>
        <v>45230</v>
      </c>
    </row>
    <row r="1113" spans="1:21" x14ac:dyDescent="0.35">
      <c r="A1113" t="s">
        <v>1673</v>
      </c>
      <c r="B1113" t="s">
        <v>1674</v>
      </c>
      <c r="C1113" t="s">
        <v>19</v>
      </c>
      <c r="D1113" t="s">
        <v>205</v>
      </c>
      <c r="E1113" s="1">
        <v>307.13600000000002</v>
      </c>
      <c r="F1113" t="s">
        <v>206</v>
      </c>
      <c r="G1113">
        <v>80</v>
      </c>
      <c r="H1113" s="1">
        <v>245.70880000000002</v>
      </c>
      <c r="I1113" s="21">
        <v>44860</v>
      </c>
      <c r="J1113" s="21">
        <v>44862</v>
      </c>
      <c r="K1113" s="21">
        <f t="shared" si="64"/>
        <v>44862</v>
      </c>
      <c r="L1113" t="s">
        <v>248</v>
      </c>
      <c r="M1113" t="s">
        <v>146</v>
      </c>
      <c r="N1113" t="s">
        <v>73</v>
      </c>
      <c r="O1113">
        <v>1</v>
      </c>
      <c r="P1113" t="s">
        <v>1675</v>
      </c>
      <c r="Q1113" t="s">
        <v>4567</v>
      </c>
      <c r="R1113" t="s">
        <v>4714</v>
      </c>
      <c r="S1113" t="s">
        <v>4718</v>
      </c>
      <c r="T1113">
        <f t="shared" si="61"/>
        <v>2</v>
      </c>
      <c r="U1113" s="21">
        <f t="shared" si="65"/>
        <v>45227</v>
      </c>
    </row>
    <row r="1114" spans="1:21" x14ac:dyDescent="0.35">
      <c r="A1114" t="s">
        <v>2845</v>
      </c>
      <c r="B1114" t="s">
        <v>2846</v>
      </c>
      <c r="C1114" t="s">
        <v>30</v>
      </c>
      <c r="D1114" t="s">
        <v>212</v>
      </c>
      <c r="E1114" s="1">
        <v>12.6</v>
      </c>
      <c r="F1114" t="s">
        <v>206</v>
      </c>
      <c r="G1114">
        <v>100</v>
      </c>
      <c r="H1114" s="1">
        <v>12.6</v>
      </c>
      <c r="I1114" s="21">
        <v>44860</v>
      </c>
      <c r="J1114" s="21">
        <v>44860</v>
      </c>
      <c r="K1114" s="21">
        <f t="shared" si="64"/>
        <v>44860</v>
      </c>
      <c r="L1114" t="s">
        <v>248</v>
      </c>
      <c r="M1114" t="s">
        <v>67</v>
      </c>
      <c r="N1114" t="s">
        <v>68</v>
      </c>
      <c r="O1114">
        <v>1</v>
      </c>
      <c r="P1114" t="s">
        <v>2847</v>
      </c>
      <c r="Q1114" t="s">
        <v>4729</v>
      </c>
      <c r="R1114" t="s">
        <v>4721</v>
      </c>
      <c r="S1114" t="s">
        <v>4717</v>
      </c>
      <c r="T1114">
        <f t="shared" si="61"/>
        <v>0</v>
      </c>
      <c r="U1114" s="21">
        <f t="shared" si="65"/>
        <v>45225</v>
      </c>
    </row>
    <row r="1115" spans="1:21" x14ac:dyDescent="0.35">
      <c r="A1115" t="s">
        <v>1670</v>
      </c>
      <c r="B1115" t="s">
        <v>1671</v>
      </c>
      <c r="C1115" t="s">
        <v>19</v>
      </c>
      <c r="D1115" t="s">
        <v>205</v>
      </c>
      <c r="E1115" s="1">
        <v>50</v>
      </c>
      <c r="F1115" t="s">
        <v>206</v>
      </c>
      <c r="G1115">
        <v>80</v>
      </c>
      <c r="H1115" s="1">
        <v>40</v>
      </c>
      <c r="I1115" s="21">
        <v>44859</v>
      </c>
      <c r="J1115" s="21">
        <v>44864</v>
      </c>
      <c r="K1115" s="21">
        <f t="shared" si="64"/>
        <v>44864</v>
      </c>
      <c r="L1115" t="s">
        <v>207</v>
      </c>
      <c r="M1115" t="s">
        <v>46</v>
      </c>
      <c r="N1115" t="s">
        <v>47</v>
      </c>
      <c r="O1115">
        <v>1</v>
      </c>
      <c r="P1115" t="s">
        <v>1672</v>
      </c>
      <c r="Q1115" t="s">
        <v>4635</v>
      </c>
      <c r="R1115" t="s">
        <v>4713</v>
      </c>
      <c r="S1115" t="s">
        <v>4719</v>
      </c>
      <c r="T1115">
        <f t="shared" si="61"/>
        <v>5</v>
      </c>
      <c r="U1115" s="21">
        <f t="shared" si="65"/>
        <v>45229</v>
      </c>
    </row>
    <row r="1116" spans="1:21" x14ac:dyDescent="0.35">
      <c r="A1116" t="s">
        <v>447</v>
      </c>
      <c r="B1116" t="s">
        <v>448</v>
      </c>
      <c r="C1116" t="s">
        <v>19</v>
      </c>
      <c r="D1116" t="s">
        <v>205</v>
      </c>
      <c r="E1116" s="1">
        <v>263.95999999999998</v>
      </c>
      <c r="F1116" t="s">
        <v>206</v>
      </c>
      <c r="G1116">
        <v>80</v>
      </c>
      <c r="H1116" s="1">
        <v>211.16800000000001</v>
      </c>
      <c r="I1116" s="21">
        <v>44859</v>
      </c>
      <c r="J1116" s="21">
        <v>44862</v>
      </c>
      <c r="K1116" s="21">
        <f t="shared" si="64"/>
        <v>44862</v>
      </c>
      <c r="L1116" t="s">
        <v>207</v>
      </c>
      <c r="M1116" t="s">
        <v>40</v>
      </c>
      <c r="N1116" t="s">
        <v>34</v>
      </c>
      <c r="O1116">
        <v>1</v>
      </c>
      <c r="P1116" t="s">
        <v>449</v>
      </c>
      <c r="Q1116" t="s">
        <v>4565</v>
      </c>
      <c r="R1116" t="s">
        <v>4711</v>
      </c>
      <c r="S1116" t="s">
        <v>4719</v>
      </c>
      <c r="T1116">
        <f t="shared" si="61"/>
        <v>3</v>
      </c>
      <c r="U1116" s="21">
        <f t="shared" si="65"/>
        <v>45227</v>
      </c>
    </row>
    <row r="1117" spans="1:21" x14ac:dyDescent="0.35">
      <c r="A1117" t="s">
        <v>2842</v>
      </c>
      <c r="B1117" t="s">
        <v>2843</v>
      </c>
      <c r="C1117" t="s">
        <v>19</v>
      </c>
      <c r="D1117" t="s">
        <v>205</v>
      </c>
      <c r="E1117" s="1">
        <v>128.744</v>
      </c>
      <c r="F1117" t="s">
        <v>206</v>
      </c>
      <c r="G1117">
        <v>80</v>
      </c>
      <c r="H1117" s="1">
        <v>102.99520000000001</v>
      </c>
      <c r="I1117" s="21">
        <v>44858</v>
      </c>
      <c r="J1117" s="21">
        <v>44863</v>
      </c>
      <c r="K1117" s="21">
        <f t="shared" si="64"/>
        <v>44863</v>
      </c>
      <c r="L1117" t="s">
        <v>207</v>
      </c>
      <c r="M1117" t="s">
        <v>40</v>
      </c>
      <c r="N1117" t="s">
        <v>34</v>
      </c>
      <c r="O1117">
        <v>1</v>
      </c>
      <c r="P1117" t="s">
        <v>2844</v>
      </c>
      <c r="Q1117" t="s">
        <v>4531</v>
      </c>
      <c r="R1117" t="s">
        <v>4726</v>
      </c>
      <c r="S1117" t="s">
        <v>4717</v>
      </c>
      <c r="T1117">
        <f t="shared" si="61"/>
        <v>5</v>
      </c>
      <c r="U1117" s="21">
        <f t="shared" si="65"/>
        <v>45228</v>
      </c>
    </row>
    <row r="1118" spans="1:21" x14ac:dyDescent="0.35">
      <c r="A1118" t="s">
        <v>2571</v>
      </c>
      <c r="B1118" t="s">
        <v>2572</v>
      </c>
      <c r="C1118" t="s">
        <v>19</v>
      </c>
      <c r="D1118" t="s">
        <v>21</v>
      </c>
      <c r="E1118" s="1">
        <v>186.67199999999997</v>
      </c>
      <c r="F1118" t="s">
        <v>22</v>
      </c>
      <c r="G1118">
        <v>0</v>
      </c>
      <c r="H1118" s="1">
        <v>0</v>
      </c>
      <c r="I1118" s="21">
        <v>44493</v>
      </c>
      <c r="J1118" s="21">
        <v>44496</v>
      </c>
      <c r="K1118" s="21">
        <v>44496</v>
      </c>
      <c r="L1118" t="s">
        <v>45</v>
      </c>
      <c r="M1118" t="s">
        <v>46</v>
      </c>
      <c r="N1118" t="s">
        <v>47</v>
      </c>
      <c r="O1118">
        <v>1</v>
      </c>
      <c r="P1118" t="s">
        <v>551</v>
      </c>
      <c r="Q1118" t="s">
        <v>4519</v>
      </c>
      <c r="R1118" t="s">
        <v>4726</v>
      </c>
      <c r="S1118" t="s">
        <v>4717</v>
      </c>
      <c r="T1118">
        <f t="shared" si="61"/>
        <v>3</v>
      </c>
      <c r="U1118" s="21">
        <f>J1118</f>
        <v>44496</v>
      </c>
    </row>
    <row r="1119" spans="1:21" x14ac:dyDescent="0.35">
      <c r="A1119" t="s">
        <v>3894</v>
      </c>
      <c r="B1119" t="s">
        <v>3895</v>
      </c>
      <c r="C1119" t="s">
        <v>19</v>
      </c>
      <c r="D1119" t="s">
        <v>212</v>
      </c>
      <c r="E1119" s="1">
        <v>199.74</v>
      </c>
      <c r="F1119" t="s">
        <v>206</v>
      </c>
      <c r="G1119">
        <v>100</v>
      </c>
      <c r="H1119" s="1">
        <v>199.74</v>
      </c>
      <c r="I1119" s="21">
        <v>44857</v>
      </c>
      <c r="J1119" s="21">
        <v>44861</v>
      </c>
      <c r="K1119" s="21">
        <f t="shared" ref="K1119:K1127" si="66">J1119</f>
        <v>44861</v>
      </c>
      <c r="L1119" t="s">
        <v>220</v>
      </c>
      <c r="M1119" t="s">
        <v>82</v>
      </c>
      <c r="N1119" t="s">
        <v>47</v>
      </c>
      <c r="O1119">
        <v>1</v>
      </c>
      <c r="P1119" t="s">
        <v>3896</v>
      </c>
      <c r="Q1119" t="s">
        <v>4560</v>
      </c>
      <c r="R1119" t="s">
        <v>4709</v>
      </c>
      <c r="S1119" t="s">
        <v>4717</v>
      </c>
      <c r="T1119">
        <f t="shared" si="61"/>
        <v>4</v>
      </c>
      <c r="U1119" s="21">
        <f t="shared" ref="U1119:U1127" si="67">J1119+365</f>
        <v>45226</v>
      </c>
    </row>
    <row r="1120" spans="1:21" x14ac:dyDescent="0.35">
      <c r="A1120" t="s">
        <v>2839</v>
      </c>
      <c r="B1120" t="s">
        <v>2840</v>
      </c>
      <c r="C1120" t="s">
        <v>19</v>
      </c>
      <c r="D1120" t="s">
        <v>212</v>
      </c>
      <c r="E1120" s="1">
        <v>6.7</v>
      </c>
      <c r="F1120" t="s">
        <v>206</v>
      </c>
      <c r="G1120">
        <v>100</v>
      </c>
      <c r="H1120" s="1">
        <v>6.7</v>
      </c>
      <c r="I1120" s="21">
        <v>44857</v>
      </c>
      <c r="J1120" s="21">
        <v>44861</v>
      </c>
      <c r="K1120" s="21">
        <f t="shared" si="66"/>
        <v>44861</v>
      </c>
      <c r="L1120" t="s">
        <v>207</v>
      </c>
      <c r="M1120" t="s">
        <v>97</v>
      </c>
      <c r="N1120" t="s">
        <v>68</v>
      </c>
      <c r="O1120">
        <v>1</v>
      </c>
      <c r="P1120" t="s">
        <v>2841</v>
      </c>
      <c r="Q1120" t="s">
        <v>4729</v>
      </c>
      <c r="R1120" t="s">
        <v>4726</v>
      </c>
      <c r="S1120" t="s">
        <v>4717</v>
      </c>
      <c r="T1120">
        <f t="shared" si="61"/>
        <v>4</v>
      </c>
      <c r="U1120" s="21">
        <f t="shared" si="67"/>
        <v>45226</v>
      </c>
    </row>
    <row r="1121" spans="1:21" x14ac:dyDescent="0.35">
      <c r="A1121" t="s">
        <v>2836</v>
      </c>
      <c r="B1121" t="s">
        <v>2837</v>
      </c>
      <c r="C1121" t="s">
        <v>19</v>
      </c>
      <c r="D1121" t="s">
        <v>212</v>
      </c>
      <c r="E1121" s="1">
        <v>45.584000000000003</v>
      </c>
      <c r="F1121" t="s">
        <v>206</v>
      </c>
      <c r="G1121">
        <v>100</v>
      </c>
      <c r="H1121" s="1">
        <v>45.584000000000003</v>
      </c>
      <c r="I1121" s="21">
        <v>44855</v>
      </c>
      <c r="J1121" s="21">
        <v>44857</v>
      </c>
      <c r="K1121" s="21">
        <f t="shared" si="66"/>
        <v>44857</v>
      </c>
      <c r="L1121" t="s">
        <v>207</v>
      </c>
      <c r="M1121" t="s">
        <v>25</v>
      </c>
      <c r="N1121" t="s">
        <v>26</v>
      </c>
      <c r="O1121">
        <v>1</v>
      </c>
      <c r="P1121" t="s">
        <v>2838</v>
      </c>
      <c r="Q1121" t="s">
        <v>4515</v>
      </c>
      <c r="R1121" t="s">
        <v>4726</v>
      </c>
      <c r="S1121" t="s">
        <v>4717</v>
      </c>
      <c r="T1121">
        <f t="shared" si="61"/>
        <v>2</v>
      </c>
      <c r="U1121" s="21">
        <f t="shared" si="67"/>
        <v>45222</v>
      </c>
    </row>
    <row r="1122" spans="1:21" x14ac:dyDescent="0.35">
      <c r="A1122" t="s">
        <v>444</v>
      </c>
      <c r="B1122" t="s">
        <v>445</v>
      </c>
      <c r="C1122" t="s">
        <v>30</v>
      </c>
      <c r="D1122" t="s">
        <v>212</v>
      </c>
      <c r="E1122" s="1">
        <v>2.8159999999999998</v>
      </c>
      <c r="F1122" t="s">
        <v>206</v>
      </c>
      <c r="G1122">
        <v>100</v>
      </c>
      <c r="H1122" s="1">
        <v>2.8159999999999998</v>
      </c>
      <c r="I1122" s="21">
        <v>44854</v>
      </c>
      <c r="J1122" s="21">
        <v>44855</v>
      </c>
      <c r="K1122" s="21">
        <f t="shared" si="66"/>
        <v>44855</v>
      </c>
      <c r="L1122" t="s">
        <v>213</v>
      </c>
      <c r="M1122" t="s">
        <v>46</v>
      </c>
      <c r="N1122" t="s">
        <v>47</v>
      </c>
      <c r="O1122">
        <v>1</v>
      </c>
      <c r="P1122" t="s">
        <v>446</v>
      </c>
      <c r="Q1122" t="s">
        <v>4520</v>
      </c>
      <c r="R1122" t="s">
        <v>4726</v>
      </c>
      <c r="S1122" t="s">
        <v>4717</v>
      </c>
      <c r="T1122">
        <f t="shared" si="61"/>
        <v>1</v>
      </c>
      <c r="U1122" s="21">
        <f t="shared" si="67"/>
        <v>45220</v>
      </c>
    </row>
    <row r="1123" spans="1:21" x14ac:dyDescent="0.35">
      <c r="A1123" t="s">
        <v>3891</v>
      </c>
      <c r="B1123" t="s">
        <v>3892</v>
      </c>
      <c r="C1123" t="s">
        <v>19</v>
      </c>
      <c r="D1123" t="s">
        <v>212</v>
      </c>
      <c r="E1123" s="1">
        <v>24.448</v>
      </c>
      <c r="F1123" t="s">
        <v>206</v>
      </c>
      <c r="G1123">
        <v>100</v>
      </c>
      <c r="H1123" s="1">
        <v>24.448</v>
      </c>
      <c r="I1123" s="21">
        <v>44854</v>
      </c>
      <c r="J1123" s="21">
        <v>44859</v>
      </c>
      <c r="K1123" s="21">
        <f t="shared" si="66"/>
        <v>44859</v>
      </c>
      <c r="L1123" t="s">
        <v>220</v>
      </c>
      <c r="M1123" t="s">
        <v>46</v>
      </c>
      <c r="N1123" t="s">
        <v>47</v>
      </c>
      <c r="O1123">
        <v>1</v>
      </c>
      <c r="P1123" t="s">
        <v>3893</v>
      </c>
      <c r="Q1123" t="s">
        <v>4729</v>
      </c>
      <c r="R1123" t="s">
        <v>4726</v>
      </c>
      <c r="S1123" t="s">
        <v>4717</v>
      </c>
      <c r="T1123">
        <f t="shared" si="61"/>
        <v>5</v>
      </c>
      <c r="U1123" s="21">
        <f t="shared" si="67"/>
        <v>45224</v>
      </c>
    </row>
    <row r="1124" spans="1:21" x14ac:dyDescent="0.35">
      <c r="A1124" t="s">
        <v>2833</v>
      </c>
      <c r="B1124" t="s">
        <v>2834</v>
      </c>
      <c r="C1124" t="s">
        <v>30</v>
      </c>
      <c r="D1124" t="s">
        <v>205</v>
      </c>
      <c r="E1124" s="1">
        <v>25.423999999999999</v>
      </c>
      <c r="F1124" t="s">
        <v>206</v>
      </c>
      <c r="G1124">
        <v>80</v>
      </c>
      <c r="H1124" s="1">
        <v>20.339200000000002</v>
      </c>
      <c r="I1124" s="21">
        <v>44852</v>
      </c>
      <c r="J1124" s="21">
        <v>44852</v>
      </c>
      <c r="K1124" s="21">
        <f t="shared" si="66"/>
        <v>44852</v>
      </c>
      <c r="L1124" t="s">
        <v>207</v>
      </c>
      <c r="M1124" t="s">
        <v>33</v>
      </c>
      <c r="N1124" t="s">
        <v>34</v>
      </c>
      <c r="O1124">
        <v>1</v>
      </c>
      <c r="P1124" t="s">
        <v>2835</v>
      </c>
      <c r="Q1124" t="s">
        <v>4581</v>
      </c>
      <c r="R1124" t="s">
        <v>4709</v>
      </c>
      <c r="S1124" t="s">
        <v>4717</v>
      </c>
      <c r="T1124">
        <f t="shared" si="61"/>
        <v>0</v>
      </c>
      <c r="U1124" s="21">
        <f t="shared" si="67"/>
        <v>45217</v>
      </c>
    </row>
    <row r="1125" spans="1:21" x14ac:dyDescent="0.35">
      <c r="A1125" t="s">
        <v>1667</v>
      </c>
      <c r="B1125" t="s">
        <v>1668</v>
      </c>
      <c r="C1125" t="s">
        <v>30</v>
      </c>
      <c r="D1125" t="s">
        <v>212</v>
      </c>
      <c r="E1125" s="1">
        <v>720.06399999999996</v>
      </c>
      <c r="F1125" t="s">
        <v>206</v>
      </c>
      <c r="G1125">
        <v>100</v>
      </c>
      <c r="H1125" s="1">
        <v>720.06399999999996</v>
      </c>
      <c r="I1125" s="21">
        <v>44851</v>
      </c>
      <c r="J1125" s="21">
        <v>44855</v>
      </c>
      <c r="K1125" s="21">
        <f t="shared" si="66"/>
        <v>44855</v>
      </c>
      <c r="L1125" t="s">
        <v>238</v>
      </c>
      <c r="M1125" t="s">
        <v>82</v>
      </c>
      <c r="N1125" t="s">
        <v>47</v>
      </c>
      <c r="O1125">
        <v>1</v>
      </c>
      <c r="P1125" t="s">
        <v>1669</v>
      </c>
      <c r="Q1125" t="s">
        <v>4729</v>
      </c>
      <c r="R1125" t="s">
        <v>4709</v>
      </c>
      <c r="S1125" t="s">
        <v>4717</v>
      </c>
      <c r="T1125">
        <f t="shared" si="61"/>
        <v>4</v>
      </c>
      <c r="U1125" s="21">
        <f t="shared" si="67"/>
        <v>45220</v>
      </c>
    </row>
    <row r="1126" spans="1:21" x14ac:dyDescent="0.35">
      <c r="A1126" t="s">
        <v>3889</v>
      </c>
      <c r="B1126" t="s">
        <v>3890</v>
      </c>
      <c r="C1126" t="s">
        <v>30</v>
      </c>
      <c r="D1126" t="s">
        <v>212</v>
      </c>
      <c r="E1126" s="1">
        <v>63.96</v>
      </c>
      <c r="F1126" t="s">
        <v>206</v>
      </c>
      <c r="G1126">
        <v>100</v>
      </c>
      <c r="H1126" s="1">
        <v>63.96</v>
      </c>
      <c r="I1126" s="21">
        <v>44850</v>
      </c>
      <c r="J1126" s="21">
        <v>44855</v>
      </c>
      <c r="K1126" s="21">
        <f t="shared" si="66"/>
        <v>44855</v>
      </c>
      <c r="L1126" t="s">
        <v>220</v>
      </c>
      <c r="M1126" t="s">
        <v>146</v>
      </c>
      <c r="N1126" t="s">
        <v>73</v>
      </c>
      <c r="O1126">
        <v>1</v>
      </c>
      <c r="P1126" t="s">
        <v>2138</v>
      </c>
      <c r="Q1126" t="s">
        <v>4560</v>
      </c>
      <c r="R1126" t="s">
        <v>4721</v>
      </c>
      <c r="S1126" t="s">
        <v>4718</v>
      </c>
      <c r="T1126">
        <f t="shared" si="61"/>
        <v>5</v>
      </c>
      <c r="U1126" s="21">
        <f t="shared" si="67"/>
        <v>45220</v>
      </c>
    </row>
    <row r="1127" spans="1:21" x14ac:dyDescent="0.35">
      <c r="A1127" t="s">
        <v>2830</v>
      </c>
      <c r="B1127" t="s">
        <v>2831</v>
      </c>
      <c r="C1127" t="s">
        <v>19</v>
      </c>
      <c r="D1127" t="s">
        <v>212</v>
      </c>
      <c r="E1127" s="1">
        <v>629.94999999999902</v>
      </c>
      <c r="F1127" t="s">
        <v>206</v>
      </c>
      <c r="G1127">
        <v>100</v>
      </c>
      <c r="H1127" s="1">
        <v>629.94999999999902</v>
      </c>
      <c r="I1127" s="21">
        <v>44850</v>
      </c>
      <c r="J1127" s="21">
        <v>44850</v>
      </c>
      <c r="K1127" s="21">
        <f t="shared" si="66"/>
        <v>44850</v>
      </c>
      <c r="L1127" t="s">
        <v>220</v>
      </c>
      <c r="M1127" t="s">
        <v>97</v>
      </c>
      <c r="N1127" t="s">
        <v>68</v>
      </c>
      <c r="O1127">
        <v>1</v>
      </c>
      <c r="P1127" t="s">
        <v>2832</v>
      </c>
      <c r="Q1127" t="s">
        <v>4670</v>
      </c>
      <c r="R1127" t="s">
        <v>4711</v>
      </c>
      <c r="S1127" t="s">
        <v>4719</v>
      </c>
      <c r="T1127">
        <f t="shared" si="61"/>
        <v>0</v>
      </c>
      <c r="U1127" s="21">
        <f t="shared" si="67"/>
        <v>45215</v>
      </c>
    </row>
    <row r="1128" spans="1:21" x14ac:dyDescent="0.35">
      <c r="A1128" t="s">
        <v>3678</v>
      </c>
      <c r="B1128" t="s">
        <v>3679</v>
      </c>
      <c r="C1128" t="s">
        <v>19</v>
      </c>
      <c r="D1128" t="s">
        <v>21</v>
      </c>
      <c r="E1128" s="1">
        <v>1668.9880000000001</v>
      </c>
      <c r="F1128" t="s">
        <v>22</v>
      </c>
      <c r="G1128">
        <v>0</v>
      </c>
      <c r="H1128" s="1">
        <v>0</v>
      </c>
      <c r="I1128" s="21">
        <v>44482</v>
      </c>
      <c r="J1128" s="21">
        <v>44484</v>
      </c>
      <c r="K1128" s="21">
        <v>44484</v>
      </c>
      <c r="L1128" t="s">
        <v>32</v>
      </c>
      <c r="M1128" t="s">
        <v>72</v>
      </c>
      <c r="N1128" t="s">
        <v>73</v>
      </c>
      <c r="O1128">
        <v>1</v>
      </c>
      <c r="P1128" t="s">
        <v>3680</v>
      </c>
      <c r="Q1128" t="s">
        <v>4576</v>
      </c>
      <c r="R1128" t="s">
        <v>4723</v>
      </c>
      <c r="S1128" t="s">
        <v>4718</v>
      </c>
      <c r="T1128">
        <f t="shared" si="61"/>
        <v>2</v>
      </c>
      <c r="U1128" s="21">
        <f>J1128</f>
        <v>44484</v>
      </c>
    </row>
    <row r="1129" spans="1:21" x14ac:dyDescent="0.35">
      <c r="A1129" t="s">
        <v>1664</v>
      </c>
      <c r="B1129" t="s">
        <v>1665</v>
      </c>
      <c r="C1129" t="s">
        <v>30</v>
      </c>
      <c r="D1129" t="s">
        <v>212</v>
      </c>
      <c r="E1129" s="1">
        <v>23.92</v>
      </c>
      <c r="F1129" t="s">
        <v>206</v>
      </c>
      <c r="G1129">
        <v>100</v>
      </c>
      <c r="H1129" s="1">
        <v>23.92</v>
      </c>
      <c r="I1129" s="21">
        <v>44847</v>
      </c>
      <c r="J1129" s="21">
        <v>44852</v>
      </c>
      <c r="K1129" s="21">
        <f t="shared" ref="K1129:K1132" si="68">J1129</f>
        <v>44852</v>
      </c>
      <c r="L1129" t="s">
        <v>213</v>
      </c>
      <c r="M1129" t="s">
        <v>33</v>
      </c>
      <c r="N1129" t="s">
        <v>34</v>
      </c>
      <c r="O1129">
        <v>1</v>
      </c>
      <c r="P1129" t="s">
        <v>1666</v>
      </c>
      <c r="Q1129" t="s">
        <v>4519</v>
      </c>
      <c r="R1129" t="s">
        <v>4726</v>
      </c>
      <c r="S1129" t="s">
        <v>4717</v>
      </c>
      <c r="T1129">
        <f t="shared" si="61"/>
        <v>5</v>
      </c>
      <c r="U1129" s="21">
        <f t="shared" ref="U1129:U1132" si="69">J1129+365</f>
        <v>45217</v>
      </c>
    </row>
    <row r="1130" spans="1:21" x14ac:dyDescent="0.35">
      <c r="A1130" t="s">
        <v>2827</v>
      </c>
      <c r="B1130" t="s">
        <v>2828</v>
      </c>
      <c r="C1130" t="s">
        <v>30</v>
      </c>
      <c r="D1130" t="s">
        <v>205</v>
      </c>
      <c r="E1130" s="1">
        <v>1690.04</v>
      </c>
      <c r="F1130" t="s">
        <v>206</v>
      </c>
      <c r="G1130">
        <v>80</v>
      </c>
      <c r="H1130" s="1">
        <v>1352.0320000000002</v>
      </c>
      <c r="I1130" s="21">
        <v>44846</v>
      </c>
      <c r="J1130" s="21">
        <v>44848</v>
      </c>
      <c r="K1130" s="21">
        <f t="shared" si="68"/>
        <v>44848</v>
      </c>
      <c r="L1130" t="s">
        <v>238</v>
      </c>
      <c r="M1130" t="s">
        <v>25</v>
      </c>
      <c r="N1130" t="s">
        <v>26</v>
      </c>
      <c r="O1130">
        <v>1</v>
      </c>
      <c r="P1130" t="s">
        <v>2829</v>
      </c>
      <c r="Q1130" t="s">
        <v>4567</v>
      </c>
      <c r="R1130" t="s">
        <v>4714</v>
      </c>
      <c r="S1130" t="s">
        <v>4718</v>
      </c>
      <c r="T1130">
        <f t="shared" si="61"/>
        <v>2</v>
      </c>
      <c r="U1130" s="21">
        <f t="shared" si="69"/>
        <v>45213</v>
      </c>
    </row>
    <row r="1131" spans="1:21" x14ac:dyDescent="0.35">
      <c r="A1131" t="s">
        <v>3887</v>
      </c>
      <c r="B1131" t="s">
        <v>3888</v>
      </c>
      <c r="C1131" t="s">
        <v>30</v>
      </c>
      <c r="D1131" t="s">
        <v>205</v>
      </c>
      <c r="E1131" s="1">
        <v>67.8</v>
      </c>
      <c r="F1131" t="s">
        <v>206</v>
      </c>
      <c r="G1131">
        <v>80</v>
      </c>
      <c r="H1131" s="1">
        <v>54.24</v>
      </c>
      <c r="I1131" s="21">
        <v>44845</v>
      </c>
      <c r="J1131" s="21">
        <v>44852</v>
      </c>
      <c r="K1131" s="21">
        <f t="shared" si="68"/>
        <v>44852</v>
      </c>
      <c r="L1131" t="s">
        <v>213</v>
      </c>
      <c r="M1131" t="s">
        <v>97</v>
      </c>
      <c r="N1131" t="s">
        <v>68</v>
      </c>
      <c r="O1131">
        <v>1</v>
      </c>
      <c r="P1131" t="s">
        <v>2524</v>
      </c>
      <c r="Q1131" t="s">
        <v>4661</v>
      </c>
      <c r="R1131" t="s">
        <v>4710</v>
      </c>
      <c r="S1131" t="s">
        <v>4717</v>
      </c>
      <c r="T1131">
        <f t="shared" si="61"/>
        <v>7</v>
      </c>
      <c r="U1131" s="21">
        <f t="shared" si="69"/>
        <v>45217</v>
      </c>
    </row>
    <row r="1132" spans="1:21" x14ac:dyDescent="0.35">
      <c r="A1132" t="s">
        <v>2824</v>
      </c>
      <c r="B1132" t="s">
        <v>2825</v>
      </c>
      <c r="C1132" t="s">
        <v>19</v>
      </c>
      <c r="D1132" t="s">
        <v>212</v>
      </c>
      <c r="E1132" s="1">
        <v>209.97</v>
      </c>
      <c r="F1132" t="s">
        <v>206</v>
      </c>
      <c r="G1132">
        <v>100</v>
      </c>
      <c r="H1132" s="1">
        <v>209.97</v>
      </c>
      <c r="I1132" s="21">
        <v>44845</v>
      </c>
      <c r="J1132" s="21">
        <v>44846</v>
      </c>
      <c r="K1132" s="21">
        <f t="shared" si="68"/>
        <v>44846</v>
      </c>
      <c r="L1132" t="s">
        <v>234</v>
      </c>
      <c r="M1132" t="s">
        <v>72</v>
      </c>
      <c r="N1132" t="s">
        <v>73</v>
      </c>
      <c r="O1132">
        <v>1</v>
      </c>
      <c r="P1132" t="s">
        <v>2826</v>
      </c>
      <c r="Q1132" t="s">
        <v>4729</v>
      </c>
      <c r="R1132" t="s">
        <v>4711</v>
      </c>
      <c r="S1132" t="s">
        <v>4719</v>
      </c>
      <c r="T1132">
        <f t="shared" si="61"/>
        <v>1</v>
      </c>
      <c r="U1132" s="21">
        <f t="shared" si="69"/>
        <v>45211</v>
      </c>
    </row>
    <row r="1133" spans="1:21" x14ac:dyDescent="0.35">
      <c r="A1133" t="s">
        <v>2568</v>
      </c>
      <c r="B1133" t="s">
        <v>2569</v>
      </c>
      <c r="C1133" t="s">
        <v>30</v>
      </c>
      <c r="D1133" t="s">
        <v>21</v>
      </c>
      <c r="E1133" s="1">
        <v>393.18600000000004</v>
      </c>
      <c r="F1133" t="s">
        <v>22</v>
      </c>
      <c r="G1133">
        <v>0</v>
      </c>
      <c r="H1133" s="1">
        <v>0</v>
      </c>
      <c r="I1133" s="21">
        <v>44480</v>
      </c>
      <c r="J1133" s="21">
        <v>44482</v>
      </c>
      <c r="K1133" s="21">
        <v>44482</v>
      </c>
      <c r="L1133" t="s">
        <v>39</v>
      </c>
      <c r="M1133" t="s">
        <v>72</v>
      </c>
      <c r="N1133" t="s">
        <v>73</v>
      </c>
      <c r="O1133">
        <v>1</v>
      </c>
      <c r="P1133" t="s">
        <v>2570</v>
      </c>
      <c r="Q1133" t="s">
        <v>4567</v>
      </c>
      <c r="R1133" t="s">
        <v>4714</v>
      </c>
      <c r="S1133" t="s">
        <v>4718</v>
      </c>
      <c r="T1133">
        <f t="shared" si="61"/>
        <v>2</v>
      </c>
      <c r="U1133" s="21">
        <f>J1133</f>
        <v>44482</v>
      </c>
    </row>
    <row r="1134" spans="1:21" x14ac:dyDescent="0.35">
      <c r="A1134" t="s">
        <v>442</v>
      </c>
      <c r="B1134" t="s">
        <v>443</v>
      </c>
      <c r="C1134" t="s">
        <v>30</v>
      </c>
      <c r="D1134" t="s">
        <v>212</v>
      </c>
      <c r="E1134" s="1">
        <v>60.84</v>
      </c>
      <c r="F1134" t="s">
        <v>206</v>
      </c>
      <c r="G1134">
        <v>100</v>
      </c>
      <c r="H1134" s="1">
        <v>60.84</v>
      </c>
      <c r="I1134" s="21">
        <v>44845</v>
      </c>
      <c r="J1134" s="21">
        <v>44850</v>
      </c>
      <c r="K1134" s="21">
        <f t="shared" ref="K1134:K1145" si="70">J1134</f>
        <v>44850</v>
      </c>
      <c r="L1134" t="s">
        <v>207</v>
      </c>
      <c r="M1134" t="s">
        <v>25</v>
      </c>
      <c r="N1134" t="s">
        <v>26</v>
      </c>
      <c r="O1134">
        <v>1</v>
      </c>
      <c r="P1134" t="s">
        <v>383</v>
      </c>
      <c r="Q1134" t="s">
        <v>4729</v>
      </c>
      <c r="R1134" t="s">
        <v>4722</v>
      </c>
      <c r="S1134" t="s">
        <v>4718</v>
      </c>
      <c r="T1134">
        <f t="shared" si="61"/>
        <v>5</v>
      </c>
      <c r="U1134" s="21">
        <f t="shared" ref="U1134:U1145" si="71">J1134+365</f>
        <v>45215</v>
      </c>
    </row>
    <row r="1135" spans="1:21" x14ac:dyDescent="0.35">
      <c r="A1135" t="s">
        <v>2821</v>
      </c>
      <c r="B1135" t="s">
        <v>2822</v>
      </c>
      <c r="C1135" t="s">
        <v>19</v>
      </c>
      <c r="D1135" t="s">
        <v>205</v>
      </c>
      <c r="E1135" s="1">
        <v>14.9</v>
      </c>
      <c r="F1135" t="s">
        <v>206</v>
      </c>
      <c r="G1135">
        <v>80</v>
      </c>
      <c r="H1135" s="1">
        <v>11.920000000000002</v>
      </c>
      <c r="I1135" s="21">
        <v>44844</v>
      </c>
      <c r="J1135" s="21">
        <v>44848</v>
      </c>
      <c r="K1135" s="21">
        <f t="shared" si="70"/>
        <v>44848</v>
      </c>
      <c r="L1135" t="s">
        <v>207</v>
      </c>
      <c r="M1135" t="s">
        <v>67</v>
      </c>
      <c r="N1135" t="s">
        <v>68</v>
      </c>
      <c r="O1135">
        <v>1</v>
      </c>
      <c r="P1135" t="s">
        <v>2823</v>
      </c>
      <c r="Q1135" t="s">
        <v>4669</v>
      </c>
      <c r="R1135" t="s">
        <v>4721</v>
      </c>
      <c r="S1135" t="s">
        <v>4717</v>
      </c>
      <c r="T1135">
        <f t="shared" si="61"/>
        <v>4</v>
      </c>
      <c r="U1135" s="21">
        <f t="shared" si="71"/>
        <v>45213</v>
      </c>
    </row>
    <row r="1136" spans="1:21" x14ac:dyDescent="0.35">
      <c r="A1136" t="s">
        <v>3885</v>
      </c>
      <c r="B1136" t="s">
        <v>3886</v>
      </c>
      <c r="C1136" t="s">
        <v>19</v>
      </c>
      <c r="D1136" t="s">
        <v>212</v>
      </c>
      <c r="E1136" s="1">
        <v>24.4</v>
      </c>
      <c r="F1136" t="s">
        <v>206</v>
      </c>
      <c r="G1136">
        <v>100</v>
      </c>
      <c r="H1136" s="1">
        <v>24.4</v>
      </c>
      <c r="I1136" s="21">
        <v>44843</v>
      </c>
      <c r="J1136" s="21">
        <v>44847</v>
      </c>
      <c r="K1136" s="21">
        <f t="shared" si="70"/>
        <v>44847</v>
      </c>
      <c r="L1136" t="s">
        <v>234</v>
      </c>
      <c r="M1136" t="s">
        <v>97</v>
      </c>
      <c r="N1136" t="s">
        <v>68</v>
      </c>
      <c r="O1136">
        <v>1</v>
      </c>
      <c r="P1136" t="s">
        <v>59</v>
      </c>
      <c r="Q1136" t="s">
        <v>4518</v>
      </c>
      <c r="R1136" t="s">
        <v>4721</v>
      </c>
      <c r="S1136" t="s">
        <v>4718</v>
      </c>
      <c r="T1136">
        <f t="shared" si="61"/>
        <v>4</v>
      </c>
      <c r="U1136" s="21">
        <f t="shared" si="71"/>
        <v>45212</v>
      </c>
    </row>
    <row r="1137" spans="1:21" x14ac:dyDescent="0.35">
      <c r="A1137" t="s">
        <v>439</v>
      </c>
      <c r="B1137" t="s">
        <v>440</v>
      </c>
      <c r="C1137" t="s">
        <v>30</v>
      </c>
      <c r="D1137" t="s">
        <v>205</v>
      </c>
      <c r="E1137" s="1">
        <v>16.899999999999999</v>
      </c>
      <c r="F1137" t="s">
        <v>206</v>
      </c>
      <c r="G1137">
        <v>80</v>
      </c>
      <c r="H1137" s="1">
        <v>13.52</v>
      </c>
      <c r="I1137" s="21">
        <v>44843</v>
      </c>
      <c r="J1137" s="21">
        <v>44848</v>
      </c>
      <c r="K1137" s="21">
        <f t="shared" si="70"/>
        <v>44848</v>
      </c>
      <c r="L1137" t="s">
        <v>248</v>
      </c>
      <c r="M1137" t="s">
        <v>82</v>
      </c>
      <c r="N1137" t="s">
        <v>47</v>
      </c>
      <c r="O1137">
        <v>1</v>
      </c>
      <c r="P1137" t="s">
        <v>441</v>
      </c>
      <c r="Q1137" t="s">
        <v>4564</v>
      </c>
      <c r="R1137" t="s">
        <v>4726</v>
      </c>
      <c r="S1137" t="s">
        <v>4717</v>
      </c>
      <c r="T1137">
        <f t="shared" si="61"/>
        <v>5</v>
      </c>
      <c r="U1137" s="21">
        <f t="shared" si="71"/>
        <v>45213</v>
      </c>
    </row>
    <row r="1138" spans="1:21" x14ac:dyDescent="0.35">
      <c r="A1138" t="s">
        <v>1661</v>
      </c>
      <c r="B1138" t="s">
        <v>1662</v>
      </c>
      <c r="C1138" t="s">
        <v>30</v>
      </c>
      <c r="D1138" t="s">
        <v>205</v>
      </c>
      <c r="E1138" s="1">
        <v>11.68</v>
      </c>
      <c r="F1138" t="s">
        <v>206</v>
      </c>
      <c r="G1138">
        <v>80</v>
      </c>
      <c r="H1138" s="1">
        <v>9.3439999999999994</v>
      </c>
      <c r="I1138" s="21">
        <v>44843</v>
      </c>
      <c r="J1138" s="21">
        <v>44848</v>
      </c>
      <c r="K1138" s="21">
        <f t="shared" si="70"/>
        <v>44848</v>
      </c>
      <c r="L1138" t="s">
        <v>213</v>
      </c>
      <c r="M1138" t="s">
        <v>67</v>
      </c>
      <c r="N1138" t="s">
        <v>68</v>
      </c>
      <c r="O1138">
        <v>1</v>
      </c>
      <c r="P1138" t="s">
        <v>1663</v>
      </c>
      <c r="Q1138" t="s">
        <v>4634</v>
      </c>
      <c r="R1138" t="s">
        <v>4726</v>
      </c>
      <c r="S1138" t="s">
        <v>4717</v>
      </c>
      <c r="T1138">
        <f t="shared" si="61"/>
        <v>5</v>
      </c>
      <c r="U1138" s="21">
        <f t="shared" si="71"/>
        <v>45213</v>
      </c>
    </row>
    <row r="1139" spans="1:21" x14ac:dyDescent="0.35">
      <c r="A1139" t="s">
        <v>436</v>
      </c>
      <c r="B1139" t="s">
        <v>437</v>
      </c>
      <c r="C1139" t="s">
        <v>30</v>
      </c>
      <c r="D1139" t="s">
        <v>212</v>
      </c>
      <c r="E1139" s="1">
        <v>41.96</v>
      </c>
      <c r="F1139" t="s">
        <v>206</v>
      </c>
      <c r="G1139">
        <v>100</v>
      </c>
      <c r="H1139" s="1">
        <v>41.96</v>
      </c>
      <c r="I1139" s="21">
        <v>44840</v>
      </c>
      <c r="J1139" s="21">
        <v>44843</v>
      </c>
      <c r="K1139" s="21">
        <f t="shared" si="70"/>
        <v>44843</v>
      </c>
      <c r="L1139" t="s">
        <v>207</v>
      </c>
      <c r="M1139" t="s">
        <v>97</v>
      </c>
      <c r="N1139" t="s">
        <v>68</v>
      </c>
      <c r="O1139">
        <v>1</v>
      </c>
      <c r="P1139" t="s">
        <v>438</v>
      </c>
      <c r="Q1139" t="s">
        <v>4526</v>
      </c>
      <c r="R1139" t="s">
        <v>4777</v>
      </c>
      <c r="S1139" t="s">
        <v>4718</v>
      </c>
      <c r="T1139">
        <f t="shared" si="61"/>
        <v>3</v>
      </c>
      <c r="U1139" s="21">
        <f t="shared" si="71"/>
        <v>45208</v>
      </c>
    </row>
    <row r="1140" spans="1:21" x14ac:dyDescent="0.35">
      <c r="A1140" t="s">
        <v>2816</v>
      </c>
      <c r="B1140" t="s">
        <v>2817</v>
      </c>
      <c r="C1140" t="s">
        <v>30</v>
      </c>
      <c r="D1140" t="s">
        <v>205</v>
      </c>
      <c r="E1140" s="1">
        <v>87.168000000000006</v>
      </c>
      <c r="F1140" t="s">
        <v>206</v>
      </c>
      <c r="G1140">
        <v>80</v>
      </c>
      <c r="H1140" s="1">
        <v>69.734400000000008</v>
      </c>
      <c r="I1140" s="21">
        <v>44840</v>
      </c>
      <c r="J1140" s="21">
        <v>44844</v>
      </c>
      <c r="K1140" s="21">
        <f t="shared" si="70"/>
        <v>44844</v>
      </c>
      <c r="L1140" t="s">
        <v>207</v>
      </c>
      <c r="M1140" t="s">
        <v>146</v>
      </c>
      <c r="N1140" t="s">
        <v>73</v>
      </c>
      <c r="O1140">
        <v>1</v>
      </c>
      <c r="P1140" t="s">
        <v>2088</v>
      </c>
      <c r="Q1140" t="s">
        <v>4538</v>
      </c>
      <c r="R1140" t="s">
        <v>4713</v>
      </c>
      <c r="S1140" t="s">
        <v>4719</v>
      </c>
      <c r="T1140">
        <f t="shared" si="61"/>
        <v>4</v>
      </c>
      <c r="U1140" s="21">
        <f t="shared" si="71"/>
        <v>45209</v>
      </c>
    </row>
    <row r="1141" spans="1:21" x14ac:dyDescent="0.35">
      <c r="A1141" t="s">
        <v>2818</v>
      </c>
      <c r="B1141" t="s">
        <v>2819</v>
      </c>
      <c r="C1141" t="s">
        <v>19</v>
      </c>
      <c r="D1141" t="s">
        <v>212</v>
      </c>
      <c r="E1141" s="1">
        <v>31.12</v>
      </c>
      <c r="F1141" t="s">
        <v>206</v>
      </c>
      <c r="G1141">
        <v>100</v>
      </c>
      <c r="H1141" s="1">
        <v>31.12</v>
      </c>
      <c r="I1141" s="21">
        <v>44840</v>
      </c>
      <c r="J1141" s="21">
        <v>44842</v>
      </c>
      <c r="K1141" s="21">
        <f t="shared" si="70"/>
        <v>44842</v>
      </c>
      <c r="L1141" t="s">
        <v>234</v>
      </c>
      <c r="M1141" t="s">
        <v>97</v>
      </c>
      <c r="N1141" t="s">
        <v>68</v>
      </c>
      <c r="O1141">
        <v>1</v>
      </c>
      <c r="P1141" t="s">
        <v>2820</v>
      </c>
      <c r="Q1141" t="s">
        <v>4729</v>
      </c>
      <c r="R1141" t="s">
        <v>4512</v>
      </c>
      <c r="S1141" t="s">
        <v>4717</v>
      </c>
      <c r="T1141">
        <f t="shared" si="61"/>
        <v>2</v>
      </c>
      <c r="U1141" s="21">
        <f t="shared" si="71"/>
        <v>45207</v>
      </c>
    </row>
    <row r="1142" spans="1:21" x14ac:dyDescent="0.35">
      <c r="A1142" t="s">
        <v>3883</v>
      </c>
      <c r="B1142" t="s">
        <v>3884</v>
      </c>
      <c r="C1142" t="s">
        <v>30</v>
      </c>
      <c r="D1142" t="s">
        <v>212</v>
      </c>
      <c r="E1142" s="1">
        <v>15.76</v>
      </c>
      <c r="F1142" t="s">
        <v>206</v>
      </c>
      <c r="G1142">
        <v>100</v>
      </c>
      <c r="H1142" s="1">
        <v>15.76</v>
      </c>
      <c r="I1142" s="21">
        <v>44839</v>
      </c>
      <c r="J1142" s="21">
        <v>44842</v>
      </c>
      <c r="K1142" s="21">
        <f t="shared" si="70"/>
        <v>44842</v>
      </c>
      <c r="L1142" t="s">
        <v>220</v>
      </c>
      <c r="M1142" t="s">
        <v>46</v>
      </c>
      <c r="N1142" t="s">
        <v>47</v>
      </c>
      <c r="O1142">
        <v>1</v>
      </c>
      <c r="P1142" t="s">
        <v>3342</v>
      </c>
      <c r="Q1142" t="s">
        <v>4689</v>
      </c>
      <c r="R1142" t="s">
        <v>4721</v>
      </c>
      <c r="S1142" t="s">
        <v>4717</v>
      </c>
      <c r="T1142">
        <f t="shared" si="61"/>
        <v>3</v>
      </c>
      <c r="U1142" s="21">
        <f t="shared" si="71"/>
        <v>45207</v>
      </c>
    </row>
    <row r="1143" spans="1:21" x14ac:dyDescent="0.35">
      <c r="A1143" t="s">
        <v>2813</v>
      </c>
      <c r="B1143" t="s">
        <v>2814</v>
      </c>
      <c r="C1143" t="s">
        <v>30</v>
      </c>
      <c r="D1143" t="s">
        <v>212</v>
      </c>
      <c r="E1143" s="1">
        <v>344.22</v>
      </c>
      <c r="F1143" t="s">
        <v>206</v>
      </c>
      <c r="G1143">
        <v>100</v>
      </c>
      <c r="H1143" s="1">
        <v>344.22</v>
      </c>
      <c r="I1143" s="21">
        <v>44839</v>
      </c>
      <c r="J1143" s="21">
        <v>44844</v>
      </c>
      <c r="K1143" s="21">
        <f t="shared" si="70"/>
        <v>44844</v>
      </c>
      <c r="L1143" t="s">
        <v>207</v>
      </c>
      <c r="M1143" t="s">
        <v>54</v>
      </c>
      <c r="N1143" t="s">
        <v>26</v>
      </c>
      <c r="O1143">
        <v>1</v>
      </c>
      <c r="P1143" t="s">
        <v>2815</v>
      </c>
      <c r="Q1143" t="s">
        <v>4569</v>
      </c>
      <c r="R1143" t="s">
        <v>4712</v>
      </c>
      <c r="S1143" t="s">
        <v>4718</v>
      </c>
      <c r="T1143">
        <f t="shared" si="61"/>
        <v>5</v>
      </c>
      <c r="U1143" s="21">
        <f t="shared" si="71"/>
        <v>45209</v>
      </c>
    </row>
    <row r="1144" spans="1:21" x14ac:dyDescent="0.35">
      <c r="A1144" t="s">
        <v>433</v>
      </c>
      <c r="B1144" t="s">
        <v>434</v>
      </c>
      <c r="C1144" t="s">
        <v>30</v>
      </c>
      <c r="D1144" t="s">
        <v>205</v>
      </c>
      <c r="E1144" s="1">
        <v>6.8579999999999997</v>
      </c>
      <c r="F1144" t="s">
        <v>206</v>
      </c>
      <c r="G1144">
        <v>80</v>
      </c>
      <c r="H1144" s="1">
        <v>5.4863999999999997</v>
      </c>
      <c r="I1144" s="21">
        <v>44838</v>
      </c>
      <c r="J1144" s="21">
        <v>44843</v>
      </c>
      <c r="K1144" s="21">
        <f t="shared" si="70"/>
        <v>44843</v>
      </c>
      <c r="L1144" t="s">
        <v>220</v>
      </c>
      <c r="M1144" t="s">
        <v>67</v>
      </c>
      <c r="N1144" t="s">
        <v>68</v>
      </c>
      <c r="O1144">
        <v>1</v>
      </c>
      <c r="P1144" t="s">
        <v>435</v>
      </c>
      <c r="Q1144" t="s">
        <v>4526</v>
      </c>
      <c r="R1144" t="s">
        <v>4726</v>
      </c>
      <c r="S1144" t="s">
        <v>4717</v>
      </c>
      <c r="T1144">
        <f t="shared" si="61"/>
        <v>5</v>
      </c>
      <c r="U1144" s="21">
        <f t="shared" si="71"/>
        <v>45208</v>
      </c>
    </row>
    <row r="1145" spans="1:21" x14ac:dyDescent="0.35">
      <c r="A1145" t="s">
        <v>3881</v>
      </c>
      <c r="B1145" t="s">
        <v>3882</v>
      </c>
      <c r="C1145" t="s">
        <v>30</v>
      </c>
      <c r="D1145" t="s">
        <v>212</v>
      </c>
      <c r="E1145" s="1">
        <v>124.2</v>
      </c>
      <c r="F1145" t="s">
        <v>206</v>
      </c>
      <c r="G1145">
        <v>100</v>
      </c>
      <c r="H1145" s="1">
        <v>124.2</v>
      </c>
      <c r="I1145" s="21">
        <v>44838</v>
      </c>
      <c r="J1145" s="21">
        <v>44844</v>
      </c>
      <c r="K1145" s="21">
        <f t="shared" si="70"/>
        <v>44844</v>
      </c>
      <c r="L1145" t="s">
        <v>248</v>
      </c>
      <c r="M1145" t="s">
        <v>25</v>
      </c>
      <c r="N1145" t="s">
        <v>26</v>
      </c>
      <c r="O1145">
        <v>1</v>
      </c>
      <c r="P1145" t="s">
        <v>961</v>
      </c>
      <c r="Q1145" t="s">
        <v>4553</v>
      </c>
      <c r="R1145" t="s">
        <v>4722</v>
      </c>
      <c r="S1145" t="s">
        <v>4718</v>
      </c>
      <c r="T1145">
        <f t="shared" si="61"/>
        <v>6</v>
      </c>
      <c r="U1145" s="21">
        <f t="shared" si="71"/>
        <v>45209</v>
      </c>
    </row>
    <row r="1146" spans="1:21" x14ac:dyDescent="0.35">
      <c r="A1146" t="s">
        <v>2565</v>
      </c>
      <c r="B1146" t="s">
        <v>2566</v>
      </c>
      <c r="C1146" t="s">
        <v>19</v>
      </c>
      <c r="D1146" t="s">
        <v>21</v>
      </c>
      <c r="E1146" s="1">
        <v>64.072000000000003</v>
      </c>
      <c r="F1146" t="s">
        <v>22</v>
      </c>
      <c r="G1146">
        <v>0</v>
      </c>
      <c r="H1146" s="1">
        <v>0</v>
      </c>
      <c r="I1146" s="21">
        <v>44472</v>
      </c>
      <c r="J1146" s="21">
        <v>44474</v>
      </c>
      <c r="K1146" s="21">
        <v>44474</v>
      </c>
      <c r="L1146" t="s">
        <v>24</v>
      </c>
      <c r="M1146" t="s">
        <v>82</v>
      </c>
      <c r="N1146" t="s">
        <v>47</v>
      </c>
      <c r="O1146">
        <v>1</v>
      </c>
      <c r="P1146" t="s">
        <v>2567</v>
      </c>
      <c r="Q1146" t="s">
        <v>4729</v>
      </c>
      <c r="R1146" t="s">
        <v>4722</v>
      </c>
      <c r="S1146" t="s">
        <v>4718</v>
      </c>
      <c r="T1146">
        <f t="shared" si="61"/>
        <v>2</v>
      </c>
      <c r="U1146" s="21">
        <f>J1146</f>
        <v>44474</v>
      </c>
    </row>
    <row r="1147" spans="1:21" x14ac:dyDescent="0.35">
      <c r="A1147" t="s">
        <v>3879</v>
      </c>
      <c r="B1147" t="s">
        <v>3880</v>
      </c>
      <c r="C1147" t="s">
        <v>19</v>
      </c>
      <c r="D1147" t="s">
        <v>212</v>
      </c>
      <c r="E1147" s="1">
        <v>31.05</v>
      </c>
      <c r="F1147" t="s">
        <v>206</v>
      </c>
      <c r="G1147">
        <v>100</v>
      </c>
      <c r="H1147" s="1">
        <v>31.05</v>
      </c>
      <c r="I1147" s="21">
        <v>44837</v>
      </c>
      <c r="J1147" s="21">
        <v>44843</v>
      </c>
      <c r="K1147" s="21">
        <f t="shared" ref="K1147:K1151" si="72">J1147</f>
        <v>44843</v>
      </c>
      <c r="L1147" t="s">
        <v>207</v>
      </c>
      <c r="M1147" t="s">
        <v>67</v>
      </c>
      <c r="N1147" t="s">
        <v>68</v>
      </c>
      <c r="O1147">
        <v>1</v>
      </c>
      <c r="P1147" t="s">
        <v>3491</v>
      </c>
      <c r="Q1147" t="s">
        <v>4517</v>
      </c>
      <c r="R1147" t="s">
        <v>4726</v>
      </c>
      <c r="S1147" t="s">
        <v>4717</v>
      </c>
      <c r="T1147">
        <f t="shared" si="61"/>
        <v>6</v>
      </c>
      <c r="U1147" s="21">
        <f t="shared" ref="U1147:U1151" si="73">J1147+365</f>
        <v>45208</v>
      </c>
    </row>
    <row r="1148" spans="1:21" x14ac:dyDescent="0.35">
      <c r="A1148" t="s">
        <v>430</v>
      </c>
      <c r="B1148" t="s">
        <v>431</v>
      </c>
      <c r="C1148" t="s">
        <v>19</v>
      </c>
      <c r="D1148" t="s">
        <v>212</v>
      </c>
      <c r="E1148" s="1">
        <v>8.92</v>
      </c>
      <c r="F1148" t="s">
        <v>206</v>
      </c>
      <c r="G1148">
        <v>100</v>
      </c>
      <c r="H1148" s="1">
        <v>8.92</v>
      </c>
      <c r="I1148" s="21">
        <v>44837</v>
      </c>
      <c r="J1148" s="21">
        <v>44841</v>
      </c>
      <c r="K1148" s="21">
        <f t="shared" si="72"/>
        <v>44841</v>
      </c>
      <c r="L1148" t="s">
        <v>248</v>
      </c>
      <c r="M1148" t="s">
        <v>40</v>
      </c>
      <c r="N1148" t="s">
        <v>34</v>
      </c>
      <c r="O1148">
        <v>1</v>
      </c>
      <c r="P1148" t="s">
        <v>432</v>
      </c>
      <c r="Q1148" t="s">
        <v>4533</v>
      </c>
      <c r="R1148" t="s">
        <v>4721</v>
      </c>
      <c r="S1148" t="s">
        <v>4717</v>
      </c>
      <c r="T1148">
        <f t="shared" si="61"/>
        <v>4</v>
      </c>
      <c r="U1148" s="21">
        <f t="shared" si="73"/>
        <v>45206</v>
      </c>
    </row>
    <row r="1149" spans="1:21" x14ac:dyDescent="0.35">
      <c r="A1149" t="s">
        <v>1658</v>
      </c>
      <c r="B1149" t="s">
        <v>1659</v>
      </c>
      <c r="C1149" t="s">
        <v>30</v>
      </c>
      <c r="D1149" t="s">
        <v>212</v>
      </c>
      <c r="E1149" s="1">
        <v>1056.8599999999999</v>
      </c>
      <c r="F1149" t="s">
        <v>206</v>
      </c>
      <c r="G1149">
        <v>100</v>
      </c>
      <c r="H1149" s="1">
        <v>1056.8599999999999</v>
      </c>
      <c r="I1149" s="21">
        <v>44837</v>
      </c>
      <c r="J1149" s="21">
        <v>44842</v>
      </c>
      <c r="K1149" s="21">
        <f t="shared" si="72"/>
        <v>44842</v>
      </c>
      <c r="L1149" t="s">
        <v>248</v>
      </c>
      <c r="M1149" t="s">
        <v>67</v>
      </c>
      <c r="N1149" t="s">
        <v>68</v>
      </c>
      <c r="O1149">
        <v>1</v>
      </c>
      <c r="P1149" t="s">
        <v>1660</v>
      </c>
      <c r="Q1149" t="s">
        <v>4567</v>
      </c>
      <c r="R1149" t="s">
        <v>4721</v>
      </c>
      <c r="S1149" t="s">
        <v>4717</v>
      </c>
      <c r="T1149">
        <f t="shared" si="61"/>
        <v>5</v>
      </c>
      <c r="U1149" s="21">
        <f t="shared" si="73"/>
        <v>45207</v>
      </c>
    </row>
    <row r="1150" spans="1:21" x14ac:dyDescent="0.35">
      <c r="A1150" t="s">
        <v>1655</v>
      </c>
      <c r="B1150" t="s">
        <v>1656</v>
      </c>
      <c r="C1150" t="s">
        <v>30</v>
      </c>
      <c r="D1150" t="s">
        <v>205</v>
      </c>
      <c r="E1150" s="1">
        <v>147.184</v>
      </c>
      <c r="F1150" t="s">
        <v>206</v>
      </c>
      <c r="G1150">
        <v>80</v>
      </c>
      <c r="H1150" s="1">
        <v>117.74720000000001</v>
      </c>
      <c r="I1150" s="21">
        <v>44837</v>
      </c>
      <c r="J1150" s="21">
        <v>44841</v>
      </c>
      <c r="K1150" s="21">
        <f t="shared" si="72"/>
        <v>44841</v>
      </c>
      <c r="L1150" t="s">
        <v>207</v>
      </c>
      <c r="M1150" t="s">
        <v>54</v>
      </c>
      <c r="N1150" t="s">
        <v>26</v>
      </c>
      <c r="O1150">
        <v>1</v>
      </c>
      <c r="P1150" t="s">
        <v>1657</v>
      </c>
      <c r="Q1150" t="s">
        <v>4628</v>
      </c>
      <c r="R1150" t="s">
        <v>4721</v>
      </c>
      <c r="S1150" t="s">
        <v>4717</v>
      </c>
      <c r="T1150">
        <f t="shared" si="61"/>
        <v>4</v>
      </c>
      <c r="U1150" s="21">
        <f t="shared" si="73"/>
        <v>45206</v>
      </c>
    </row>
    <row r="1151" spans="1:21" x14ac:dyDescent="0.35">
      <c r="A1151" t="s">
        <v>1652</v>
      </c>
      <c r="B1151" t="s">
        <v>1653</v>
      </c>
      <c r="C1151" t="s">
        <v>19</v>
      </c>
      <c r="D1151" t="s">
        <v>212</v>
      </c>
      <c r="E1151" s="1">
        <v>209.6</v>
      </c>
      <c r="F1151" t="s">
        <v>206</v>
      </c>
      <c r="G1151">
        <v>100</v>
      </c>
      <c r="H1151" s="1">
        <v>209.6</v>
      </c>
      <c r="I1151" s="21">
        <v>44837</v>
      </c>
      <c r="J1151" s="21">
        <v>44842</v>
      </c>
      <c r="K1151" s="21">
        <f t="shared" si="72"/>
        <v>44842</v>
      </c>
      <c r="L1151" t="s">
        <v>238</v>
      </c>
      <c r="M1151" t="s">
        <v>67</v>
      </c>
      <c r="N1151" t="s">
        <v>68</v>
      </c>
      <c r="O1151">
        <v>1</v>
      </c>
      <c r="P1151" t="s">
        <v>1654</v>
      </c>
      <c r="Q1151" t="s">
        <v>4729</v>
      </c>
      <c r="R1151" t="s">
        <v>4726</v>
      </c>
      <c r="S1151" t="s">
        <v>4717</v>
      </c>
      <c r="T1151">
        <f t="shared" si="61"/>
        <v>5</v>
      </c>
      <c r="U1151" s="21">
        <f t="shared" si="73"/>
        <v>45207</v>
      </c>
    </row>
    <row r="1152" spans="1:21" x14ac:dyDescent="0.35">
      <c r="A1152" t="s">
        <v>3676</v>
      </c>
      <c r="B1152" t="s">
        <v>3677</v>
      </c>
      <c r="C1152" t="s">
        <v>19</v>
      </c>
      <c r="D1152" t="s">
        <v>21</v>
      </c>
      <c r="E1152" s="1">
        <v>569.33600000000001</v>
      </c>
      <c r="F1152" t="s">
        <v>22</v>
      </c>
      <c r="G1152">
        <v>0</v>
      </c>
      <c r="H1152" s="1">
        <v>0</v>
      </c>
      <c r="I1152" s="21">
        <v>44472</v>
      </c>
      <c r="J1152" s="21">
        <v>44473</v>
      </c>
      <c r="K1152" s="21">
        <v>44473</v>
      </c>
      <c r="L1152" t="s">
        <v>39</v>
      </c>
      <c r="M1152" t="s">
        <v>67</v>
      </c>
      <c r="N1152" t="s">
        <v>68</v>
      </c>
      <c r="O1152">
        <v>1</v>
      </c>
      <c r="P1152" t="s">
        <v>3337</v>
      </c>
      <c r="Q1152" t="s">
        <v>4729</v>
      </c>
      <c r="R1152" t="s">
        <v>4726</v>
      </c>
      <c r="S1152" t="s">
        <v>4717</v>
      </c>
      <c r="T1152">
        <f t="shared" si="61"/>
        <v>1</v>
      </c>
      <c r="U1152" s="21">
        <f>J1152</f>
        <v>44473</v>
      </c>
    </row>
    <row r="1153" spans="1:21" x14ac:dyDescent="0.35">
      <c r="A1153" t="s">
        <v>2810</v>
      </c>
      <c r="B1153" t="s">
        <v>2811</v>
      </c>
      <c r="C1153" t="s">
        <v>19</v>
      </c>
      <c r="D1153" t="s">
        <v>212</v>
      </c>
      <c r="E1153" s="1">
        <v>28.9</v>
      </c>
      <c r="F1153" t="s">
        <v>206</v>
      </c>
      <c r="G1153">
        <v>100</v>
      </c>
      <c r="H1153" s="1">
        <v>28.9</v>
      </c>
      <c r="I1153" s="21">
        <v>44836</v>
      </c>
      <c r="J1153" s="21">
        <v>44839</v>
      </c>
      <c r="K1153" s="21">
        <f t="shared" ref="K1153:K1154" si="74">J1153</f>
        <v>44839</v>
      </c>
      <c r="L1153" t="s">
        <v>207</v>
      </c>
      <c r="M1153" t="s">
        <v>40</v>
      </c>
      <c r="N1153" t="s">
        <v>34</v>
      </c>
      <c r="O1153">
        <v>1</v>
      </c>
      <c r="P1153" t="s">
        <v>2812</v>
      </c>
      <c r="Q1153" t="s">
        <v>4592</v>
      </c>
      <c r="R1153" t="s">
        <v>4726</v>
      </c>
      <c r="S1153" t="s">
        <v>4717</v>
      </c>
      <c r="T1153">
        <f t="shared" si="61"/>
        <v>3</v>
      </c>
      <c r="U1153" s="21">
        <f t="shared" ref="U1153:U1154" si="75">J1153+365</f>
        <v>45204</v>
      </c>
    </row>
    <row r="1154" spans="1:21" x14ac:dyDescent="0.35">
      <c r="A1154" t="s">
        <v>427</v>
      </c>
      <c r="B1154" t="s">
        <v>428</v>
      </c>
      <c r="C1154" t="s">
        <v>30</v>
      </c>
      <c r="D1154" t="s">
        <v>205</v>
      </c>
      <c r="E1154" s="1">
        <v>27.18</v>
      </c>
      <c r="F1154" t="s">
        <v>206</v>
      </c>
      <c r="G1154">
        <v>80</v>
      </c>
      <c r="H1154" s="1">
        <v>21.744</v>
      </c>
      <c r="I1154" s="21">
        <v>44836</v>
      </c>
      <c r="J1154" s="21">
        <v>44841</v>
      </c>
      <c r="K1154" s="21">
        <f t="shared" si="74"/>
        <v>44841</v>
      </c>
      <c r="L1154" t="s">
        <v>220</v>
      </c>
      <c r="M1154" t="s">
        <v>97</v>
      </c>
      <c r="N1154" t="s">
        <v>68</v>
      </c>
      <c r="O1154">
        <v>1</v>
      </c>
      <c r="P1154" t="s">
        <v>429</v>
      </c>
      <c r="Q1154" t="s">
        <v>4729</v>
      </c>
      <c r="R1154" t="s">
        <v>4726</v>
      </c>
      <c r="S1154" t="s">
        <v>4717</v>
      </c>
      <c r="T1154">
        <f t="shared" ref="T1154:T1217" si="76">J1154-I1154</f>
        <v>5</v>
      </c>
      <c r="U1154" s="21">
        <f t="shared" si="75"/>
        <v>45206</v>
      </c>
    </row>
    <row r="1155" spans="1:21" x14ac:dyDescent="0.35">
      <c r="A1155" t="s">
        <v>1386</v>
      </c>
      <c r="B1155" t="s">
        <v>1387</v>
      </c>
      <c r="C1155" t="s">
        <v>30</v>
      </c>
      <c r="D1155" t="s">
        <v>21</v>
      </c>
      <c r="E1155" s="1">
        <v>86.82</v>
      </c>
      <c r="F1155" t="s">
        <v>22</v>
      </c>
      <c r="G1155">
        <v>0</v>
      </c>
      <c r="H1155" s="1">
        <v>0</v>
      </c>
      <c r="I1155" s="21">
        <v>44468</v>
      </c>
      <c r="J1155" s="21">
        <v>44471</v>
      </c>
      <c r="K1155" s="21">
        <v>44471</v>
      </c>
      <c r="L1155" t="s">
        <v>53</v>
      </c>
      <c r="M1155" t="s">
        <v>146</v>
      </c>
      <c r="N1155" t="s">
        <v>73</v>
      </c>
      <c r="O1155">
        <v>1</v>
      </c>
      <c r="P1155" t="s">
        <v>1388</v>
      </c>
      <c r="Q1155" t="s">
        <v>4535</v>
      </c>
      <c r="R1155" t="s">
        <v>4710</v>
      </c>
      <c r="S1155" t="s">
        <v>4717</v>
      </c>
      <c r="T1155">
        <f t="shared" si="76"/>
        <v>3</v>
      </c>
      <c r="U1155" s="21">
        <f>J1155</f>
        <v>44471</v>
      </c>
    </row>
    <row r="1156" spans="1:21" x14ac:dyDescent="0.35">
      <c r="A1156" t="s">
        <v>3877</v>
      </c>
      <c r="B1156" t="s">
        <v>3878</v>
      </c>
      <c r="C1156" t="s">
        <v>19</v>
      </c>
      <c r="D1156" t="s">
        <v>212</v>
      </c>
      <c r="E1156" s="1">
        <v>20.7</v>
      </c>
      <c r="F1156" t="s">
        <v>206</v>
      </c>
      <c r="G1156">
        <v>100</v>
      </c>
      <c r="H1156" s="1">
        <v>20.7</v>
      </c>
      <c r="I1156" s="21">
        <v>44832</v>
      </c>
      <c r="J1156" s="21">
        <v>44834</v>
      </c>
      <c r="K1156" s="21">
        <f>J1156</f>
        <v>44834</v>
      </c>
      <c r="L1156" t="s">
        <v>213</v>
      </c>
      <c r="M1156" t="s">
        <v>25</v>
      </c>
      <c r="N1156" t="s">
        <v>26</v>
      </c>
      <c r="O1156">
        <v>1</v>
      </c>
      <c r="P1156" t="s">
        <v>1113</v>
      </c>
      <c r="Q1156" t="s">
        <v>4517</v>
      </c>
      <c r="R1156" t="s">
        <v>4726</v>
      </c>
      <c r="S1156" t="s">
        <v>4717</v>
      </c>
      <c r="T1156">
        <f t="shared" si="76"/>
        <v>2</v>
      </c>
      <c r="U1156" s="21">
        <f>J1156+365</f>
        <v>45199</v>
      </c>
    </row>
    <row r="1157" spans="1:21" x14ac:dyDescent="0.35">
      <c r="A1157" t="s">
        <v>1383</v>
      </c>
      <c r="B1157" t="s">
        <v>1384</v>
      </c>
      <c r="C1157" t="s">
        <v>19</v>
      </c>
      <c r="D1157" t="s">
        <v>21</v>
      </c>
      <c r="E1157" s="1">
        <v>39.367999999999903</v>
      </c>
      <c r="F1157" t="s">
        <v>22</v>
      </c>
      <c r="G1157">
        <v>0</v>
      </c>
      <c r="H1157" s="1">
        <v>0</v>
      </c>
      <c r="I1157" s="21">
        <v>44467</v>
      </c>
      <c r="J1157" s="21">
        <v>44469</v>
      </c>
      <c r="K1157" s="21">
        <v>44469</v>
      </c>
      <c r="L1157" t="s">
        <v>32</v>
      </c>
      <c r="M1157" t="s">
        <v>25</v>
      </c>
      <c r="N1157" t="s">
        <v>26</v>
      </c>
      <c r="O1157">
        <v>1</v>
      </c>
      <c r="P1157" t="s">
        <v>1385</v>
      </c>
      <c r="Q1157" t="s">
        <v>4729</v>
      </c>
      <c r="R1157" t="s">
        <v>4726</v>
      </c>
      <c r="S1157" t="s">
        <v>4717</v>
      </c>
      <c r="T1157">
        <f t="shared" si="76"/>
        <v>2</v>
      </c>
      <c r="U1157" s="21">
        <f>J1157</f>
        <v>44469</v>
      </c>
    </row>
    <row r="1158" spans="1:21" x14ac:dyDescent="0.35">
      <c r="A1158" t="s">
        <v>424</v>
      </c>
      <c r="B1158" t="s">
        <v>425</v>
      </c>
      <c r="C1158" t="s">
        <v>19</v>
      </c>
      <c r="D1158" t="s">
        <v>205</v>
      </c>
      <c r="E1158" s="1">
        <v>1.24</v>
      </c>
      <c r="F1158" t="s">
        <v>206</v>
      </c>
      <c r="G1158">
        <v>80</v>
      </c>
      <c r="H1158" s="1">
        <v>0.99199999999999999</v>
      </c>
      <c r="I1158" s="21">
        <v>44831</v>
      </c>
      <c r="J1158" s="21">
        <v>44835</v>
      </c>
      <c r="K1158" s="21">
        <f t="shared" ref="K1158:K1169" si="77">J1158</f>
        <v>44835</v>
      </c>
      <c r="L1158" t="s">
        <v>234</v>
      </c>
      <c r="M1158" t="s">
        <v>72</v>
      </c>
      <c r="N1158" t="s">
        <v>73</v>
      </c>
      <c r="O1158">
        <v>1</v>
      </c>
      <c r="P1158" t="s">
        <v>426</v>
      </c>
      <c r="Q1158" t="s">
        <v>4563</v>
      </c>
      <c r="R1158" t="s">
        <v>4726</v>
      </c>
      <c r="S1158" t="s">
        <v>4717</v>
      </c>
      <c r="T1158">
        <f t="shared" si="76"/>
        <v>4</v>
      </c>
      <c r="U1158" s="21">
        <f t="shared" ref="U1158:U1169" si="78">J1158+365</f>
        <v>45200</v>
      </c>
    </row>
    <row r="1159" spans="1:21" x14ac:dyDescent="0.35">
      <c r="A1159" t="s">
        <v>2807</v>
      </c>
      <c r="B1159" t="s">
        <v>2808</v>
      </c>
      <c r="C1159" t="s">
        <v>19</v>
      </c>
      <c r="D1159" t="s">
        <v>205</v>
      </c>
      <c r="E1159" s="1">
        <v>6.0960000000000001</v>
      </c>
      <c r="F1159" t="s">
        <v>206</v>
      </c>
      <c r="G1159">
        <v>80</v>
      </c>
      <c r="H1159" s="1">
        <v>4.8768000000000002</v>
      </c>
      <c r="I1159" s="21">
        <v>44830</v>
      </c>
      <c r="J1159" s="21">
        <v>44832</v>
      </c>
      <c r="K1159" s="21">
        <f t="shared" si="77"/>
        <v>44832</v>
      </c>
      <c r="L1159" t="s">
        <v>238</v>
      </c>
      <c r="M1159" t="s">
        <v>40</v>
      </c>
      <c r="N1159" t="s">
        <v>34</v>
      </c>
      <c r="O1159">
        <v>1</v>
      </c>
      <c r="P1159" t="s">
        <v>2809</v>
      </c>
      <c r="Q1159" t="s">
        <v>4526</v>
      </c>
      <c r="R1159" t="s">
        <v>4726</v>
      </c>
      <c r="S1159" t="s">
        <v>4717</v>
      </c>
      <c r="T1159">
        <f t="shared" si="76"/>
        <v>2</v>
      </c>
      <c r="U1159" s="21">
        <f t="shared" si="78"/>
        <v>45197</v>
      </c>
    </row>
    <row r="1160" spans="1:21" x14ac:dyDescent="0.35">
      <c r="A1160" t="s">
        <v>1647</v>
      </c>
      <c r="B1160" t="s">
        <v>1648</v>
      </c>
      <c r="C1160" t="s">
        <v>30</v>
      </c>
      <c r="D1160" t="s">
        <v>212</v>
      </c>
      <c r="E1160" s="1">
        <v>21.36</v>
      </c>
      <c r="F1160" t="s">
        <v>206</v>
      </c>
      <c r="G1160">
        <v>100</v>
      </c>
      <c r="H1160" s="1">
        <v>21.36</v>
      </c>
      <c r="I1160" s="21">
        <v>44830</v>
      </c>
      <c r="J1160" s="21">
        <v>44834</v>
      </c>
      <c r="K1160" s="21">
        <f t="shared" si="77"/>
        <v>44834</v>
      </c>
      <c r="L1160" t="s">
        <v>207</v>
      </c>
      <c r="M1160" t="s">
        <v>25</v>
      </c>
      <c r="N1160" t="s">
        <v>26</v>
      </c>
      <c r="O1160">
        <v>1</v>
      </c>
      <c r="P1160" t="s">
        <v>1059</v>
      </c>
      <c r="Q1160" t="s">
        <v>4611</v>
      </c>
      <c r="R1160" t="s">
        <v>4724</v>
      </c>
      <c r="S1160" t="s">
        <v>4718</v>
      </c>
      <c r="T1160">
        <f t="shared" si="76"/>
        <v>4</v>
      </c>
      <c r="U1160" s="21">
        <f t="shared" si="78"/>
        <v>45199</v>
      </c>
    </row>
    <row r="1161" spans="1:21" x14ac:dyDescent="0.35">
      <c r="A1161" t="s">
        <v>1649</v>
      </c>
      <c r="B1161" t="s">
        <v>1650</v>
      </c>
      <c r="C1161" t="s">
        <v>30</v>
      </c>
      <c r="D1161" t="s">
        <v>205</v>
      </c>
      <c r="E1161" s="1">
        <v>4.923</v>
      </c>
      <c r="F1161" t="s">
        <v>206</v>
      </c>
      <c r="G1161">
        <v>80</v>
      </c>
      <c r="H1161" s="1">
        <v>3.9384000000000001</v>
      </c>
      <c r="I1161" s="21">
        <v>44830</v>
      </c>
      <c r="J1161" s="21">
        <v>44834</v>
      </c>
      <c r="K1161" s="21">
        <f t="shared" si="77"/>
        <v>44834</v>
      </c>
      <c r="L1161" t="s">
        <v>238</v>
      </c>
      <c r="M1161" t="s">
        <v>25</v>
      </c>
      <c r="N1161" t="s">
        <v>26</v>
      </c>
      <c r="O1161">
        <v>1</v>
      </c>
      <c r="P1161" t="s">
        <v>1651</v>
      </c>
      <c r="Q1161" t="s">
        <v>4600</v>
      </c>
      <c r="R1161" t="s">
        <v>4726</v>
      </c>
      <c r="S1161" t="s">
        <v>4717</v>
      </c>
      <c r="T1161">
        <f t="shared" si="76"/>
        <v>4</v>
      </c>
      <c r="U1161" s="21">
        <f t="shared" si="78"/>
        <v>45199</v>
      </c>
    </row>
    <row r="1162" spans="1:21" x14ac:dyDescent="0.35">
      <c r="A1162" t="s">
        <v>3872</v>
      </c>
      <c r="B1162" t="s">
        <v>3873</v>
      </c>
      <c r="C1162" t="s">
        <v>30</v>
      </c>
      <c r="D1162" t="s">
        <v>205</v>
      </c>
      <c r="E1162" s="1">
        <v>8.64</v>
      </c>
      <c r="F1162" t="s">
        <v>206</v>
      </c>
      <c r="G1162">
        <v>80</v>
      </c>
      <c r="H1162" s="1">
        <v>6.9120000000000008</v>
      </c>
      <c r="I1162" s="21">
        <v>44830</v>
      </c>
      <c r="J1162" s="21">
        <v>44830</v>
      </c>
      <c r="K1162" s="21">
        <f t="shared" si="77"/>
        <v>44830</v>
      </c>
      <c r="L1162" t="s">
        <v>238</v>
      </c>
      <c r="M1162" t="s">
        <v>82</v>
      </c>
      <c r="N1162" t="s">
        <v>47</v>
      </c>
      <c r="O1162">
        <v>1</v>
      </c>
      <c r="P1162" t="s">
        <v>3874</v>
      </c>
      <c r="Q1162" t="s">
        <v>4517</v>
      </c>
      <c r="R1162" t="s">
        <v>4726</v>
      </c>
      <c r="S1162" t="s">
        <v>4717</v>
      </c>
      <c r="T1162">
        <f t="shared" si="76"/>
        <v>0</v>
      </c>
      <c r="U1162" s="21">
        <f t="shared" si="78"/>
        <v>45195</v>
      </c>
    </row>
    <row r="1163" spans="1:21" x14ac:dyDescent="0.35">
      <c r="A1163" t="s">
        <v>2804</v>
      </c>
      <c r="B1163" t="s">
        <v>2805</v>
      </c>
      <c r="C1163" t="s">
        <v>19</v>
      </c>
      <c r="D1163" t="s">
        <v>205</v>
      </c>
      <c r="E1163" s="1">
        <v>481.17599999999999</v>
      </c>
      <c r="F1163" t="s">
        <v>206</v>
      </c>
      <c r="G1163">
        <v>80</v>
      </c>
      <c r="H1163" s="1">
        <v>384.94080000000002</v>
      </c>
      <c r="I1163" s="21">
        <v>44830</v>
      </c>
      <c r="J1163" s="21">
        <v>44835</v>
      </c>
      <c r="K1163" s="21">
        <f t="shared" si="77"/>
        <v>44835</v>
      </c>
      <c r="L1163" t="s">
        <v>238</v>
      </c>
      <c r="M1163" t="s">
        <v>146</v>
      </c>
      <c r="N1163" t="s">
        <v>73</v>
      </c>
      <c r="O1163">
        <v>1</v>
      </c>
      <c r="P1163" t="s">
        <v>2806</v>
      </c>
      <c r="Q1163" t="s">
        <v>4602</v>
      </c>
      <c r="R1163" t="s">
        <v>4712</v>
      </c>
      <c r="S1163" t="s">
        <v>4718</v>
      </c>
      <c r="T1163">
        <f t="shared" si="76"/>
        <v>5</v>
      </c>
      <c r="U1163" s="21">
        <f t="shared" si="78"/>
        <v>45200</v>
      </c>
    </row>
    <row r="1164" spans="1:21" x14ac:dyDescent="0.35">
      <c r="A1164" t="s">
        <v>3875</v>
      </c>
      <c r="B1164" t="s">
        <v>3876</v>
      </c>
      <c r="C1164" t="s">
        <v>30</v>
      </c>
      <c r="D1164" t="s">
        <v>212</v>
      </c>
      <c r="E1164" s="1">
        <v>337.98</v>
      </c>
      <c r="F1164" t="s">
        <v>206</v>
      </c>
      <c r="G1164">
        <v>100</v>
      </c>
      <c r="H1164" s="1">
        <v>337.98</v>
      </c>
      <c r="I1164" s="21">
        <v>44830</v>
      </c>
      <c r="J1164" s="21">
        <v>44836</v>
      </c>
      <c r="K1164" s="21">
        <f t="shared" si="77"/>
        <v>44836</v>
      </c>
      <c r="L1164" t="s">
        <v>238</v>
      </c>
      <c r="M1164" t="s">
        <v>25</v>
      </c>
      <c r="N1164" t="s">
        <v>26</v>
      </c>
      <c r="O1164">
        <v>1</v>
      </c>
      <c r="P1164" t="s">
        <v>2564</v>
      </c>
      <c r="Q1164" t="s">
        <v>4663</v>
      </c>
      <c r="R1164" t="s">
        <v>4711</v>
      </c>
      <c r="S1164" t="s">
        <v>4719</v>
      </c>
      <c r="T1164">
        <f t="shared" si="76"/>
        <v>6</v>
      </c>
      <c r="U1164" s="21">
        <f t="shared" si="78"/>
        <v>45201</v>
      </c>
    </row>
    <row r="1165" spans="1:21" x14ac:dyDescent="0.35">
      <c r="A1165" t="s">
        <v>421</v>
      </c>
      <c r="B1165" t="s">
        <v>422</v>
      </c>
      <c r="C1165" t="s">
        <v>30</v>
      </c>
      <c r="D1165" t="s">
        <v>212</v>
      </c>
      <c r="E1165" s="1">
        <v>9.7620000000000005</v>
      </c>
      <c r="F1165" t="s">
        <v>206</v>
      </c>
      <c r="G1165">
        <v>100</v>
      </c>
      <c r="H1165" s="1">
        <v>9.7620000000000005</v>
      </c>
      <c r="I1165" s="21">
        <v>44829</v>
      </c>
      <c r="J1165" s="21">
        <v>44831</v>
      </c>
      <c r="K1165" s="21">
        <f t="shared" si="77"/>
        <v>44831</v>
      </c>
      <c r="L1165" t="s">
        <v>207</v>
      </c>
      <c r="M1165" t="s">
        <v>33</v>
      </c>
      <c r="N1165" t="s">
        <v>34</v>
      </c>
      <c r="O1165">
        <v>1</v>
      </c>
      <c r="P1165" t="s">
        <v>423</v>
      </c>
      <c r="Q1165" t="s">
        <v>4526</v>
      </c>
      <c r="R1165" t="s">
        <v>4726</v>
      </c>
      <c r="S1165" t="s">
        <v>4717</v>
      </c>
      <c r="T1165">
        <f t="shared" si="76"/>
        <v>2</v>
      </c>
      <c r="U1165" s="21">
        <f t="shared" si="78"/>
        <v>45196</v>
      </c>
    </row>
    <row r="1166" spans="1:21" x14ac:dyDescent="0.35">
      <c r="A1166" t="s">
        <v>1644</v>
      </c>
      <c r="B1166" t="s">
        <v>1645</v>
      </c>
      <c r="C1166" t="s">
        <v>30</v>
      </c>
      <c r="D1166" t="s">
        <v>212</v>
      </c>
      <c r="E1166" s="1">
        <v>4.46999999999999</v>
      </c>
      <c r="F1166" t="s">
        <v>206</v>
      </c>
      <c r="G1166">
        <v>100</v>
      </c>
      <c r="H1166" s="1">
        <v>4.46999999999999</v>
      </c>
      <c r="I1166" s="21">
        <v>44829</v>
      </c>
      <c r="J1166" s="21">
        <v>44832</v>
      </c>
      <c r="K1166" s="21">
        <f t="shared" si="77"/>
        <v>44832</v>
      </c>
      <c r="L1166" t="s">
        <v>234</v>
      </c>
      <c r="M1166" t="s">
        <v>46</v>
      </c>
      <c r="N1166" t="s">
        <v>47</v>
      </c>
      <c r="O1166">
        <v>1</v>
      </c>
      <c r="P1166" t="s">
        <v>1646</v>
      </c>
      <c r="Q1166" t="s">
        <v>4526</v>
      </c>
      <c r="R1166" t="s">
        <v>4726</v>
      </c>
      <c r="S1166" t="s">
        <v>4717</v>
      </c>
      <c r="T1166">
        <f t="shared" si="76"/>
        <v>3</v>
      </c>
      <c r="U1166" s="21">
        <f t="shared" si="78"/>
        <v>45197</v>
      </c>
    </row>
    <row r="1167" spans="1:21" x14ac:dyDescent="0.35">
      <c r="A1167" t="s">
        <v>1642</v>
      </c>
      <c r="B1167" t="s">
        <v>1643</v>
      </c>
      <c r="C1167" t="s">
        <v>30</v>
      </c>
      <c r="D1167" t="s">
        <v>212</v>
      </c>
      <c r="E1167" s="1">
        <v>17.899999999999999</v>
      </c>
      <c r="F1167" t="s">
        <v>206</v>
      </c>
      <c r="G1167">
        <v>100</v>
      </c>
      <c r="H1167" s="1">
        <v>17.899999999999999</v>
      </c>
      <c r="I1167" s="21">
        <v>44829</v>
      </c>
      <c r="J1167" s="21">
        <v>44835</v>
      </c>
      <c r="K1167" s="21">
        <f t="shared" si="77"/>
        <v>44835</v>
      </c>
      <c r="L1167" t="s">
        <v>213</v>
      </c>
      <c r="M1167" t="s">
        <v>25</v>
      </c>
      <c r="N1167" t="s">
        <v>26</v>
      </c>
      <c r="O1167">
        <v>1</v>
      </c>
      <c r="P1167" t="s">
        <v>609</v>
      </c>
      <c r="Q1167" t="s">
        <v>4580</v>
      </c>
      <c r="R1167" t="s">
        <v>4713</v>
      </c>
      <c r="S1167" t="s">
        <v>4719</v>
      </c>
      <c r="T1167">
        <f t="shared" si="76"/>
        <v>6</v>
      </c>
      <c r="U1167" s="21">
        <f t="shared" si="78"/>
        <v>45200</v>
      </c>
    </row>
    <row r="1168" spans="1:21" x14ac:dyDescent="0.35">
      <c r="A1168" t="s">
        <v>2802</v>
      </c>
      <c r="B1168" t="s">
        <v>2803</v>
      </c>
      <c r="C1168" t="s">
        <v>19</v>
      </c>
      <c r="D1168" t="s">
        <v>212</v>
      </c>
      <c r="E1168" s="1">
        <v>47.515999999999899</v>
      </c>
      <c r="F1168" t="s">
        <v>206</v>
      </c>
      <c r="G1168">
        <v>100</v>
      </c>
      <c r="H1168" s="1">
        <v>47.515999999999899</v>
      </c>
      <c r="I1168" s="21">
        <v>44829</v>
      </c>
      <c r="J1168" s="21">
        <v>44832</v>
      </c>
      <c r="K1168" s="21">
        <f t="shared" si="77"/>
        <v>44832</v>
      </c>
      <c r="L1168" t="s">
        <v>234</v>
      </c>
      <c r="M1168" t="s">
        <v>54</v>
      </c>
      <c r="N1168" t="s">
        <v>26</v>
      </c>
      <c r="O1168">
        <v>1</v>
      </c>
      <c r="P1168" t="s">
        <v>2288</v>
      </c>
      <c r="Q1168" t="s">
        <v>4729</v>
      </c>
      <c r="R1168" t="s">
        <v>4714</v>
      </c>
      <c r="S1168" t="s">
        <v>4718</v>
      </c>
      <c r="T1168">
        <f t="shared" si="76"/>
        <v>3</v>
      </c>
      <c r="U1168" s="21">
        <f t="shared" si="78"/>
        <v>45197</v>
      </c>
    </row>
    <row r="1169" spans="1:21" x14ac:dyDescent="0.35">
      <c r="A1169" t="s">
        <v>1639</v>
      </c>
      <c r="B1169" t="s">
        <v>1640</v>
      </c>
      <c r="C1169" t="s">
        <v>19</v>
      </c>
      <c r="D1169" t="s">
        <v>212</v>
      </c>
      <c r="E1169" s="1">
        <v>31.44</v>
      </c>
      <c r="F1169" t="s">
        <v>206</v>
      </c>
      <c r="G1169">
        <v>100</v>
      </c>
      <c r="H1169" s="1">
        <v>31.44</v>
      </c>
      <c r="I1169" s="21">
        <v>44829</v>
      </c>
      <c r="J1169" s="21">
        <v>44834</v>
      </c>
      <c r="K1169" s="21">
        <f t="shared" si="77"/>
        <v>44834</v>
      </c>
      <c r="L1169" t="s">
        <v>238</v>
      </c>
      <c r="M1169" t="s">
        <v>67</v>
      </c>
      <c r="N1169" t="s">
        <v>68</v>
      </c>
      <c r="O1169">
        <v>1</v>
      </c>
      <c r="P1169" t="s">
        <v>1641</v>
      </c>
      <c r="Q1169" t="s">
        <v>4729</v>
      </c>
      <c r="R1169" t="s">
        <v>4709</v>
      </c>
      <c r="S1169" t="s">
        <v>4717</v>
      </c>
      <c r="T1169">
        <f t="shared" si="76"/>
        <v>5</v>
      </c>
      <c r="U1169" s="21">
        <f t="shared" si="78"/>
        <v>45199</v>
      </c>
    </row>
    <row r="1170" spans="1:21" x14ac:dyDescent="0.35">
      <c r="A1170" t="s">
        <v>1380</v>
      </c>
      <c r="B1170" t="s">
        <v>1381</v>
      </c>
      <c r="C1170" t="s">
        <v>19</v>
      </c>
      <c r="D1170" t="s">
        <v>21</v>
      </c>
      <c r="E1170" s="1">
        <v>673.57600000000002</v>
      </c>
      <c r="F1170" t="s">
        <v>22</v>
      </c>
      <c r="G1170">
        <v>0</v>
      </c>
      <c r="H1170" s="1">
        <v>0</v>
      </c>
      <c r="I1170" s="21">
        <v>44462</v>
      </c>
      <c r="J1170" s="21">
        <v>44465</v>
      </c>
      <c r="K1170" s="21">
        <v>44465</v>
      </c>
      <c r="L1170" t="s">
        <v>32</v>
      </c>
      <c r="M1170" t="s">
        <v>146</v>
      </c>
      <c r="N1170" t="s">
        <v>73</v>
      </c>
      <c r="O1170">
        <v>1</v>
      </c>
      <c r="P1170" t="s">
        <v>1382</v>
      </c>
      <c r="Q1170" t="s">
        <v>4546</v>
      </c>
      <c r="R1170" t="s">
        <v>4726</v>
      </c>
      <c r="S1170" t="s">
        <v>4717</v>
      </c>
      <c r="T1170">
        <f t="shared" si="76"/>
        <v>3</v>
      </c>
      <c r="U1170" s="21">
        <f>J1170</f>
        <v>44465</v>
      </c>
    </row>
    <row r="1171" spans="1:21" x14ac:dyDescent="0.35">
      <c r="A1171" t="s">
        <v>2799</v>
      </c>
      <c r="B1171" t="s">
        <v>2800</v>
      </c>
      <c r="C1171" t="s">
        <v>30</v>
      </c>
      <c r="D1171" t="s">
        <v>205</v>
      </c>
      <c r="E1171" s="1">
        <v>4.3600000000000003</v>
      </c>
      <c r="F1171" t="s">
        <v>206</v>
      </c>
      <c r="G1171">
        <v>80</v>
      </c>
      <c r="H1171" s="1">
        <v>3.4880000000000004</v>
      </c>
      <c r="I1171" s="21">
        <v>44827</v>
      </c>
      <c r="J1171" s="21">
        <v>44831</v>
      </c>
      <c r="K1171" s="21">
        <f t="shared" ref="K1171:K1174" si="79">J1171</f>
        <v>44831</v>
      </c>
      <c r="L1171" t="s">
        <v>220</v>
      </c>
      <c r="M1171" t="s">
        <v>67</v>
      </c>
      <c r="N1171" t="s">
        <v>68</v>
      </c>
      <c r="O1171">
        <v>1</v>
      </c>
      <c r="P1171" t="s">
        <v>2801</v>
      </c>
      <c r="Q1171" t="s">
        <v>4646</v>
      </c>
      <c r="R1171" t="s">
        <v>4726</v>
      </c>
      <c r="S1171" t="s">
        <v>4717</v>
      </c>
      <c r="T1171">
        <f t="shared" si="76"/>
        <v>4</v>
      </c>
      <c r="U1171" s="21">
        <f t="shared" ref="U1171:U1174" si="80">J1171+365</f>
        <v>45196</v>
      </c>
    </row>
    <row r="1172" spans="1:21" x14ac:dyDescent="0.35">
      <c r="A1172" t="s">
        <v>3869</v>
      </c>
      <c r="B1172" t="s">
        <v>3870</v>
      </c>
      <c r="C1172" t="s">
        <v>30</v>
      </c>
      <c r="D1172" t="s">
        <v>205</v>
      </c>
      <c r="E1172" s="1">
        <v>619.94999999999902</v>
      </c>
      <c r="F1172" t="s">
        <v>206</v>
      </c>
      <c r="G1172">
        <v>80</v>
      </c>
      <c r="H1172" s="1">
        <v>495.95999999999924</v>
      </c>
      <c r="I1172" s="21">
        <v>44827</v>
      </c>
      <c r="J1172" s="21">
        <v>44827</v>
      </c>
      <c r="K1172" s="21">
        <f t="shared" si="79"/>
        <v>44827</v>
      </c>
      <c r="L1172" t="s">
        <v>220</v>
      </c>
      <c r="M1172" t="s">
        <v>146</v>
      </c>
      <c r="N1172" t="s">
        <v>73</v>
      </c>
      <c r="O1172">
        <v>1</v>
      </c>
      <c r="P1172" t="s">
        <v>3871</v>
      </c>
      <c r="Q1172" t="s">
        <v>4513</v>
      </c>
      <c r="R1172" t="s">
        <v>4713</v>
      </c>
      <c r="S1172" t="s">
        <v>4719</v>
      </c>
      <c r="T1172">
        <f t="shared" si="76"/>
        <v>0</v>
      </c>
      <c r="U1172" s="21">
        <f t="shared" si="80"/>
        <v>45192</v>
      </c>
    </row>
    <row r="1173" spans="1:21" x14ac:dyDescent="0.35">
      <c r="A1173" t="s">
        <v>418</v>
      </c>
      <c r="B1173" t="s">
        <v>419</v>
      </c>
      <c r="C1173" t="s">
        <v>19</v>
      </c>
      <c r="D1173" t="s">
        <v>212</v>
      </c>
      <c r="E1173" s="1">
        <v>36.335999999999999</v>
      </c>
      <c r="F1173" t="s">
        <v>206</v>
      </c>
      <c r="G1173">
        <v>100</v>
      </c>
      <c r="H1173" s="1">
        <v>36.335999999999999</v>
      </c>
      <c r="I1173" s="21">
        <v>44826</v>
      </c>
      <c r="J1173" s="21">
        <v>44826</v>
      </c>
      <c r="K1173" s="21">
        <f t="shared" si="79"/>
        <v>44826</v>
      </c>
      <c r="L1173" t="s">
        <v>234</v>
      </c>
      <c r="M1173" t="s">
        <v>82</v>
      </c>
      <c r="N1173" t="s">
        <v>47</v>
      </c>
      <c r="O1173">
        <v>1</v>
      </c>
      <c r="P1173" t="s">
        <v>420</v>
      </c>
      <c r="Q1173" t="s">
        <v>4533</v>
      </c>
      <c r="R1173" t="s">
        <v>4721</v>
      </c>
      <c r="S1173" t="s">
        <v>4717</v>
      </c>
      <c r="T1173">
        <f t="shared" si="76"/>
        <v>0</v>
      </c>
      <c r="U1173" s="21">
        <f t="shared" si="80"/>
        <v>45191</v>
      </c>
    </row>
    <row r="1174" spans="1:21" x14ac:dyDescent="0.35">
      <c r="A1174" t="s">
        <v>1636</v>
      </c>
      <c r="B1174" t="s">
        <v>1637</v>
      </c>
      <c r="C1174" t="s">
        <v>30</v>
      </c>
      <c r="D1174" t="s">
        <v>205</v>
      </c>
      <c r="E1174" s="1">
        <v>4.16</v>
      </c>
      <c r="F1174" t="s">
        <v>206</v>
      </c>
      <c r="G1174">
        <v>80</v>
      </c>
      <c r="H1174" s="1">
        <v>3.3280000000000003</v>
      </c>
      <c r="I1174" s="21">
        <v>44826</v>
      </c>
      <c r="J1174" s="21">
        <v>44832</v>
      </c>
      <c r="K1174" s="21">
        <f t="shared" si="79"/>
        <v>44832</v>
      </c>
      <c r="L1174" t="s">
        <v>238</v>
      </c>
      <c r="M1174" t="s">
        <v>146</v>
      </c>
      <c r="N1174" t="s">
        <v>73</v>
      </c>
      <c r="O1174">
        <v>1</v>
      </c>
      <c r="P1174" t="s">
        <v>1638</v>
      </c>
      <c r="Q1174" t="s">
        <v>4533</v>
      </c>
      <c r="R1174" t="s">
        <v>4724</v>
      </c>
      <c r="S1174" t="s">
        <v>4718</v>
      </c>
      <c r="T1174">
        <f t="shared" si="76"/>
        <v>6</v>
      </c>
      <c r="U1174" s="21">
        <f t="shared" si="80"/>
        <v>45197</v>
      </c>
    </row>
    <row r="1175" spans="1:21" x14ac:dyDescent="0.35">
      <c r="A1175" t="s">
        <v>2560</v>
      </c>
      <c r="B1175" t="s">
        <v>2561</v>
      </c>
      <c r="C1175" t="s">
        <v>19</v>
      </c>
      <c r="D1175" t="s">
        <v>21</v>
      </c>
      <c r="E1175" s="1">
        <v>609.43599999999992</v>
      </c>
      <c r="F1175" t="s">
        <v>22</v>
      </c>
      <c r="G1175">
        <v>0</v>
      </c>
      <c r="H1175" s="1">
        <v>0</v>
      </c>
      <c r="I1175" s="21">
        <v>44461</v>
      </c>
      <c r="J1175" s="21">
        <v>44463</v>
      </c>
      <c r="K1175" s="21">
        <v>44463</v>
      </c>
      <c r="L1175" t="s">
        <v>39</v>
      </c>
      <c r="M1175" t="s">
        <v>146</v>
      </c>
      <c r="N1175" t="s">
        <v>73</v>
      </c>
      <c r="O1175">
        <v>1</v>
      </c>
      <c r="P1175" t="s">
        <v>270</v>
      </c>
      <c r="Q1175" t="s">
        <v>4729</v>
      </c>
      <c r="R1175" t="s">
        <v>4714</v>
      </c>
      <c r="S1175" t="s">
        <v>4718</v>
      </c>
      <c r="T1175">
        <f t="shared" si="76"/>
        <v>2</v>
      </c>
      <c r="U1175" s="21">
        <f t="shared" ref="U1175:U1176" si="81">J1175</f>
        <v>44463</v>
      </c>
    </row>
    <row r="1176" spans="1:21" x14ac:dyDescent="0.35">
      <c r="A1176" t="s">
        <v>2562</v>
      </c>
      <c r="B1176" t="s">
        <v>2563</v>
      </c>
      <c r="C1176" t="s">
        <v>19</v>
      </c>
      <c r="D1176" t="s">
        <v>21</v>
      </c>
      <c r="E1176" s="1">
        <v>1102.4720000000002</v>
      </c>
      <c r="F1176" t="s">
        <v>22</v>
      </c>
      <c r="G1176">
        <v>0</v>
      </c>
      <c r="H1176" s="1">
        <v>0</v>
      </c>
      <c r="I1176" s="21">
        <v>44461</v>
      </c>
      <c r="J1176" s="21">
        <v>44464</v>
      </c>
      <c r="K1176" s="21">
        <v>44464</v>
      </c>
      <c r="L1176" t="s">
        <v>32</v>
      </c>
      <c r="M1176" t="s">
        <v>40</v>
      </c>
      <c r="N1176" t="s">
        <v>34</v>
      </c>
      <c r="O1176">
        <v>1</v>
      </c>
      <c r="P1176" t="s">
        <v>2564</v>
      </c>
      <c r="Q1176" t="s">
        <v>4663</v>
      </c>
      <c r="R1176" t="s">
        <v>4711</v>
      </c>
      <c r="S1176" t="s">
        <v>4719</v>
      </c>
      <c r="T1176">
        <f t="shared" si="76"/>
        <v>3</v>
      </c>
      <c r="U1176" s="21">
        <f t="shared" si="81"/>
        <v>44464</v>
      </c>
    </row>
    <row r="1177" spans="1:21" x14ac:dyDescent="0.35">
      <c r="A1177" t="s">
        <v>2797</v>
      </c>
      <c r="B1177" t="s">
        <v>2798</v>
      </c>
      <c r="C1177" t="s">
        <v>30</v>
      </c>
      <c r="D1177" t="s">
        <v>205</v>
      </c>
      <c r="E1177" s="1">
        <v>892.35</v>
      </c>
      <c r="F1177" t="s">
        <v>206</v>
      </c>
      <c r="G1177">
        <v>80</v>
      </c>
      <c r="H1177" s="1">
        <v>713.88000000000011</v>
      </c>
      <c r="I1177" s="21">
        <v>44825</v>
      </c>
      <c r="J1177" s="21">
        <v>44827</v>
      </c>
      <c r="K1177" s="21">
        <f t="shared" ref="K1177:K1198" si="82">J1177</f>
        <v>44827</v>
      </c>
      <c r="L1177" t="s">
        <v>207</v>
      </c>
      <c r="M1177" t="s">
        <v>46</v>
      </c>
      <c r="N1177" t="s">
        <v>47</v>
      </c>
      <c r="O1177">
        <v>1</v>
      </c>
      <c r="P1177" t="s">
        <v>367</v>
      </c>
      <c r="Q1177" t="s">
        <v>4729</v>
      </c>
      <c r="R1177" t="s">
        <v>4709</v>
      </c>
      <c r="S1177" t="s">
        <v>4717</v>
      </c>
      <c r="T1177">
        <f t="shared" si="76"/>
        <v>2</v>
      </c>
      <c r="U1177" s="21">
        <f t="shared" ref="U1177:U1198" si="83">J1177+365</f>
        <v>45192</v>
      </c>
    </row>
    <row r="1178" spans="1:21" x14ac:dyDescent="0.35">
      <c r="A1178" t="s">
        <v>3866</v>
      </c>
      <c r="B1178" t="s">
        <v>3867</v>
      </c>
      <c r="C1178" t="s">
        <v>19</v>
      </c>
      <c r="D1178" t="s">
        <v>212</v>
      </c>
      <c r="E1178" s="1">
        <v>1099.96</v>
      </c>
      <c r="F1178" t="s">
        <v>206</v>
      </c>
      <c r="G1178">
        <v>100</v>
      </c>
      <c r="H1178" s="1">
        <v>1099.96</v>
      </c>
      <c r="I1178" s="21">
        <v>44825</v>
      </c>
      <c r="J1178" s="21">
        <v>44829</v>
      </c>
      <c r="K1178" s="21">
        <f t="shared" si="82"/>
        <v>44829</v>
      </c>
      <c r="L1178" t="s">
        <v>238</v>
      </c>
      <c r="M1178" t="s">
        <v>146</v>
      </c>
      <c r="N1178" t="s">
        <v>73</v>
      </c>
      <c r="O1178">
        <v>1</v>
      </c>
      <c r="P1178" t="s">
        <v>3868</v>
      </c>
      <c r="Q1178" t="s">
        <v>4701</v>
      </c>
      <c r="R1178" t="s">
        <v>4711</v>
      </c>
      <c r="S1178" t="s">
        <v>4719</v>
      </c>
      <c r="T1178">
        <f t="shared" si="76"/>
        <v>4</v>
      </c>
      <c r="U1178" s="21">
        <f t="shared" si="83"/>
        <v>45194</v>
      </c>
    </row>
    <row r="1179" spans="1:21" x14ac:dyDescent="0.35">
      <c r="A1179" t="s">
        <v>415</v>
      </c>
      <c r="B1179" t="s">
        <v>416</v>
      </c>
      <c r="C1179" t="s">
        <v>19</v>
      </c>
      <c r="D1179" t="s">
        <v>205</v>
      </c>
      <c r="E1179" s="1">
        <v>470.36</v>
      </c>
      <c r="F1179" t="s">
        <v>206</v>
      </c>
      <c r="G1179">
        <v>80</v>
      </c>
      <c r="H1179" s="1">
        <v>376.28800000000001</v>
      </c>
      <c r="I1179" s="21">
        <v>44825</v>
      </c>
      <c r="J1179" s="21">
        <v>44831</v>
      </c>
      <c r="K1179" s="21">
        <f t="shared" si="82"/>
        <v>44831</v>
      </c>
      <c r="L1179" t="s">
        <v>248</v>
      </c>
      <c r="M1179" t="s">
        <v>82</v>
      </c>
      <c r="N1179" t="s">
        <v>47</v>
      </c>
      <c r="O1179">
        <v>1</v>
      </c>
      <c r="P1179" t="s">
        <v>417</v>
      </c>
      <c r="Q1179" t="s">
        <v>4562</v>
      </c>
      <c r="R1179" t="s">
        <v>4709</v>
      </c>
      <c r="S1179" t="s">
        <v>4717</v>
      </c>
      <c r="T1179">
        <f t="shared" si="76"/>
        <v>6</v>
      </c>
      <c r="U1179" s="21">
        <f t="shared" si="83"/>
        <v>45196</v>
      </c>
    </row>
    <row r="1180" spans="1:21" x14ac:dyDescent="0.35">
      <c r="A1180" t="s">
        <v>3859</v>
      </c>
      <c r="B1180" t="s">
        <v>3860</v>
      </c>
      <c r="C1180" t="s">
        <v>19</v>
      </c>
      <c r="D1180" t="s">
        <v>205</v>
      </c>
      <c r="E1180" s="1">
        <v>25.86</v>
      </c>
      <c r="F1180" t="s">
        <v>206</v>
      </c>
      <c r="G1180">
        <v>80</v>
      </c>
      <c r="H1180" s="1">
        <v>20.688000000000002</v>
      </c>
      <c r="I1180" s="21">
        <v>44824</v>
      </c>
      <c r="J1180" s="21">
        <v>44831</v>
      </c>
      <c r="K1180" s="21">
        <f t="shared" si="82"/>
        <v>44831</v>
      </c>
      <c r="L1180" t="s">
        <v>238</v>
      </c>
      <c r="M1180" t="s">
        <v>67</v>
      </c>
      <c r="N1180" t="s">
        <v>68</v>
      </c>
      <c r="O1180">
        <v>1</v>
      </c>
      <c r="P1180" t="s">
        <v>3861</v>
      </c>
      <c r="Q1180" t="s">
        <v>4526</v>
      </c>
      <c r="R1180" t="s">
        <v>4721</v>
      </c>
      <c r="S1180" t="s">
        <v>4717</v>
      </c>
      <c r="T1180">
        <f t="shared" si="76"/>
        <v>7</v>
      </c>
      <c r="U1180" s="21">
        <f t="shared" si="83"/>
        <v>45196</v>
      </c>
    </row>
    <row r="1181" spans="1:21" x14ac:dyDescent="0.35">
      <c r="A1181" t="s">
        <v>3864</v>
      </c>
      <c r="B1181" t="s">
        <v>3865</v>
      </c>
      <c r="C1181" t="s">
        <v>19</v>
      </c>
      <c r="D1181" t="s">
        <v>205</v>
      </c>
      <c r="E1181" s="1">
        <v>2799.96</v>
      </c>
      <c r="F1181" t="s">
        <v>206</v>
      </c>
      <c r="G1181">
        <v>80</v>
      </c>
      <c r="H1181" s="1">
        <v>2239.9680000000003</v>
      </c>
      <c r="I1181" s="21">
        <v>44824</v>
      </c>
      <c r="J1181" s="21">
        <v>44828</v>
      </c>
      <c r="K1181" s="21">
        <f t="shared" si="82"/>
        <v>44828</v>
      </c>
      <c r="L1181" t="s">
        <v>220</v>
      </c>
      <c r="M1181" t="s">
        <v>46</v>
      </c>
      <c r="N1181" t="s">
        <v>47</v>
      </c>
      <c r="O1181">
        <v>1</v>
      </c>
      <c r="P1181" t="s">
        <v>2466</v>
      </c>
      <c r="Q1181" t="s">
        <v>4650</v>
      </c>
      <c r="R1181" t="s">
        <v>4720</v>
      </c>
      <c r="S1181" t="s">
        <v>4719</v>
      </c>
      <c r="T1181">
        <f t="shared" si="76"/>
        <v>4</v>
      </c>
      <c r="U1181" s="21">
        <f t="shared" si="83"/>
        <v>45193</v>
      </c>
    </row>
    <row r="1182" spans="1:21" x14ac:dyDescent="0.35">
      <c r="A1182" t="s">
        <v>413</v>
      </c>
      <c r="B1182" t="s">
        <v>414</v>
      </c>
      <c r="C1182" t="s">
        <v>19</v>
      </c>
      <c r="D1182" t="s">
        <v>205</v>
      </c>
      <c r="E1182" s="1">
        <v>999.43200000000002</v>
      </c>
      <c r="F1182" t="s">
        <v>206</v>
      </c>
      <c r="G1182">
        <v>80</v>
      </c>
      <c r="H1182" s="1">
        <v>799.54560000000004</v>
      </c>
      <c r="I1182" s="21">
        <v>44824</v>
      </c>
      <c r="J1182" s="21">
        <v>44827</v>
      </c>
      <c r="K1182" s="21">
        <f t="shared" si="82"/>
        <v>44827</v>
      </c>
      <c r="L1182" t="s">
        <v>238</v>
      </c>
      <c r="M1182" t="s">
        <v>72</v>
      </c>
      <c r="N1182" t="s">
        <v>73</v>
      </c>
      <c r="O1182">
        <v>1</v>
      </c>
      <c r="P1182" t="s">
        <v>367</v>
      </c>
      <c r="Q1182" t="s">
        <v>4729</v>
      </c>
      <c r="R1182" t="s">
        <v>4709</v>
      </c>
      <c r="S1182" t="s">
        <v>4717</v>
      </c>
      <c r="T1182">
        <f t="shared" si="76"/>
        <v>3</v>
      </c>
      <c r="U1182" s="21">
        <f t="shared" si="83"/>
        <v>45192</v>
      </c>
    </row>
    <row r="1183" spans="1:21" x14ac:dyDescent="0.35">
      <c r="A1183" t="s">
        <v>3862</v>
      </c>
      <c r="B1183" t="s">
        <v>3863</v>
      </c>
      <c r="C1183" t="s">
        <v>30</v>
      </c>
      <c r="D1183" t="s">
        <v>205</v>
      </c>
      <c r="E1183" s="1">
        <v>251.91</v>
      </c>
      <c r="F1183" t="s">
        <v>206</v>
      </c>
      <c r="G1183">
        <v>80</v>
      </c>
      <c r="H1183" s="1">
        <v>201.52800000000002</v>
      </c>
      <c r="I1183" s="21">
        <v>44824</v>
      </c>
      <c r="J1183" s="21">
        <v>44829</v>
      </c>
      <c r="K1183" s="21">
        <f t="shared" si="82"/>
        <v>44829</v>
      </c>
      <c r="L1183" t="s">
        <v>213</v>
      </c>
      <c r="M1183" t="s">
        <v>33</v>
      </c>
      <c r="N1183" t="s">
        <v>34</v>
      </c>
      <c r="O1183">
        <v>1</v>
      </c>
      <c r="P1183" t="s">
        <v>3331</v>
      </c>
      <c r="Q1183" t="s">
        <v>4729</v>
      </c>
      <c r="R1183" t="s">
        <v>4713</v>
      </c>
      <c r="S1183" t="s">
        <v>4719</v>
      </c>
      <c r="T1183">
        <f t="shared" si="76"/>
        <v>5</v>
      </c>
      <c r="U1183" s="21">
        <f t="shared" si="83"/>
        <v>45194</v>
      </c>
    </row>
    <row r="1184" spans="1:21" x14ac:dyDescent="0.35">
      <c r="A1184" t="s">
        <v>2794</v>
      </c>
      <c r="B1184" t="s">
        <v>2795</v>
      </c>
      <c r="C1184" t="s">
        <v>30</v>
      </c>
      <c r="D1184" t="s">
        <v>205</v>
      </c>
      <c r="E1184" s="1">
        <v>16.52</v>
      </c>
      <c r="F1184" t="s">
        <v>206</v>
      </c>
      <c r="G1184">
        <v>80</v>
      </c>
      <c r="H1184" s="1">
        <v>13.216000000000001</v>
      </c>
      <c r="I1184" s="21">
        <v>44824</v>
      </c>
      <c r="J1184" s="21">
        <v>44829</v>
      </c>
      <c r="K1184" s="21">
        <f t="shared" si="82"/>
        <v>44829</v>
      </c>
      <c r="L1184" t="s">
        <v>238</v>
      </c>
      <c r="M1184" t="s">
        <v>82</v>
      </c>
      <c r="N1184" t="s">
        <v>47</v>
      </c>
      <c r="O1184">
        <v>1</v>
      </c>
      <c r="P1184" t="s">
        <v>2796</v>
      </c>
      <c r="Q1184" t="s">
        <v>4520</v>
      </c>
      <c r="R1184" t="s">
        <v>4726</v>
      </c>
      <c r="S1184" t="s">
        <v>4717</v>
      </c>
      <c r="T1184">
        <f t="shared" si="76"/>
        <v>5</v>
      </c>
      <c r="U1184" s="21">
        <f t="shared" si="83"/>
        <v>45194</v>
      </c>
    </row>
    <row r="1185" spans="1:21" x14ac:dyDescent="0.35">
      <c r="A1185" t="s">
        <v>3856</v>
      </c>
      <c r="B1185" t="s">
        <v>3857</v>
      </c>
      <c r="C1185" t="s">
        <v>19</v>
      </c>
      <c r="D1185" t="s">
        <v>212</v>
      </c>
      <c r="E1185" s="1">
        <v>724.08</v>
      </c>
      <c r="F1185" t="s">
        <v>206</v>
      </c>
      <c r="G1185">
        <v>100</v>
      </c>
      <c r="H1185" s="1">
        <v>724.08</v>
      </c>
      <c r="I1185" s="21">
        <v>44824</v>
      </c>
      <c r="J1185" s="21">
        <v>44827</v>
      </c>
      <c r="K1185" s="21">
        <f t="shared" si="82"/>
        <v>44827</v>
      </c>
      <c r="L1185" t="s">
        <v>248</v>
      </c>
      <c r="M1185" t="s">
        <v>146</v>
      </c>
      <c r="N1185" t="s">
        <v>73</v>
      </c>
      <c r="O1185">
        <v>1</v>
      </c>
      <c r="P1185" t="s">
        <v>3858</v>
      </c>
      <c r="Q1185" t="s">
        <v>4700</v>
      </c>
      <c r="R1185" t="s">
        <v>4709</v>
      </c>
      <c r="S1185" t="s">
        <v>4717</v>
      </c>
      <c r="T1185">
        <f t="shared" si="76"/>
        <v>3</v>
      </c>
      <c r="U1185" s="21">
        <f t="shared" si="83"/>
        <v>45192</v>
      </c>
    </row>
    <row r="1186" spans="1:21" x14ac:dyDescent="0.35">
      <c r="A1186" t="s">
        <v>1633</v>
      </c>
      <c r="B1186" t="s">
        <v>1634</v>
      </c>
      <c r="C1186" t="s">
        <v>30</v>
      </c>
      <c r="D1186" t="s">
        <v>212</v>
      </c>
      <c r="E1186" s="1">
        <v>21.728000000000002</v>
      </c>
      <c r="F1186" t="s">
        <v>206</v>
      </c>
      <c r="G1186">
        <v>100</v>
      </c>
      <c r="H1186" s="1">
        <v>21.728000000000002</v>
      </c>
      <c r="I1186" s="21">
        <v>44823</v>
      </c>
      <c r="J1186" s="21">
        <v>44828</v>
      </c>
      <c r="K1186" s="21">
        <f t="shared" si="82"/>
        <v>44828</v>
      </c>
      <c r="L1186" t="s">
        <v>248</v>
      </c>
      <c r="M1186" t="s">
        <v>67</v>
      </c>
      <c r="N1186" t="s">
        <v>68</v>
      </c>
      <c r="O1186">
        <v>1</v>
      </c>
      <c r="P1186" t="s">
        <v>1635</v>
      </c>
      <c r="Q1186" t="s">
        <v>4633</v>
      </c>
      <c r="R1186" t="s">
        <v>4713</v>
      </c>
      <c r="S1186" t="s">
        <v>4719</v>
      </c>
      <c r="T1186">
        <f t="shared" si="76"/>
        <v>5</v>
      </c>
      <c r="U1186" s="21">
        <f t="shared" si="83"/>
        <v>45193</v>
      </c>
    </row>
    <row r="1187" spans="1:21" x14ac:dyDescent="0.35">
      <c r="A1187" t="s">
        <v>410</v>
      </c>
      <c r="B1187" t="s">
        <v>411</v>
      </c>
      <c r="C1187" t="s">
        <v>19</v>
      </c>
      <c r="D1187" t="s">
        <v>212</v>
      </c>
      <c r="E1187" s="1">
        <v>3.488</v>
      </c>
      <c r="F1187" t="s">
        <v>206</v>
      </c>
      <c r="G1187">
        <v>100</v>
      </c>
      <c r="H1187" s="1">
        <v>3.488</v>
      </c>
      <c r="I1187" s="21">
        <v>44823</v>
      </c>
      <c r="J1187" s="21">
        <v>44826</v>
      </c>
      <c r="K1187" s="21">
        <f t="shared" si="82"/>
        <v>44826</v>
      </c>
      <c r="L1187" t="s">
        <v>234</v>
      </c>
      <c r="M1187" t="s">
        <v>33</v>
      </c>
      <c r="N1187" t="s">
        <v>34</v>
      </c>
      <c r="O1187">
        <v>1</v>
      </c>
      <c r="P1187" t="s">
        <v>412</v>
      </c>
      <c r="Q1187" t="s">
        <v>4729</v>
      </c>
      <c r="R1187" t="s">
        <v>4726</v>
      </c>
      <c r="S1187" t="s">
        <v>4717</v>
      </c>
      <c r="T1187">
        <f t="shared" si="76"/>
        <v>3</v>
      </c>
      <c r="U1187" s="21">
        <f t="shared" si="83"/>
        <v>45191</v>
      </c>
    </row>
    <row r="1188" spans="1:21" x14ac:dyDescent="0.35">
      <c r="A1188" t="s">
        <v>1630</v>
      </c>
      <c r="B1188" t="s">
        <v>1631</v>
      </c>
      <c r="C1188" t="s">
        <v>30</v>
      </c>
      <c r="D1188" t="s">
        <v>212</v>
      </c>
      <c r="E1188" s="1">
        <v>49.567999999999998</v>
      </c>
      <c r="F1188" t="s">
        <v>206</v>
      </c>
      <c r="G1188">
        <v>100</v>
      </c>
      <c r="H1188" s="1">
        <v>49.567999999999998</v>
      </c>
      <c r="I1188" s="21">
        <v>44823</v>
      </c>
      <c r="J1188" s="21">
        <v>44829</v>
      </c>
      <c r="K1188" s="21">
        <f t="shared" si="82"/>
        <v>44829</v>
      </c>
      <c r="L1188" t="s">
        <v>238</v>
      </c>
      <c r="M1188" t="s">
        <v>67</v>
      </c>
      <c r="N1188" t="s">
        <v>68</v>
      </c>
      <c r="O1188">
        <v>1</v>
      </c>
      <c r="P1188" t="s">
        <v>1632</v>
      </c>
      <c r="Q1188" t="s">
        <v>4519</v>
      </c>
      <c r="R1188" t="s">
        <v>4726</v>
      </c>
      <c r="S1188" t="s">
        <v>4717</v>
      </c>
      <c r="T1188">
        <f t="shared" si="76"/>
        <v>6</v>
      </c>
      <c r="U1188" s="21">
        <f t="shared" si="83"/>
        <v>45194</v>
      </c>
    </row>
    <row r="1189" spans="1:21" x14ac:dyDescent="0.35">
      <c r="A1189" t="s">
        <v>2791</v>
      </c>
      <c r="B1189" t="s">
        <v>2792</v>
      </c>
      <c r="C1189" t="s">
        <v>30</v>
      </c>
      <c r="D1189" t="s">
        <v>212</v>
      </c>
      <c r="E1189" s="1">
        <v>12.827999999999999</v>
      </c>
      <c r="F1189" t="s">
        <v>206</v>
      </c>
      <c r="G1189">
        <v>100</v>
      </c>
      <c r="H1189" s="1">
        <v>12.827999999999999</v>
      </c>
      <c r="I1189" s="21">
        <v>44822</v>
      </c>
      <c r="J1189" s="21">
        <v>44828</v>
      </c>
      <c r="K1189" s="21">
        <f t="shared" si="82"/>
        <v>44828</v>
      </c>
      <c r="L1189" t="s">
        <v>234</v>
      </c>
      <c r="M1189" t="s">
        <v>46</v>
      </c>
      <c r="N1189" t="s">
        <v>47</v>
      </c>
      <c r="O1189">
        <v>1</v>
      </c>
      <c r="P1189" t="s">
        <v>2793</v>
      </c>
      <c r="Q1189" t="s">
        <v>4526</v>
      </c>
      <c r="R1189" t="s">
        <v>4726</v>
      </c>
      <c r="S1189" t="s">
        <v>4717</v>
      </c>
      <c r="T1189">
        <f t="shared" si="76"/>
        <v>6</v>
      </c>
      <c r="U1189" s="21">
        <f t="shared" si="83"/>
        <v>45193</v>
      </c>
    </row>
    <row r="1190" spans="1:21" x14ac:dyDescent="0.35">
      <c r="A1190" t="s">
        <v>1627</v>
      </c>
      <c r="B1190" t="s">
        <v>1628</v>
      </c>
      <c r="C1190" t="s">
        <v>30</v>
      </c>
      <c r="D1190" t="s">
        <v>205</v>
      </c>
      <c r="E1190" s="1">
        <v>598.45799999999997</v>
      </c>
      <c r="F1190" t="s">
        <v>206</v>
      </c>
      <c r="G1190">
        <v>80</v>
      </c>
      <c r="H1190" s="1">
        <v>478.76639999999998</v>
      </c>
      <c r="I1190" s="21">
        <v>44822</v>
      </c>
      <c r="J1190" s="21">
        <v>44825</v>
      </c>
      <c r="K1190" s="21">
        <f t="shared" si="82"/>
        <v>44825</v>
      </c>
      <c r="L1190" t="s">
        <v>207</v>
      </c>
      <c r="M1190" t="s">
        <v>72</v>
      </c>
      <c r="N1190" t="s">
        <v>73</v>
      </c>
      <c r="O1190">
        <v>1</v>
      </c>
      <c r="P1190" t="s">
        <v>1629</v>
      </c>
      <c r="Q1190" t="s">
        <v>4567</v>
      </c>
      <c r="R1190" t="s">
        <v>4714</v>
      </c>
      <c r="S1190" t="s">
        <v>4718</v>
      </c>
      <c r="T1190">
        <f t="shared" si="76"/>
        <v>3</v>
      </c>
      <c r="U1190" s="21">
        <f t="shared" si="83"/>
        <v>45190</v>
      </c>
    </row>
    <row r="1191" spans="1:21" x14ac:dyDescent="0.35">
      <c r="A1191" t="s">
        <v>3853</v>
      </c>
      <c r="B1191" t="s">
        <v>3854</v>
      </c>
      <c r="C1191" t="s">
        <v>19</v>
      </c>
      <c r="D1191" t="s">
        <v>205</v>
      </c>
      <c r="E1191" s="1">
        <v>2.3039999999999998</v>
      </c>
      <c r="F1191" t="s">
        <v>206</v>
      </c>
      <c r="G1191">
        <v>80</v>
      </c>
      <c r="H1191" s="1">
        <v>1.8431999999999999</v>
      </c>
      <c r="I1191" s="21">
        <v>44822</v>
      </c>
      <c r="J1191" s="21">
        <v>44824</v>
      </c>
      <c r="K1191" s="21">
        <f t="shared" si="82"/>
        <v>44824</v>
      </c>
      <c r="L1191" t="s">
        <v>248</v>
      </c>
      <c r="M1191" t="s">
        <v>54</v>
      </c>
      <c r="N1191" t="s">
        <v>26</v>
      </c>
      <c r="O1191">
        <v>1</v>
      </c>
      <c r="P1191" t="s">
        <v>3855</v>
      </c>
      <c r="Q1191" t="s">
        <v>4520</v>
      </c>
      <c r="R1191" t="s">
        <v>4726</v>
      </c>
      <c r="S1191" t="s">
        <v>4717</v>
      </c>
      <c r="T1191">
        <f t="shared" si="76"/>
        <v>2</v>
      </c>
      <c r="U1191" s="21">
        <f t="shared" si="83"/>
        <v>45189</v>
      </c>
    </row>
    <row r="1192" spans="1:21" x14ac:dyDescent="0.35">
      <c r="A1192" t="s">
        <v>1624</v>
      </c>
      <c r="B1192" t="s">
        <v>1625</v>
      </c>
      <c r="C1192" t="s">
        <v>30</v>
      </c>
      <c r="D1192" t="s">
        <v>212</v>
      </c>
      <c r="E1192" s="1">
        <v>25.984000000000002</v>
      </c>
      <c r="F1192" t="s">
        <v>206</v>
      </c>
      <c r="G1192">
        <v>100</v>
      </c>
      <c r="H1192" s="1">
        <v>25.984000000000002</v>
      </c>
      <c r="I1192" s="21">
        <v>44822</v>
      </c>
      <c r="J1192" s="21">
        <v>44826</v>
      </c>
      <c r="K1192" s="21">
        <f t="shared" si="82"/>
        <v>44826</v>
      </c>
      <c r="L1192" t="s">
        <v>248</v>
      </c>
      <c r="M1192" t="s">
        <v>82</v>
      </c>
      <c r="N1192" t="s">
        <v>47</v>
      </c>
      <c r="O1192">
        <v>1</v>
      </c>
      <c r="P1192" t="s">
        <v>1626</v>
      </c>
      <c r="Q1192" t="s">
        <v>4729</v>
      </c>
      <c r="R1192" t="s">
        <v>4721</v>
      </c>
      <c r="S1192" t="s">
        <v>4718</v>
      </c>
      <c r="T1192">
        <f t="shared" si="76"/>
        <v>4</v>
      </c>
      <c r="U1192" s="21">
        <f t="shared" si="83"/>
        <v>45191</v>
      </c>
    </row>
    <row r="1193" spans="1:21" x14ac:dyDescent="0.35">
      <c r="A1193" t="s">
        <v>2788</v>
      </c>
      <c r="B1193" t="s">
        <v>2789</v>
      </c>
      <c r="C1193" t="s">
        <v>19</v>
      </c>
      <c r="D1193" t="s">
        <v>205</v>
      </c>
      <c r="E1193" s="1">
        <v>3.762</v>
      </c>
      <c r="F1193" t="s">
        <v>206</v>
      </c>
      <c r="G1193">
        <v>80</v>
      </c>
      <c r="H1193" s="1">
        <v>3.0096000000000003</v>
      </c>
      <c r="I1193" s="21">
        <v>44821</v>
      </c>
      <c r="J1193" s="21">
        <v>44826</v>
      </c>
      <c r="K1193" s="21">
        <f t="shared" si="82"/>
        <v>44826</v>
      </c>
      <c r="L1193" t="s">
        <v>213</v>
      </c>
      <c r="M1193" t="s">
        <v>46</v>
      </c>
      <c r="N1193" t="s">
        <v>47</v>
      </c>
      <c r="O1193">
        <v>1</v>
      </c>
      <c r="P1193" t="s">
        <v>2790</v>
      </c>
      <c r="Q1193" t="s">
        <v>4517</v>
      </c>
      <c r="R1193" t="s">
        <v>4726</v>
      </c>
      <c r="S1193" t="s">
        <v>4717</v>
      </c>
      <c r="T1193">
        <f t="shared" si="76"/>
        <v>5</v>
      </c>
      <c r="U1193" s="21">
        <f t="shared" si="83"/>
        <v>45191</v>
      </c>
    </row>
    <row r="1194" spans="1:21" x14ac:dyDescent="0.35">
      <c r="A1194" t="s">
        <v>407</v>
      </c>
      <c r="B1194" t="s">
        <v>408</v>
      </c>
      <c r="C1194" t="s">
        <v>30</v>
      </c>
      <c r="D1194" t="s">
        <v>205</v>
      </c>
      <c r="E1194" s="1">
        <v>5.64</v>
      </c>
      <c r="F1194" t="s">
        <v>206</v>
      </c>
      <c r="G1194">
        <v>80</v>
      </c>
      <c r="H1194" s="1">
        <v>4.5119999999999996</v>
      </c>
      <c r="I1194" s="21">
        <v>44819</v>
      </c>
      <c r="J1194" s="21">
        <v>44824</v>
      </c>
      <c r="K1194" s="21">
        <f t="shared" si="82"/>
        <v>44824</v>
      </c>
      <c r="L1194" t="s">
        <v>220</v>
      </c>
      <c r="M1194" t="s">
        <v>33</v>
      </c>
      <c r="N1194" t="s">
        <v>34</v>
      </c>
      <c r="O1194">
        <v>1</v>
      </c>
      <c r="P1194" t="s">
        <v>409</v>
      </c>
      <c r="Q1194" t="s">
        <v>4729</v>
      </c>
      <c r="R1194" t="s">
        <v>4726</v>
      </c>
      <c r="S1194" t="s">
        <v>4717</v>
      </c>
      <c r="T1194">
        <f t="shared" si="76"/>
        <v>5</v>
      </c>
      <c r="U1194" s="21">
        <f t="shared" si="83"/>
        <v>45189</v>
      </c>
    </row>
    <row r="1195" spans="1:21" x14ac:dyDescent="0.35">
      <c r="A1195" t="s">
        <v>2786</v>
      </c>
      <c r="B1195" t="s">
        <v>2787</v>
      </c>
      <c r="C1195" t="s">
        <v>30</v>
      </c>
      <c r="D1195" t="s">
        <v>205</v>
      </c>
      <c r="E1195" s="1">
        <v>50.8</v>
      </c>
      <c r="F1195" t="s">
        <v>206</v>
      </c>
      <c r="G1195">
        <v>80</v>
      </c>
      <c r="H1195" s="1">
        <v>40.64</v>
      </c>
      <c r="I1195" s="21">
        <v>44819</v>
      </c>
      <c r="J1195" s="21">
        <v>44823</v>
      </c>
      <c r="K1195" s="21">
        <f t="shared" si="82"/>
        <v>44823</v>
      </c>
      <c r="L1195" t="s">
        <v>220</v>
      </c>
      <c r="M1195" t="s">
        <v>146</v>
      </c>
      <c r="N1195" t="s">
        <v>73</v>
      </c>
      <c r="O1195">
        <v>1</v>
      </c>
      <c r="P1195" t="s">
        <v>261</v>
      </c>
      <c r="Q1195" t="s">
        <v>4729</v>
      </c>
      <c r="R1195" t="s">
        <v>4726</v>
      </c>
      <c r="S1195" t="s">
        <v>4717</v>
      </c>
      <c r="T1195">
        <f t="shared" si="76"/>
        <v>4</v>
      </c>
      <c r="U1195" s="21">
        <f t="shared" si="83"/>
        <v>45188</v>
      </c>
    </row>
    <row r="1196" spans="1:21" x14ac:dyDescent="0.35">
      <c r="A1196" t="s">
        <v>1621</v>
      </c>
      <c r="B1196" t="s">
        <v>1622</v>
      </c>
      <c r="C1196" t="s">
        <v>19</v>
      </c>
      <c r="D1196" t="s">
        <v>212</v>
      </c>
      <c r="E1196" s="1">
        <v>70.260000000000005</v>
      </c>
      <c r="F1196" t="s">
        <v>206</v>
      </c>
      <c r="G1196">
        <v>100</v>
      </c>
      <c r="H1196" s="1">
        <v>70.260000000000005</v>
      </c>
      <c r="I1196" s="21">
        <v>44819</v>
      </c>
      <c r="J1196" s="21">
        <v>44822</v>
      </c>
      <c r="K1196" s="21">
        <f t="shared" si="82"/>
        <v>44822</v>
      </c>
      <c r="L1196" t="s">
        <v>234</v>
      </c>
      <c r="M1196" t="s">
        <v>72</v>
      </c>
      <c r="N1196" t="s">
        <v>73</v>
      </c>
      <c r="O1196">
        <v>1</v>
      </c>
      <c r="P1196" t="s">
        <v>1623</v>
      </c>
      <c r="Q1196" t="s">
        <v>4729</v>
      </c>
      <c r="R1196" t="s">
        <v>4709</v>
      </c>
      <c r="S1196" t="s">
        <v>4717</v>
      </c>
      <c r="T1196">
        <f t="shared" si="76"/>
        <v>3</v>
      </c>
      <c r="U1196" s="21">
        <f t="shared" si="83"/>
        <v>45187</v>
      </c>
    </row>
    <row r="1197" spans="1:21" x14ac:dyDescent="0.35">
      <c r="A1197" t="s">
        <v>3850</v>
      </c>
      <c r="B1197" t="s">
        <v>3851</v>
      </c>
      <c r="C1197" t="s">
        <v>30</v>
      </c>
      <c r="D1197" t="s">
        <v>205</v>
      </c>
      <c r="E1197" s="1">
        <v>144.12</v>
      </c>
      <c r="F1197" t="s">
        <v>206</v>
      </c>
      <c r="G1197">
        <v>80</v>
      </c>
      <c r="H1197" s="1">
        <v>115.29600000000001</v>
      </c>
      <c r="I1197" s="21">
        <v>44819</v>
      </c>
      <c r="J1197" s="21">
        <v>44823</v>
      </c>
      <c r="K1197" s="21">
        <f t="shared" si="82"/>
        <v>44823</v>
      </c>
      <c r="L1197" t="s">
        <v>238</v>
      </c>
      <c r="M1197" t="s">
        <v>54</v>
      </c>
      <c r="N1197" t="s">
        <v>26</v>
      </c>
      <c r="O1197">
        <v>1</v>
      </c>
      <c r="P1197" t="s">
        <v>3852</v>
      </c>
      <c r="Q1197" t="s">
        <v>4519</v>
      </c>
      <c r="R1197" t="s">
        <v>4726</v>
      </c>
      <c r="S1197" t="s">
        <v>4717</v>
      </c>
      <c r="T1197">
        <f t="shared" si="76"/>
        <v>4</v>
      </c>
      <c r="U1197" s="21">
        <f t="shared" si="83"/>
        <v>45188</v>
      </c>
    </row>
    <row r="1198" spans="1:21" x14ac:dyDescent="0.35">
      <c r="A1198" t="s">
        <v>404</v>
      </c>
      <c r="B1198" t="s">
        <v>405</v>
      </c>
      <c r="C1198" t="s">
        <v>19</v>
      </c>
      <c r="D1198" t="s">
        <v>212</v>
      </c>
      <c r="E1198" s="1">
        <v>138</v>
      </c>
      <c r="F1198" t="s">
        <v>206</v>
      </c>
      <c r="G1198">
        <v>100</v>
      </c>
      <c r="H1198" s="1">
        <v>138</v>
      </c>
      <c r="I1198" s="21">
        <v>44818</v>
      </c>
      <c r="J1198" s="21">
        <v>44824</v>
      </c>
      <c r="K1198" s="21">
        <f t="shared" si="82"/>
        <v>44824</v>
      </c>
      <c r="L1198" t="s">
        <v>213</v>
      </c>
      <c r="M1198" t="s">
        <v>67</v>
      </c>
      <c r="N1198" t="s">
        <v>68</v>
      </c>
      <c r="O1198">
        <v>1</v>
      </c>
      <c r="P1198" t="s">
        <v>406</v>
      </c>
      <c r="Q1198" t="s">
        <v>4561</v>
      </c>
      <c r="R1198" t="s">
        <v>4711</v>
      </c>
      <c r="S1198" t="s">
        <v>4719</v>
      </c>
      <c r="T1198">
        <f t="shared" si="76"/>
        <v>6</v>
      </c>
      <c r="U1198" s="21">
        <f t="shared" si="83"/>
        <v>45189</v>
      </c>
    </row>
    <row r="1199" spans="1:21" x14ac:dyDescent="0.35">
      <c r="A1199" t="s">
        <v>2558</v>
      </c>
      <c r="B1199" t="s">
        <v>2559</v>
      </c>
      <c r="C1199" t="s">
        <v>30</v>
      </c>
      <c r="D1199" t="s">
        <v>21</v>
      </c>
      <c r="E1199" s="1">
        <v>1336.3520000000001</v>
      </c>
      <c r="F1199" t="s">
        <v>22</v>
      </c>
      <c r="G1199">
        <v>0</v>
      </c>
      <c r="H1199" s="1">
        <v>0</v>
      </c>
      <c r="I1199" s="21">
        <v>44453</v>
      </c>
      <c r="J1199" s="21">
        <v>44455</v>
      </c>
      <c r="K1199" s="21">
        <v>44455</v>
      </c>
      <c r="L1199" t="s">
        <v>24</v>
      </c>
      <c r="M1199" t="s">
        <v>146</v>
      </c>
      <c r="N1199" t="s">
        <v>73</v>
      </c>
      <c r="O1199">
        <v>1</v>
      </c>
      <c r="P1199" t="s">
        <v>2282</v>
      </c>
      <c r="Q1199" t="s">
        <v>4729</v>
      </c>
      <c r="R1199" t="s">
        <v>4721</v>
      </c>
      <c r="S1199" t="s">
        <v>4718</v>
      </c>
      <c r="T1199">
        <f t="shared" si="76"/>
        <v>2</v>
      </c>
      <c r="U1199" s="21">
        <f>J1199</f>
        <v>44455</v>
      </c>
    </row>
    <row r="1200" spans="1:21" x14ac:dyDescent="0.35">
      <c r="A1200" t="s">
        <v>2783</v>
      </c>
      <c r="B1200" t="s">
        <v>2784</v>
      </c>
      <c r="C1200" t="s">
        <v>30</v>
      </c>
      <c r="D1200" t="s">
        <v>205</v>
      </c>
      <c r="E1200" s="1">
        <v>11.96</v>
      </c>
      <c r="F1200" t="s">
        <v>206</v>
      </c>
      <c r="G1200">
        <v>80</v>
      </c>
      <c r="H1200" s="1">
        <v>9.5680000000000014</v>
      </c>
      <c r="I1200" s="21">
        <v>44818</v>
      </c>
      <c r="J1200" s="21">
        <v>44822</v>
      </c>
      <c r="K1200" s="21">
        <f t="shared" ref="K1200:K1210" si="84">J1200</f>
        <v>44822</v>
      </c>
      <c r="L1200" t="s">
        <v>213</v>
      </c>
      <c r="M1200" t="s">
        <v>40</v>
      </c>
      <c r="N1200" t="s">
        <v>34</v>
      </c>
      <c r="O1200">
        <v>1</v>
      </c>
      <c r="P1200" t="s">
        <v>2785</v>
      </c>
      <c r="Q1200" t="s">
        <v>4520</v>
      </c>
      <c r="R1200" t="s">
        <v>4710</v>
      </c>
      <c r="S1200" t="s">
        <v>4717</v>
      </c>
      <c r="T1200">
        <f t="shared" si="76"/>
        <v>4</v>
      </c>
      <c r="U1200" s="21">
        <f t="shared" ref="U1200:U1210" si="85">J1200+365</f>
        <v>45187</v>
      </c>
    </row>
    <row r="1201" spans="1:21" x14ac:dyDescent="0.35">
      <c r="A1201" t="s">
        <v>1618</v>
      </c>
      <c r="B1201" t="s">
        <v>1619</v>
      </c>
      <c r="C1201" t="s">
        <v>19</v>
      </c>
      <c r="D1201" t="s">
        <v>212</v>
      </c>
      <c r="E1201" s="1">
        <v>64.75</v>
      </c>
      <c r="F1201" t="s">
        <v>206</v>
      </c>
      <c r="G1201">
        <v>100</v>
      </c>
      <c r="H1201" s="1">
        <v>64.75</v>
      </c>
      <c r="I1201" s="21">
        <v>44817</v>
      </c>
      <c r="J1201" s="21">
        <v>44822</v>
      </c>
      <c r="K1201" s="21">
        <f t="shared" si="84"/>
        <v>44822</v>
      </c>
      <c r="L1201" t="s">
        <v>213</v>
      </c>
      <c r="M1201" t="s">
        <v>54</v>
      </c>
      <c r="N1201" t="s">
        <v>26</v>
      </c>
      <c r="O1201">
        <v>1</v>
      </c>
      <c r="P1201" t="s">
        <v>1620</v>
      </c>
      <c r="Q1201" t="s">
        <v>4528</v>
      </c>
      <c r="R1201" t="s">
        <v>4726</v>
      </c>
      <c r="S1201" t="s">
        <v>4717</v>
      </c>
      <c r="T1201">
        <f t="shared" si="76"/>
        <v>5</v>
      </c>
      <c r="U1201" s="21">
        <f t="shared" si="85"/>
        <v>45187</v>
      </c>
    </row>
    <row r="1202" spans="1:21" x14ac:dyDescent="0.35">
      <c r="A1202" t="s">
        <v>1615</v>
      </c>
      <c r="B1202" t="s">
        <v>1616</v>
      </c>
      <c r="C1202" t="s">
        <v>30</v>
      </c>
      <c r="D1202" t="s">
        <v>212</v>
      </c>
      <c r="E1202" s="1">
        <v>4.6079999999999997</v>
      </c>
      <c r="F1202" t="s">
        <v>206</v>
      </c>
      <c r="G1202">
        <v>100</v>
      </c>
      <c r="H1202" s="1">
        <v>4.6079999999999997</v>
      </c>
      <c r="I1202" s="21">
        <v>44816</v>
      </c>
      <c r="J1202" s="21">
        <v>44821</v>
      </c>
      <c r="K1202" s="21">
        <f t="shared" si="84"/>
        <v>44821</v>
      </c>
      <c r="L1202" t="s">
        <v>248</v>
      </c>
      <c r="M1202" t="s">
        <v>40</v>
      </c>
      <c r="N1202" t="s">
        <v>34</v>
      </c>
      <c r="O1202">
        <v>1</v>
      </c>
      <c r="P1202" t="s">
        <v>1617</v>
      </c>
      <c r="Q1202" t="s">
        <v>4517</v>
      </c>
      <c r="R1202" t="s">
        <v>4726</v>
      </c>
      <c r="S1202" t="s">
        <v>4717</v>
      </c>
      <c r="T1202">
        <f t="shared" si="76"/>
        <v>5</v>
      </c>
      <c r="U1202" s="21">
        <f t="shared" si="85"/>
        <v>45186</v>
      </c>
    </row>
    <row r="1203" spans="1:21" x14ac:dyDescent="0.35">
      <c r="A1203" t="s">
        <v>3848</v>
      </c>
      <c r="B1203" t="s">
        <v>3849</v>
      </c>
      <c r="C1203" t="s">
        <v>30</v>
      </c>
      <c r="D1203" t="s">
        <v>212</v>
      </c>
      <c r="E1203" s="1">
        <v>79.989999999999895</v>
      </c>
      <c r="F1203" t="s">
        <v>206</v>
      </c>
      <c r="G1203">
        <v>100</v>
      </c>
      <c r="H1203" s="1">
        <v>79.989999999999895</v>
      </c>
      <c r="I1203" s="21">
        <v>44816</v>
      </c>
      <c r="J1203" s="21">
        <v>44817</v>
      </c>
      <c r="K1203" s="21">
        <f t="shared" si="84"/>
        <v>44817</v>
      </c>
      <c r="L1203" t="s">
        <v>213</v>
      </c>
      <c r="M1203" t="s">
        <v>33</v>
      </c>
      <c r="N1203" t="s">
        <v>34</v>
      </c>
      <c r="O1203">
        <v>1</v>
      </c>
      <c r="P1203" t="s">
        <v>2942</v>
      </c>
      <c r="Q1203" t="s">
        <v>4513</v>
      </c>
      <c r="R1203" t="s">
        <v>4713</v>
      </c>
      <c r="S1203" t="s">
        <v>4719</v>
      </c>
      <c r="T1203">
        <f t="shared" si="76"/>
        <v>1</v>
      </c>
      <c r="U1203" s="21">
        <f t="shared" si="85"/>
        <v>45182</v>
      </c>
    </row>
    <row r="1204" spans="1:21" x14ac:dyDescent="0.35">
      <c r="A1204" t="s">
        <v>2781</v>
      </c>
      <c r="B1204" t="s">
        <v>2782</v>
      </c>
      <c r="C1204" t="s">
        <v>30</v>
      </c>
      <c r="D1204" t="s">
        <v>205</v>
      </c>
      <c r="E1204" s="1">
        <v>1.3619999999999901</v>
      </c>
      <c r="F1204" t="s">
        <v>206</v>
      </c>
      <c r="G1204">
        <v>80</v>
      </c>
      <c r="H1204" s="1">
        <v>1.0895999999999921</v>
      </c>
      <c r="I1204" s="21">
        <v>44815</v>
      </c>
      <c r="J1204" s="21">
        <v>44819</v>
      </c>
      <c r="K1204" s="21">
        <f t="shared" si="84"/>
        <v>44819</v>
      </c>
      <c r="L1204" t="s">
        <v>213</v>
      </c>
      <c r="M1204" t="s">
        <v>67</v>
      </c>
      <c r="N1204" t="s">
        <v>68</v>
      </c>
      <c r="O1204">
        <v>1</v>
      </c>
      <c r="P1204" t="s">
        <v>773</v>
      </c>
      <c r="Q1204" t="s">
        <v>4517</v>
      </c>
      <c r="R1204" t="s">
        <v>4726</v>
      </c>
      <c r="S1204" t="s">
        <v>4717</v>
      </c>
      <c r="T1204">
        <f t="shared" si="76"/>
        <v>4</v>
      </c>
      <c r="U1204" s="21">
        <f t="shared" si="85"/>
        <v>45184</v>
      </c>
    </row>
    <row r="1205" spans="1:21" x14ac:dyDescent="0.35">
      <c r="A1205" t="s">
        <v>1609</v>
      </c>
      <c r="B1205" t="s">
        <v>1610</v>
      </c>
      <c r="C1205" t="s">
        <v>19</v>
      </c>
      <c r="D1205" t="s">
        <v>212</v>
      </c>
      <c r="E1205" s="1">
        <v>19.152000000000001</v>
      </c>
      <c r="F1205" t="s">
        <v>206</v>
      </c>
      <c r="G1205">
        <v>100</v>
      </c>
      <c r="H1205" s="1">
        <v>19.152000000000001</v>
      </c>
      <c r="I1205" s="21">
        <v>44815</v>
      </c>
      <c r="J1205" s="21">
        <v>44819</v>
      </c>
      <c r="K1205" s="21">
        <f t="shared" si="84"/>
        <v>44819</v>
      </c>
      <c r="L1205" t="s">
        <v>238</v>
      </c>
      <c r="M1205" t="s">
        <v>33</v>
      </c>
      <c r="N1205" t="s">
        <v>34</v>
      </c>
      <c r="O1205">
        <v>1</v>
      </c>
      <c r="P1205" t="s">
        <v>1611</v>
      </c>
      <c r="Q1205" t="s">
        <v>4596</v>
      </c>
      <c r="R1205" t="s">
        <v>4726</v>
      </c>
      <c r="S1205" t="s">
        <v>4717</v>
      </c>
      <c r="T1205">
        <f t="shared" si="76"/>
        <v>4</v>
      </c>
      <c r="U1205" s="21">
        <f t="shared" si="85"/>
        <v>45184</v>
      </c>
    </row>
    <row r="1206" spans="1:21" x14ac:dyDescent="0.35">
      <c r="A1206" t="s">
        <v>1607</v>
      </c>
      <c r="B1206" t="s">
        <v>1608</v>
      </c>
      <c r="C1206" t="s">
        <v>30</v>
      </c>
      <c r="D1206" t="s">
        <v>205</v>
      </c>
      <c r="E1206" s="1">
        <v>14.76</v>
      </c>
      <c r="F1206" t="s">
        <v>206</v>
      </c>
      <c r="G1206">
        <v>80</v>
      </c>
      <c r="H1206" s="1">
        <v>11.808</v>
      </c>
      <c r="I1206" s="21">
        <v>44815</v>
      </c>
      <c r="J1206" s="21">
        <v>44822</v>
      </c>
      <c r="K1206" s="21">
        <f t="shared" si="84"/>
        <v>44822</v>
      </c>
      <c r="L1206" t="s">
        <v>207</v>
      </c>
      <c r="M1206" t="s">
        <v>25</v>
      </c>
      <c r="N1206" t="s">
        <v>26</v>
      </c>
      <c r="O1206">
        <v>1</v>
      </c>
      <c r="P1206" t="s">
        <v>991</v>
      </c>
      <c r="Q1206" t="s">
        <v>4533</v>
      </c>
      <c r="R1206" t="s">
        <v>4724</v>
      </c>
      <c r="S1206" t="s">
        <v>4718</v>
      </c>
      <c r="T1206">
        <f t="shared" si="76"/>
        <v>7</v>
      </c>
      <c r="U1206" s="21">
        <f t="shared" si="85"/>
        <v>45187</v>
      </c>
    </row>
    <row r="1207" spans="1:21" x14ac:dyDescent="0.35">
      <c r="A1207" t="s">
        <v>401</v>
      </c>
      <c r="B1207" t="s">
        <v>402</v>
      </c>
      <c r="C1207" t="s">
        <v>30</v>
      </c>
      <c r="D1207" t="s">
        <v>205</v>
      </c>
      <c r="E1207" s="1">
        <v>1004.976</v>
      </c>
      <c r="F1207" t="s">
        <v>206</v>
      </c>
      <c r="G1207">
        <v>80</v>
      </c>
      <c r="H1207" s="1">
        <v>803.98080000000004</v>
      </c>
      <c r="I1207" s="21">
        <v>44815</v>
      </c>
      <c r="J1207" s="21">
        <v>44821</v>
      </c>
      <c r="K1207" s="21">
        <f t="shared" si="84"/>
        <v>44821</v>
      </c>
      <c r="L1207" t="s">
        <v>207</v>
      </c>
      <c r="M1207" t="s">
        <v>25</v>
      </c>
      <c r="N1207" t="s">
        <v>26</v>
      </c>
      <c r="O1207">
        <v>1</v>
      </c>
      <c r="P1207" t="s">
        <v>403</v>
      </c>
      <c r="Q1207" t="s">
        <v>4729</v>
      </c>
      <c r="R1207" t="s">
        <v>4712</v>
      </c>
      <c r="S1207" t="s">
        <v>4718</v>
      </c>
      <c r="T1207">
        <f t="shared" si="76"/>
        <v>6</v>
      </c>
      <c r="U1207" s="21">
        <f t="shared" si="85"/>
        <v>45186</v>
      </c>
    </row>
    <row r="1208" spans="1:21" x14ac:dyDescent="0.35">
      <c r="A1208" t="s">
        <v>1612</v>
      </c>
      <c r="B1208" t="s">
        <v>1613</v>
      </c>
      <c r="C1208" t="s">
        <v>30</v>
      </c>
      <c r="D1208" t="s">
        <v>205</v>
      </c>
      <c r="E1208" s="1">
        <v>106.8</v>
      </c>
      <c r="F1208" t="s">
        <v>206</v>
      </c>
      <c r="G1208">
        <v>80</v>
      </c>
      <c r="H1208" s="1">
        <v>85.44</v>
      </c>
      <c r="I1208" s="21">
        <v>44815</v>
      </c>
      <c r="J1208" s="21">
        <v>44820</v>
      </c>
      <c r="K1208" s="21">
        <f t="shared" si="84"/>
        <v>44820</v>
      </c>
      <c r="L1208" t="s">
        <v>248</v>
      </c>
      <c r="M1208" t="s">
        <v>72</v>
      </c>
      <c r="N1208" t="s">
        <v>73</v>
      </c>
      <c r="O1208">
        <v>1</v>
      </c>
      <c r="P1208" t="s">
        <v>1614</v>
      </c>
      <c r="Q1208" t="s">
        <v>4632</v>
      </c>
      <c r="R1208" t="s">
        <v>4726</v>
      </c>
      <c r="S1208" t="s">
        <v>4717</v>
      </c>
      <c r="T1208">
        <f t="shared" si="76"/>
        <v>5</v>
      </c>
      <c r="U1208" s="21">
        <f t="shared" si="85"/>
        <v>45185</v>
      </c>
    </row>
    <row r="1209" spans="1:21" x14ac:dyDescent="0.35">
      <c r="A1209" t="s">
        <v>398</v>
      </c>
      <c r="B1209" t="s">
        <v>399</v>
      </c>
      <c r="C1209" t="s">
        <v>19</v>
      </c>
      <c r="D1209" t="s">
        <v>205</v>
      </c>
      <c r="E1209" s="1">
        <v>23.04</v>
      </c>
      <c r="F1209" t="s">
        <v>206</v>
      </c>
      <c r="G1209">
        <v>80</v>
      </c>
      <c r="H1209" s="1">
        <v>18.431999999999999</v>
      </c>
      <c r="I1209" s="21">
        <v>44815</v>
      </c>
      <c r="J1209" s="21">
        <v>44817</v>
      </c>
      <c r="K1209" s="21">
        <f t="shared" si="84"/>
        <v>44817</v>
      </c>
      <c r="L1209" t="s">
        <v>234</v>
      </c>
      <c r="M1209" t="s">
        <v>97</v>
      </c>
      <c r="N1209" t="s">
        <v>68</v>
      </c>
      <c r="O1209">
        <v>1</v>
      </c>
      <c r="P1209" t="s">
        <v>400</v>
      </c>
      <c r="Q1209" t="s">
        <v>4729</v>
      </c>
      <c r="R1209" t="s">
        <v>4726</v>
      </c>
      <c r="S1209" t="s">
        <v>4717</v>
      </c>
      <c r="T1209">
        <f t="shared" si="76"/>
        <v>2</v>
      </c>
      <c r="U1209" s="21">
        <f t="shared" si="85"/>
        <v>45182</v>
      </c>
    </row>
    <row r="1210" spans="1:21" x14ac:dyDescent="0.35">
      <c r="A1210" t="s">
        <v>1604</v>
      </c>
      <c r="B1210" t="s">
        <v>1605</v>
      </c>
      <c r="C1210" t="s">
        <v>19</v>
      </c>
      <c r="D1210" t="s">
        <v>212</v>
      </c>
      <c r="E1210" s="1">
        <v>558.4</v>
      </c>
      <c r="F1210" t="s">
        <v>206</v>
      </c>
      <c r="G1210">
        <v>100</v>
      </c>
      <c r="H1210" s="1">
        <v>558.4</v>
      </c>
      <c r="I1210" s="21">
        <v>44813</v>
      </c>
      <c r="J1210" s="21">
        <v>44819</v>
      </c>
      <c r="K1210" s="21">
        <f t="shared" si="84"/>
        <v>44819</v>
      </c>
      <c r="L1210" t="s">
        <v>213</v>
      </c>
      <c r="M1210" t="s">
        <v>67</v>
      </c>
      <c r="N1210" t="s">
        <v>68</v>
      </c>
      <c r="O1210">
        <v>1</v>
      </c>
      <c r="P1210" t="s">
        <v>1606</v>
      </c>
      <c r="Q1210" t="s">
        <v>4729</v>
      </c>
      <c r="R1210" t="s">
        <v>4720</v>
      </c>
      <c r="S1210" t="s">
        <v>4719</v>
      </c>
      <c r="T1210">
        <f t="shared" si="76"/>
        <v>6</v>
      </c>
      <c r="U1210" s="21">
        <f t="shared" si="85"/>
        <v>45184</v>
      </c>
    </row>
    <row r="1211" spans="1:21" x14ac:dyDescent="0.35">
      <c r="A1211" t="s">
        <v>181</v>
      </c>
      <c r="B1211" t="s">
        <v>182</v>
      </c>
      <c r="C1211" t="s">
        <v>19</v>
      </c>
      <c r="D1211" t="s">
        <v>21</v>
      </c>
      <c r="E1211" s="1">
        <v>68.28</v>
      </c>
      <c r="F1211" t="s">
        <v>22</v>
      </c>
      <c r="G1211">
        <v>0</v>
      </c>
      <c r="H1211" s="1">
        <v>0</v>
      </c>
      <c r="I1211" s="21">
        <v>44448</v>
      </c>
      <c r="J1211" s="21">
        <v>44451</v>
      </c>
      <c r="K1211" s="21">
        <v>44451</v>
      </c>
      <c r="L1211" t="s">
        <v>45</v>
      </c>
      <c r="M1211" t="s">
        <v>25</v>
      </c>
      <c r="N1211" t="s">
        <v>26</v>
      </c>
      <c r="O1211">
        <v>1</v>
      </c>
      <c r="P1211" t="s">
        <v>183</v>
      </c>
      <c r="Q1211" t="s">
        <v>4519</v>
      </c>
      <c r="R1211" t="s">
        <v>4726</v>
      </c>
      <c r="S1211" t="s">
        <v>4717</v>
      </c>
      <c r="T1211">
        <f t="shared" si="76"/>
        <v>3</v>
      </c>
      <c r="U1211" s="21">
        <f>J1211</f>
        <v>44451</v>
      </c>
    </row>
    <row r="1212" spans="1:21" x14ac:dyDescent="0.35">
      <c r="A1212" t="s">
        <v>3846</v>
      </c>
      <c r="B1212" t="s">
        <v>3847</v>
      </c>
      <c r="C1212" t="s">
        <v>30</v>
      </c>
      <c r="D1212" t="s">
        <v>212</v>
      </c>
      <c r="E1212" s="1">
        <v>913.43</v>
      </c>
      <c r="F1212" t="s">
        <v>206</v>
      </c>
      <c r="G1212">
        <v>100</v>
      </c>
      <c r="H1212" s="1">
        <v>913.43</v>
      </c>
      <c r="I1212" s="21">
        <v>44812</v>
      </c>
      <c r="J1212" s="21">
        <v>44816</v>
      </c>
      <c r="K1212" s="21">
        <f t="shared" ref="K1212:K1227" si="86">J1212</f>
        <v>44816</v>
      </c>
      <c r="L1212" t="s">
        <v>213</v>
      </c>
      <c r="M1212" t="s">
        <v>72</v>
      </c>
      <c r="N1212" t="s">
        <v>73</v>
      </c>
      <c r="O1212">
        <v>1</v>
      </c>
      <c r="P1212" t="s">
        <v>548</v>
      </c>
      <c r="Q1212" t="s">
        <v>4576</v>
      </c>
      <c r="R1212" t="s">
        <v>4723</v>
      </c>
      <c r="S1212" t="s">
        <v>4718</v>
      </c>
      <c r="T1212">
        <f t="shared" si="76"/>
        <v>4</v>
      </c>
      <c r="U1212" s="21">
        <f t="shared" ref="U1212:U1227" si="87">J1212+365</f>
        <v>45181</v>
      </c>
    </row>
    <row r="1213" spans="1:21" x14ac:dyDescent="0.35">
      <c r="A1213" t="s">
        <v>1599</v>
      </c>
      <c r="B1213" t="s">
        <v>1600</v>
      </c>
      <c r="C1213" t="s">
        <v>19</v>
      </c>
      <c r="D1213" t="s">
        <v>205</v>
      </c>
      <c r="E1213" s="1">
        <v>25.175999999999998</v>
      </c>
      <c r="F1213" t="s">
        <v>206</v>
      </c>
      <c r="G1213">
        <v>80</v>
      </c>
      <c r="H1213" s="1">
        <v>20.140799999999999</v>
      </c>
      <c r="I1213" s="21">
        <v>44812</v>
      </c>
      <c r="J1213" s="21">
        <v>44816</v>
      </c>
      <c r="K1213" s="21">
        <f t="shared" si="86"/>
        <v>44816</v>
      </c>
      <c r="L1213" t="s">
        <v>238</v>
      </c>
      <c r="M1213" t="s">
        <v>40</v>
      </c>
      <c r="N1213" t="s">
        <v>34</v>
      </c>
      <c r="O1213">
        <v>1</v>
      </c>
      <c r="P1213" t="s">
        <v>1545</v>
      </c>
      <c r="Q1213" t="s">
        <v>4528</v>
      </c>
      <c r="R1213" t="s">
        <v>4726</v>
      </c>
      <c r="S1213" t="s">
        <v>4717</v>
      </c>
      <c r="T1213">
        <f t="shared" si="76"/>
        <v>4</v>
      </c>
      <c r="U1213" s="21">
        <f t="shared" si="87"/>
        <v>45181</v>
      </c>
    </row>
    <row r="1214" spans="1:21" x14ac:dyDescent="0.35">
      <c r="A1214" t="s">
        <v>2778</v>
      </c>
      <c r="B1214" t="s">
        <v>2779</v>
      </c>
      <c r="C1214" t="s">
        <v>30</v>
      </c>
      <c r="D1214" t="s">
        <v>205</v>
      </c>
      <c r="E1214" s="1">
        <v>153.584</v>
      </c>
      <c r="F1214" t="s">
        <v>206</v>
      </c>
      <c r="G1214">
        <v>80</v>
      </c>
      <c r="H1214" s="1">
        <v>122.86720000000001</v>
      </c>
      <c r="I1214" s="21">
        <v>44812</v>
      </c>
      <c r="J1214" s="21">
        <v>44817</v>
      </c>
      <c r="K1214" s="21">
        <f t="shared" si="86"/>
        <v>44817</v>
      </c>
      <c r="L1214" t="s">
        <v>207</v>
      </c>
      <c r="M1214" t="s">
        <v>40</v>
      </c>
      <c r="N1214" t="s">
        <v>34</v>
      </c>
      <c r="O1214">
        <v>1</v>
      </c>
      <c r="P1214" t="s">
        <v>2780</v>
      </c>
      <c r="Q1214" t="s">
        <v>4668</v>
      </c>
      <c r="R1214" t="s">
        <v>4711</v>
      </c>
      <c r="S1214" t="s">
        <v>4719</v>
      </c>
      <c r="T1214">
        <f t="shared" si="76"/>
        <v>5</v>
      </c>
      <c r="U1214" s="21">
        <f t="shared" si="87"/>
        <v>45182</v>
      </c>
    </row>
    <row r="1215" spans="1:21" x14ac:dyDescent="0.35">
      <c r="A1215" t="s">
        <v>1601</v>
      </c>
      <c r="B1215" t="s">
        <v>1602</v>
      </c>
      <c r="C1215" t="s">
        <v>30</v>
      </c>
      <c r="D1215" t="s">
        <v>205</v>
      </c>
      <c r="E1215" s="1">
        <v>98.46</v>
      </c>
      <c r="F1215" t="s">
        <v>206</v>
      </c>
      <c r="G1215">
        <v>80</v>
      </c>
      <c r="H1215" s="1">
        <v>78.768000000000001</v>
      </c>
      <c r="I1215" s="21">
        <v>44812</v>
      </c>
      <c r="J1215" s="21">
        <v>44814</v>
      </c>
      <c r="K1215" s="21">
        <f t="shared" si="86"/>
        <v>44814</v>
      </c>
      <c r="L1215" t="s">
        <v>238</v>
      </c>
      <c r="M1215" t="s">
        <v>46</v>
      </c>
      <c r="N1215" t="s">
        <v>47</v>
      </c>
      <c r="O1215">
        <v>1</v>
      </c>
      <c r="P1215" t="s">
        <v>1603</v>
      </c>
      <c r="Q1215" t="s">
        <v>4729</v>
      </c>
      <c r="R1215" t="s">
        <v>4512</v>
      </c>
      <c r="S1215" t="s">
        <v>4717</v>
      </c>
      <c r="T1215">
        <f t="shared" si="76"/>
        <v>2</v>
      </c>
      <c r="U1215" s="21">
        <f t="shared" si="87"/>
        <v>45179</v>
      </c>
    </row>
    <row r="1216" spans="1:21" x14ac:dyDescent="0.35">
      <c r="A1216" t="s">
        <v>395</v>
      </c>
      <c r="B1216" t="s">
        <v>396</v>
      </c>
      <c r="C1216" t="s">
        <v>19</v>
      </c>
      <c r="D1216" t="s">
        <v>212</v>
      </c>
      <c r="E1216" s="1">
        <v>12.39</v>
      </c>
      <c r="F1216" t="s">
        <v>206</v>
      </c>
      <c r="G1216">
        <v>100</v>
      </c>
      <c r="H1216" s="1">
        <v>12.39</v>
      </c>
      <c r="I1216" s="21">
        <v>44811</v>
      </c>
      <c r="J1216" s="21">
        <v>44813</v>
      </c>
      <c r="K1216" s="21">
        <f t="shared" si="86"/>
        <v>44813</v>
      </c>
      <c r="L1216" t="s">
        <v>220</v>
      </c>
      <c r="M1216" t="s">
        <v>82</v>
      </c>
      <c r="N1216" t="s">
        <v>47</v>
      </c>
      <c r="O1216">
        <v>1</v>
      </c>
      <c r="P1216" t="s">
        <v>397</v>
      </c>
      <c r="Q1216" t="s">
        <v>4517</v>
      </c>
      <c r="R1216" t="s">
        <v>4713</v>
      </c>
      <c r="S1216" t="s">
        <v>4719</v>
      </c>
      <c r="T1216">
        <f t="shared" si="76"/>
        <v>2</v>
      </c>
      <c r="U1216" s="21">
        <f t="shared" si="87"/>
        <v>45178</v>
      </c>
    </row>
    <row r="1217" spans="1:21" x14ac:dyDescent="0.35">
      <c r="A1217" t="s">
        <v>3841</v>
      </c>
      <c r="B1217" t="s">
        <v>3842</v>
      </c>
      <c r="C1217" t="s">
        <v>30</v>
      </c>
      <c r="D1217" t="s">
        <v>205</v>
      </c>
      <c r="E1217" s="1">
        <v>6.2640000000000002</v>
      </c>
      <c r="F1217" t="s">
        <v>206</v>
      </c>
      <c r="G1217">
        <v>80</v>
      </c>
      <c r="H1217" s="1">
        <v>5.0112000000000005</v>
      </c>
      <c r="I1217" s="21">
        <v>44811</v>
      </c>
      <c r="J1217" s="21">
        <v>44817</v>
      </c>
      <c r="K1217" s="21">
        <f t="shared" si="86"/>
        <v>44817</v>
      </c>
      <c r="L1217" t="s">
        <v>238</v>
      </c>
      <c r="M1217" t="s">
        <v>33</v>
      </c>
      <c r="N1217" t="s">
        <v>34</v>
      </c>
      <c r="O1217">
        <v>1</v>
      </c>
      <c r="P1217" t="s">
        <v>3843</v>
      </c>
      <c r="Q1217" t="s">
        <v>4517</v>
      </c>
      <c r="R1217" t="s">
        <v>4726</v>
      </c>
      <c r="S1217" t="s">
        <v>4717</v>
      </c>
      <c r="T1217">
        <f t="shared" si="76"/>
        <v>6</v>
      </c>
      <c r="U1217" s="21">
        <f t="shared" si="87"/>
        <v>45182</v>
      </c>
    </row>
    <row r="1218" spans="1:21" x14ac:dyDescent="0.35">
      <c r="A1218" t="s">
        <v>1597</v>
      </c>
      <c r="B1218" t="s">
        <v>1598</v>
      </c>
      <c r="C1218" t="s">
        <v>19</v>
      </c>
      <c r="D1218" t="s">
        <v>212</v>
      </c>
      <c r="E1218" s="1">
        <v>128.82</v>
      </c>
      <c r="F1218" t="s">
        <v>206</v>
      </c>
      <c r="G1218">
        <v>100</v>
      </c>
      <c r="H1218" s="1">
        <v>128.82</v>
      </c>
      <c r="I1218" s="21">
        <v>44811</v>
      </c>
      <c r="J1218" s="21">
        <v>44814</v>
      </c>
      <c r="K1218" s="21">
        <f t="shared" si="86"/>
        <v>44814</v>
      </c>
      <c r="L1218" t="s">
        <v>207</v>
      </c>
      <c r="M1218" t="s">
        <v>46</v>
      </c>
      <c r="N1218" t="s">
        <v>47</v>
      </c>
      <c r="O1218">
        <v>1</v>
      </c>
      <c r="P1218" t="s">
        <v>1334</v>
      </c>
      <c r="Q1218" t="s">
        <v>4553</v>
      </c>
      <c r="R1218" t="s">
        <v>4722</v>
      </c>
      <c r="S1218" t="s">
        <v>4718</v>
      </c>
      <c r="T1218">
        <f t="shared" ref="T1218:T1281" si="88">J1218-I1218</f>
        <v>3</v>
      </c>
      <c r="U1218" s="21">
        <f t="shared" si="87"/>
        <v>45179</v>
      </c>
    </row>
    <row r="1219" spans="1:21" x14ac:dyDescent="0.35">
      <c r="A1219" t="s">
        <v>3839</v>
      </c>
      <c r="B1219" t="s">
        <v>3840</v>
      </c>
      <c r="C1219" t="s">
        <v>19</v>
      </c>
      <c r="D1219" t="s">
        <v>212</v>
      </c>
      <c r="E1219" s="1">
        <v>84.09</v>
      </c>
      <c r="F1219" t="s">
        <v>206</v>
      </c>
      <c r="G1219">
        <v>100</v>
      </c>
      <c r="H1219" s="1">
        <v>84.09</v>
      </c>
      <c r="I1219" s="21">
        <v>44811</v>
      </c>
      <c r="J1219" s="21">
        <v>44813</v>
      </c>
      <c r="K1219" s="21">
        <f t="shared" si="86"/>
        <v>44813</v>
      </c>
      <c r="L1219" t="s">
        <v>234</v>
      </c>
      <c r="M1219" t="s">
        <v>67</v>
      </c>
      <c r="N1219" t="s">
        <v>68</v>
      </c>
      <c r="O1219">
        <v>1</v>
      </c>
      <c r="P1219" t="s">
        <v>2577</v>
      </c>
      <c r="Q1219" t="s">
        <v>4729</v>
      </c>
      <c r="R1219" t="s">
        <v>4726</v>
      </c>
      <c r="S1219" t="s">
        <v>4717</v>
      </c>
      <c r="T1219">
        <f t="shared" si="88"/>
        <v>2</v>
      </c>
      <c r="U1219" s="21">
        <f t="shared" si="87"/>
        <v>45178</v>
      </c>
    </row>
    <row r="1220" spans="1:21" x14ac:dyDescent="0.35">
      <c r="A1220" t="s">
        <v>3844</v>
      </c>
      <c r="B1220" t="s">
        <v>3845</v>
      </c>
      <c r="C1220" t="s">
        <v>19</v>
      </c>
      <c r="D1220" t="s">
        <v>205</v>
      </c>
      <c r="E1220" s="1">
        <v>79.36</v>
      </c>
      <c r="F1220" t="s">
        <v>206</v>
      </c>
      <c r="G1220">
        <v>80</v>
      </c>
      <c r="H1220" s="1">
        <v>63.488</v>
      </c>
      <c r="I1220" s="21">
        <v>44811</v>
      </c>
      <c r="J1220" s="21">
        <v>44818</v>
      </c>
      <c r="K1220" s="21">
        <f t="shared" si="86"/>
        <v>44818</v>
      </c>
      <c r="L1220" t="s">
        <v>238</v>
      </c>
      <c r="M1220" t="s">
        <v>97</v>
      </c>
      <c r="N1220" t="s">
        <v>68</v>
      </c>
      <c r="O1220">
        <v>1</v>
      </c>
      <c r="P1220" t="s">
        <v>1041</v>
      </c>
      <c r="Q1220" t="s">
        <v>4609</v>
      </c>
      <c r="R1220" t="s">
        <v>4726</v>
      </c>
      <c r="S1220" t="s">
        <v>4717</v>
      </c>
      <c r="T1220">
        <f t="shared" si="88"/>
        <v>7</v>
      </c>
      <c r="U1220" s="21">
        <f t="shared" si="87"/>
        <v>45183</v>
      </c>
    </row>
    <row r="1221" spans="1:21" x14ac:dyDescent="0.35">
      <c r="A1221" t="s">
        <v>392</v>
      </c>
      <c r="B1221" t="s">
        <v>393</v>
      </c>
      <c r="C1221" t="s">
        <v>19</v>
      </c>
      <c r="D1221" t="s">
        <v>205</v>
      </c>
      <c r="E1221" s="1">
        <v>137.25</v>
      </c>
      <c r="F1221" t="s">
        <v>206</v>
      </c>
      <c r="G1221">
        <v>80</v>
      </c>
      <c r="H1221" s="1">
        <v>109.80000000000001</v>
      </c>
      <c r="I1221" s="21">
        <v>44811</v>
      </c>
      <c r="J1221" s="21">
        <v>44815</v>
      </c>
      <c r="K1221" s="21">
        <f t="shared" si="86"/>
        <v>44815</v>
      </c>
      <c r="L1221" t="s">
        <v>248</v>
      </c>
      <c r="M1221" t="s">
        <v>82</v>
      </c>
      <c r="N1221" t="s">
        <v>47</v>
      </c>
      <c r="O1221">
        <v>1</v>
      </c>
      <c r="P1221" t="s">
        <v>394</v>
      </c>
      <c r="Q1221" t="s">
        <v>4729</v>
      </c>
      <c r="R1221" t="s">
        <v>4512</v>
      </c>
      <c r="S1221" t="s">
        <v>4717</v>
      </c>
      <c r="T1221">
        <f t="shared" si="88"/>
        <v>4</v>
      </c>
      <c r="U1221" s="21">
        <f t="shared" si="87"/>
        <v>45180</v>
      </c>
    </row>
    <row r="1222" spans="1:21" x14ac:dyDescent="0.35">
      <c r="A1222" t="s">
        <v>390</v>
      </c>
      <c r="B1222" t="s">
        <v>391</v>
      </c>
      <c r="C1222" t="s">
        <v>30</v>
      </c>
      <c r="D1222" t="s">
        <v>205</v>
      </c>
      <c r="E1222" s="1">
        <v>181.96</v>
      </c>
      <c r="F1222" t="s">
        <v>206</v>
      </c>
      <c r="G1222">
        <v>80</v>
      </c>
      <c r="H1222" s="1">
        <v>145.56800000000001</v>
      </c>
      <c r="I1222" s="21">
        <v>44810</v>
      </c>
      <c r="J1222" s="21">
        <v>44817</v>
      </c>
      <c r="K1222" s="21">
        <f t="shared" si="86"/>
        <v>44817</v>
      </c>
      <c r="L1222" t="s">
        <v>248</v>
      </c>
      <c r="M1222" t="s">
        <v>33</v>
      </c>
      <c r="N1222" t="s">
        <v>34</v>
      </c>
      <c r="O1222">
        <v>1</v>
      </c>
      <c r="P1222" t="s">
        <v>309</v>
      </c>
      <c r="Q1222" t="s">
        <v>4533</v>
      </c>
      <c r="R1222" t="s">
        <v>4721</v>
      </c>
      <c r="S1222" t="s">
        <v>4718</v>
      </c>
      <c r="T1222">
        <f t="shared" si="88"/>
        <v>7</v>
      </c>
      <c r="U1222" s="21">
        <f t="shared" si="87"/>
        <v>45182</v>
      </c>
    </row>
    <row r="1223" spans="1:21" x14ac:dyDescent="0.35">
      <c r="A1223" t="s">
        <v>384</v>
      </c>
      <c r="B1223" t="s">
        <v>385</v>
      </c>
      <c r="C1223" t="s">
        <v>19</v>
      </c>
      <c r="D1223" t="s">
        <v>212</v>
      </c>
      <c r="E1223" s="1">
        <v>15.8</v>
      </c>
      <c r="F1223" t="s">
        <v>206</v>
      </c>
      <c r="G1223">
        <v>100</v>
      </c>
      <c r="H1223" s="1">
        <v>15.8</v>
      </c>
      <c r="I1223" s="21">
        <v>44809</v>
      </c>
      <c r="J1223" s="21">
        <v>44813</v>
      </c>
      <c r="K1223" s="21">
        <f t="shared" si="86"/>
        <v>44813</v>
      </c>
      <c r="L1223" t="s">
        <v>213</v>
      </c>
      <c r="M1223" t="s">
        <v>97</v>
      </c>
      <c r="N1223" t="s">
        <v>68</v>
      </c>
      <c r="O1223">
        <v>1</v>
      </c>
      <c r="P1223" t="s">
        <v>386</v>
      </c>
      <c r="Q1223" t="s">
        <v>4518</v>
      </c>
      <c r="R1223" t="s">
        <v>4726</v>
      </c>
      <c r="S1223" t="s">
        <v>4717</v>
      </c>
      <c r="T1223">
        <f t="shared" si="88"/>
        <v>4</v>
      </c>
      <c r="U1223" s="21">
        <f t="shared" si="87"/>
        <v>45178</v>
      </c>
    </row>
    <row r="1224" spans="1:21" x14ac:dyDescent="0.35">
      <c r="A1224" t="s">
        <v>387</v>
      </c>
      <c r="B1224" t="s">
        <v>388</v>
      </c>
      <c r="C1224" t="s">
        <v>19</v>
      </c>
      <c r="D1224" t="s">
        <v>205</v>
      </c>
      <c r="E1224" s="1">
        <v>464.97</v>
      </c>
      <c r="F1224" t="s">
        <v>206</v>
      </c>
      <c r="G1224">
        <v>80</v>
      </c>
      <c r="H1224" s="1">
        <v>371.97600000000006</v>
      </c>
      <c r="I1224" s="21">
        <v>44809</v>
      </c>
      <c r="J1224" s="21">
        <v>44812</v>
      </c>
      <c r="K1224" s="21">
        <f t="shared" si="86"/>
        <v>44812</v>
      </c>
      <c r="L1224" t="s">
        <v>207</v>
      </c>
      <c r="M1224" t="s">
        <v>40</v>
      </c>
      <c r="N1224" t="s">
        <v>34</v>
      </c>
      <c r="O1224">
        <v>1</v>
      </c>
      <c r="P1224" t="s">
        <v>389</v>
      </c>
      <c r="Q1224" t="s">
        <v>4560</v>
      </c>
      <c r="R1224" t="s">
        <v>4720</v>
      </c>
      <c r="S1224" t="s">
        <v>4719</v>
      </c>
      <c r="T1224">
        <f t="shared" si="88"/>
        <v>3</v>
      </c>
      <c r="U1224" s="21">
        <f t="shared" si="87"/>
        <v>45177</v>
      </c>
    </row>
    <row r="1225" spans="1:21" x14ac:dyDescent="0.35">
      <c r="A1225" t="s">
        <v>2776</v>
      </c>
      <c r="B1225" t="s">
        <v>2777</v>
      </c>
      <c r="C1225" t="s">
        <v>19</v>
      </c>
      <c r="D1225" t="s">
        <v>212</v>
      </c>
      <c r="E1225" s="1">
        <v>122.94</v>
      </c>
      <c r="F1225" t="s">
        <v>206</v>
      </c>
      <c r="G1225">
        <v>100</v>
      </c>
      <c r="H1225" s="1">
        <v>122.94</v>
      </c>
      <c r="I1225" s="21">
        <v>44809</v>
      </c>
      <c r="J1225" s="21">
        <v>44814</v>
      </c>
      <c r="K1225" s="21">
        <f t="shared" si="86"/>
        <v>44814</v>
      </c>
      <c r="L1225" t="s">
        <v>248</v>
      </c>
      <c r="M1225" t="s">
        <v>25</v>
      </c>
      <c r="N1225" t="s">
        <v>26</v>
      </c>
      <c r="O1225">
        <v>1</v>
      </c>
      <c r="P1225" t="s">
        <v>803</v>
      </c>
      <c r="Q1225" t="s">
        <v>4515</v>
      </c>
      <c r="R1225" t="s">
        <v>4726</v>
      </c>
      <c r="S1225" t="s">
        <v>4717</v>
      </c>
      <c r="T1225">
        <f t="shared" si="88"/>
        <v>5</v>
      </c>
      <c r="U1225" s="21">
        <f t="shared" si="87"/>
        <v>45179</v>
      </c>
    </row>
    <row r="1226" spans="1:21" x14ac:dyDescent="0.35">
      <c r="A1226" t="s">
        <v>3833</v>
      </c>
      <c r="B1226" t="s">
        <v>3834</v>
      </c>
      <c r="C1226" t="s">
        <v>19</v>
      </c>
      <c r="D1226" t="s">
        <v>212</v>
      </c>
      <c r="E1226" s="1">
        <v>294.93</v>
      </c>
      <c r="F1226" t="s">
        <v>206</v>
      </c>
      <c r="G1226">
        <v>100</v>
      </c>
      <c r="H1226" s="1">
        <v>294.93</v>
      </c>
      <c r="I1226" s="21">
        <v>44808</v>
      </c>
      <c r="J1226" s="21">
        <v>44813</v>
      </c>
      <c r="K1226" s="21">
        <f t="shared" si="86"/>
        <v>44813</v>
      </c>
      <c r="L1226" t="s">
        <v>213</v>
      </c>
      <c r="M1226" t="s">
        <v>72</v>
      </c>
      <c r="N1226" t="s">
        <v>73</v>
      </c>
      <c r="O1226">
        <v>1</v>
      </c>
      <c r="P1226" t="s">
        <v>3835</v>
      </c>
      <c r="Q1226" t="s">
        <v>4699</v>
      </c>
      <c r="R1226" t="s">
        <v>4721</v>
      </c>
      <c r="S1226" t="s">
        <v>4717</v>
      </c>
      <c r="T1226">
        <f t="shared" si="88"/>
        <v>5</v>
      </c>
      <c r="U1226" s="21">
        <f t="shared" si="87"/>
        <v>45178</v>
      </c>
    </row>
    <row r="1227" spans="1:21" x14ac:dyDescent="0.35">
      <c r="A1227" t="s">
        <v>3831</v>
      </c>
      <c r="B1227" t="s">
        <v>3832</v>
      </c>
      <c r="C1227" t="s">
        <v>19</v>
      </c>
      <c r="D1227" t="s">
        <v>212</v>
      </c>
      <c r="E1227" s="1">
        <v>88.751999999999896</v>
      </c>
      <c r="F1227" t="s">
        <v>206</v>
      </c>
      <c r="G1227">
        <v>100</v>
      </c>
      <c r="H1227" s="1">
        <v>88.751999999999896</v>
      </c>
      <c r="I1227" s="21">
        <v>44808</v>
      </c>
      <c r="J1227" s="21">
        <v>44813</v>
      </c>
      <c r="K1227" s="21">
        <f t="shared" si="86"/>
        <v>44813</v>
      </c>
      <c r="L1227" t="s">
        <v>248</v>
      </c>
      <c r="M1227" t="s">
        <v>67</v>
      </c>
      <c r="N1227" t="s">
        <v>68</v>
      </c>
      <c r="O1227">
        <v>1</v>
      </c>
      <c r="P1227" t="s">
        <v>1539</v>
      </c>
      <c r="Q1227" t="s">
        <v>4528</v>
      </c>
      <c r="R1227" t="s">
        <v>4726</v>
      </c>
      <c r="S1227" t="s">
        <v>4717</v>
      </c>
      <c r="T1227">
        <f t="shared" si="88"/>
        <v>5</v>
      </c>
      <c r="U1227" s="21">
        <f t="shared" si="87"/>
        <v>45178</v>
      </c>
    </row>
    <row r="1228" spans="1:21" x14ac:dyDescent="0.35">
      <c r="A1228" t="s">
        <v>178</v>
      </c>
      <c r="B1228" t="s">
        <v>179</v>
      </c>
      <c r="C1228" t="s">
        <v>19</v>
      </c>
      <c r="D1228" t="s">
        <v>21</v>
      </c>
      <c r="E1228" s="1">
        <v>238.11</v>
      </c>
      <c r="F1228" t="s">
        <v>22</v>
      </c>
      <c r="G1228">
        <v>0</v>
      </c>
      <c r="H1228" s="1">
        <v>0</v>
      </c>
      <c r="I1228" s="21">
        <v>44443</v>
      </c>
      <c r="J1228" s="21">
        <v>44445</v>
      </c>
      <c r="K1228" s="21">
        <v>44445</v>
      </c>
      <c r="L1228" t="s">
        <v>63</v>
      </c>
      <c r="M1228" t="s">
        <v>25</v>
      </c>
      <c r="N1228" t="s">
        <v>26</v>
      </c>
      <c r="O1228">
        <v>1</v>
      </c>
      <c r="P1228" t="s">
        <v>180</v>
      </c>
      <c r="Q1228" t="s">
        <v>4535</v>
      </c>
      <c r="R1228" t="s">
        <v>4727</v>
      </c>
      <c r="S1228" t="s">
        <v>4719</v>
      </c>
      <c r="T1228">
        <f t="shared" si="88"/>
        <v>2</v>
      </c>
      <c r="U1228" s="21">
        <f>J1228</f>
        <v>44445</v>
      </c>
    </row>
    <row r="1229" spans="1:21" x14ac:dyDescent="0.35">
      <c r="A1229" t="s">
        <v>3836</v>
      </c>
      <c r="B1229" t="s">
        <v>3837</v>
      </c>
      <c r="C1229" t="s">
        <v>30</v>
      </c>
      <c r="D1229" t="s">
        <v>212</v>
      </c>
      <c r="E1229" s="1">
        <v>11.12</v>
      </c>
      <c r="F1229" t="s">
        <v>206</v>
      </c>
      <c r="G1229">
        <v>100</v>
      </c>
      <c r="H1229" s="1">
        <v>11.12</v>
      </c>
      <c r="I1229" s="21">
        <v>44808</v>
      </c>
      <c r="J1229" s="21">
        <v>44812</v>
      </c>
      <c r="K1229" s="21">
        <f t="shared" ref="K1229:K1230" si="89">J1229</f>
        <v>44812</v>
      </c>
      <c r="L1229" t="s">
        <v>213</v>
      </c>
      <c r="M1229" t="s">
        <v>25</v>
      </c>
      <c r="N1229" t="s">
        <v>26</v>
      </c>
      <c r="O1229">
        <v>1</v>
      </c>
      <c r="P1229" t="s">
        <v>3838</v>
      </c>
      <c r="Q1229" t="s">
        <v>4520</v>
      </c>
      <c r="R1229" t="s">
        <v>4726</v>
      </c>
      <c r="S1229" t="s">
        <v>4717</v>
      </c>
      <c r="T1229">
        <f t="shared" si="88"/>
        <v>4</v>
      </c>
      <c r="U1229" s="21">
        <f t="shared" ref="U1229:U1230" si="90">J1229+365</f>
        <v>45177</v>
      </c>
    </row>
    <row r="1230" spans="1:21" x14ac:dyDescent="0.35">
      <c r="A1230" t="s">
        <v>3828</v>
      </c>
      <c r="B1230" t="s">
        <v>3829</v>
      </c>
      <c r="C1230" t="s">
        <v>30</v>
      </c>
      <c r="D1230" t="s">
        <v>212</v>
      </c>
      <c r="E1230" s="1">
        <v>6.58</v>
      </c>
      <c r="F1230" t="s">
        <v>206</v>
      </c>
      <c r="G1230">
        <v>100</v>
      </c>
      <c r="H1230" s="1">
        <v>6.58</v>
      </c>
      <c r="I1230" s="21">
        <v>44808</v>
      </c>
      <c r="J1230" s="21">
        <v>44813</v>
      </c>
      <c r="K1230" s="21">
        <f t="shared" si="89"/>
        <v>44813</v>
      </c>
      <c r="L1230" t="s">
        <v>207</v>
      </c>
      <c r="M1230" t="s">
        <v>46</v>
      </c>
      <c r="N1230" t="s">
        <v>47</v>
      </c>
      <c r="O1230">
        <v>1</v>
      </c>
      <c r="P1230" t="s">
        <v>3830</v>
      </c>
      <c r="Q1230" t="s">
        <v>4729</v>
      </c>
      <c r="R1230" t="s">
        <v>4726</v>
      </c>
      <c r="S1230" t="s">
        <v>4717</v>
      </c>
      <c r="T1230">
        <f t="shared" si="88"/>
        <v>5</v>
      </c>
      <c r="U1230" s="21">
        <f t="shared" si="90"/>
        <v>45178</v>
      </c>
    </row>
    <row r="1231" spans="1:21" x14ac:dyDescent="0.35">
      <c r="A1231" t="s">
        <v>3674</v>
      </c>
      <c r="B1231" t="s">
        <v>3675</v>
      </c>
      <c r="C1231" t="s">
        <v>30</v>
      </c>
      <c r="D1231" t="s">
        <v>21</v>
      </c>
      <c r="E1231" s="1">
        <v>1966.5569999999998</v>
      </c>
      <c r="F1231" t="s">
        <v>22</v>
      </c>
      <c r="G1231">
        <v>0</v>
      </c>
      <c r="H1231" s="1">
        <v>0</v>
      </c>
      <c r="I1231" s="21">
        <v>44440</v>
      </c>
      <c r="J1231" s="21">
        <v>44442</v>
      </c>
      <c r="K1231" s="21">
        <v>44442</v>
      </c>
      <c r="L1231" t="s">
        <v>39</v>
      </c>
      <c r="M1231" t="s">
        <v>25</v>
      </c>
      <c r="N1231" t="s">
        <v>26</v>
      </c>
      <c r="O1231">
        <v>1</v>
      </c>
      <c r="P1231" t="s">
        <v>548</v>
      </c>
      <c r="Q1231" t="s">
        <v>4576</v>
      </c>
      <c r="R1231" t="s">
        <v>4723</v>
      </c>
      <c r="S1231" t="s">
        <v>4718</v>
      </c>
      <c r="T1231">
        <f t="shared" si="88"/>
        <v>2</v>
      </c>
      <c r="U1231" s="21">
        <f>J1231</f>
        <v>44442</v>
      </c>
    </row>
    <row r="1232" spans="1:21" x14ac:dyDescent="0.35">
      <c r="A1232" t="s">
        <v>3825</v>
      </c>
      <c r="B1232" t="s">
        <v>3826</v>
      </c>
      <c r="C1232" t="s">
        <v>19</v>
      </c>
      <c r="D1232" t="s">
        <v>205</v>
      </c>
      <c r="E1232" s="1">
        <v>107.976</v>
      </c>
      <c r="F1232" t="s">
        <v>206</v>
      </c>
      <c r="G1232">
        <v>80</v>
      </c>
      <c r="H1232" s="1">
        <v>86.380800000000008</v>
      </c>
      <c r="I1232" s="21">
        <v>44805</v>
      </c>
      <c r="J1232" s="21">
        <v>44809</v>
      </c>
      <c r="K1232" s="21">
        <f t="shared" ref="K1232:K1242" si="91">J1232</f>
        <v>44809</v>
      </c>
      <c r="L1232" t="s">
        <v>248</v>
      </c>
      <c r="M1232" t="s">
        <v>33</v>
      </c>
      <c r="N1232" t="s">
        <v>34</v>
      </c>
      <c r="O1232">
        <v>1</v>
      </c>
      <c r="P1232" t="s">
        <v>3827</v>
      </c>
      <c r="Q1232" t="s">
        <v>4698</v>
      </c>
      <c r="R1232" t="s">
        <v>4713</v>
      </c>
      <c r="S1232" t="s">
        <v>4719</v>
      </c>
      <c r="T1232">
        <f t="shared" si="88"/>
        <v>4</v>
      </c>
      <c r="U1232" s="21">
        <f t="shared" ref="U1232:U1242" si="92">J1232+365</f>
        <v>45174</v>
      </c>
    </row>
    <row r="1233" spans="1:21" x14ac:dyDescent="0.35">
      <c r="A1233" t="s">
        <v>378</v>
      </c>
      <c r="B1233" t="s">
        <v>379</v>
      </c>
      <c r="C1233" t="s">
        <v>19</v>
      </c>
      <c r="D1233" t="s">
        <v>212</v>
      </c>
      <c r="E1233" s="1">
        <v>228.92</v>
      </c>
      <c r="F1233" t="s">
        <v>206</v>
      </c>
      <c r="G1233">
        <v>100</v>
      </c>
      <c r="H1233" s="1">
        <v>228.92</v>
      </c>
      <c r="I1233" s="21">
        <v>44805</v>
      </c>
      <c r="J1233" s="21">
        <v>44810</v>
      </c>
      <c r="K1233" s="21">
        <f t="shared" si="91"/>
        <v>44810</v>
      </c>
      <c r="L1233" t="s">
        <v>220</v>
      </c>
      <c r="M1233" t="s">
        <v>25</v>
      </c>
      <c r="N1233" t="s">
        <v>26</v>
      </c>
      <c r="O1233">
        <v>1</v>
      </c>
      <c r="P1233" t="s">
        <v>380</v>
      </c>
      <c r="Q1233" t="s">
        <v>4729</v>
      </c>
      <c r="R1233" t="s">
        <v>4709</v>
      </c>
      <c r="S1233" t="s">
        <v>4717</v>
      </c>
      <c r="T1233">
        <f t="shared" si="88"/>
        <v>5</v>
      </c>
      <c r="U1233" s="21">
        <f t="shared" si="92"/>
        <v>45175</v>
      </c>
    </row>
    <row r="1234" spans="1:21" x14ac:dyDescent="0.35">
      <c r="A1234" t="s">
        <v>381</v>
      </c>
      <c r="B1234" t="s">
        <v>382</v>
      </c>
      <c r="C1234" t="s">
        <v>19</v>
      </c>
      <c r="D1234" t="s">
        <v>205</v>
      </c>
      <c r="E1234" s="1">
        <v>60.84</v>
      </c>
      <c r="F1234" t="s">
        <v>206</v>
      </c>
      <c r="G1234">
        <v>80</v>
      </c>
      <c r="H1234" s="1">
        <v>48.672000000000004</v>
      </c>
      <c r="I1234" s="21">
        <v>44805</v>
      </c>
      <c r="J1234" s="21">
        <v>44810</v>
      </c>
      <c r="K1234" s="21">
        <f t="shared" si="91"/>
        <v>44810</v>
      </c>
      <c r="L1234" t="s">
        <v>234</v>
      </c>
      <c r="M1234" t="s">
        <v>54</v>
      </c>
      <c r="N1234" t="s">
        <v>26</v>
      </c>
      <c r="O1234">
        <v>1</v>
      </c>
      <c r="P1234" t="s">
        <v>383</v>
      </c>
      <c r="Q1234" t="s">
        <v>4729</v>
      </c>
      <c r="R1234" t="s">
        <v>4722</v>
      </c>
      <c r="S1234" t="s">
        <v>4718</v>
      </c>
      <c r="T1234">
        <f t="shared" si="88"/>
        <v>5</v>
      </c>
      <c r="U1234" s="21">
        <f t="shared" si="92"/>
        <v>45175</v>
      </c>
    </row>
    <row r="1235" spans="1:21" x14ac:dyDescent="0.35">
      <c r="A1235" t="s">
        <v>375</v>
      </c>
      <c r="B1235" t="s">
        <v>376</v>
      </c>
      <c r="C1235" t="s">
        <v>19</v>
      </c>
      <c r="D1235" t="s">
        <v>205</v>
      </c>
      <c r="E1235" s="1">
        <v>186.69</v>
      </c>
      <c r="F1235" t="s">
        <v>206</v>
      </c>
      <c r="G1235">
        <v>80</v>
      </c>
      <c r="H1235" s="1">
        <v>149.352</v>
      </c>
      <c r="I1235" s="21">
        <v>44802</v>
      </c>
      <c r="J1235" s="21">
        <v>44807</v>
      </c>
      <c r="K1235" s="21">
        <f t="shared" si="91"/>
        <v>44807</v>
      </c>
      <c r="L1235" t="s">
        <v>238</v>
      </c>
      <c r="M1235" t="s">
        <v>46</v>
      </c>
      <c r="N1235" t="s">
        <v>47</v>
      </c>
      <c r="O1235">
        <v>1</v>
      </c>
      <c r="P1235" t="s">
        <v>377</v>
      </c>
      <c r="Q1235" t="s">
        <v>4559</v>
      </c>
      <c r="R1235" t="s">
        <v>4512</v>
      </c>
      <c r="S1235" t="s">
        <v>4717</v>
      </c>
      <c r="T1235">
        <f t="shared" si="88"/>
        <v>5</v>
      </c>
      <c r="U1235" s="21">
        <f t="shared" si="92"/>
        <v>45172</v>
      </c>
    </row>
    <row r="1236" spans="1:21" x14ac:dyDescent="0.35">
      <c r="A1236" t="s">
        <v>1595</v>
      </c>
      <c r="B1236" t="s">
        <v>1596</v>
      </c>
      <c r="C1236" t="s">
        <v>19</v>
      </c>
      <c r="D1236" t="s">
        <v>205</v>
      </c>
      <c r="E1236" s="1">
        <v>5.79199999999999</v>
      </c>
      <c r="F1236" t="s">
        <v>206</v>
      </c>
      <c r="G1236">
        <v>80</v>
      </c>
      <c r="H1236" s="1">
        <v>4.6335999999999924</v>
      </c>
      <c r="I1236" s="21">
        <v>44802</v>
      </c>
      <c r="J1236" s="21">
        <v>44806</v>
      </c>
      <c r="K1236" s="21">
        <f t="shared" si="91"/>
        <v>44806</v>
      </c>
      <c r="L1236" t="s">
        <v>234</v>
      </c>
      <c r="M1236" t="s">
        <v>146</v>
      </c>
      <c r="N1236" t="s">
        <v>73</v>
      </c>
      <c r="O1236">
        <v>1</v>
      </c>
      <c r="P1236" t="s">
        <v>840</v>
      </c>
      <c r="Q1236" t="s">
        <v>4528</v>
      </c>
      <c r="R1236" t="s">
        <v>4714</v>
      </c>
      <c r="S1236" t="s">
        <v>4718</v>
      </c>
      <c r="T1236">
        <f t="shared" si="88"/>
        <v>4</v>
      </c>
      <c r="U1236" s="21">
        <f t="shared" si="92"/>
        <v>45171</v>
      </c>
    </row>
    <row r="1237" spans="1:21" x14ac:dyDescent="0.35">
      <c r="A1237" t="s">
        <v>2773</v>
      </c>
      <c r="B1237" t="s">
        <v>2774</v>
      </c>
      <c r="C1237" t="s">
        <v>30</v>
      </c>
      <c r="D1237" t="s">
        <v>205</v>
      </c>
      <c r="E1237" s="1">
        <v>9.1560000000000006</v>
      </c>
      <c r="F1237" t="s">
        <v>206</v>
      </c>
      <c r="G1237">
        <v>80</v>
      </c>
      <c r="H1237" s="1">
        <v>7.3248000000000006</v>
      </c>
      <c r="I1237" s="21">
        <v>44801</v>
      </c>
      <c r="J1237" s="21">
        <v>44805</v>
      </c>
      <c r="K1237" s="21">
        <f t="shared" si="91"/>
        <v>44805</v>
      </c>
      <c r="L1237" t="s">
        <v>238</v>
      </c>
      <c r="M1237" t="s">
        <v>97</v>
      </c>
      <c r="N1237" t="s">
        <v>68</v>
      </c>
      <c r="O1237">
        <v>1</v>
      </c>
      <c r="P1237" t="s">
        <v>2775</v>
      </c>
      <c r="Q1237" t="s">
        <v>4729</v>
      </c>
      <c r="R1237" t="s">
        <v>4726</v>
      </c>
      <c r="S1237" t="s">
        <v>4717</v>
      </c>
      <c r="T1237">
        <f t="shared" si="88"/>
        <v>4</v>
      </c>
      <c r="U1237" s="21">
        <f t="shared" si="92"/>
        <v>45170</v>
      </c>
    </row>
    <row r="1238" spans="1:21" x14ac:dyDescent="0.35">
      <c r="A1238" t="s">
        <v>3822</v>
      </c>
      <c r="B1238" t="s">
        <v>3823</v>
      </c>
      <c r="C1238" t="s">
        <v>30</v>
      </c>
      <c r="D1238" t="s">
        <v>205</v>
      </c>
      <c r="E1238" s="1">
        <v>51.98</v>
      </c>
      <c r="F1238" t="s">
        <v>206</v>
      </c>
      <c r="G1238">
        <v>80</v>
      </c>
      <c r="H1238" s="1">
        <v>41.584000000000003</v>
      </c>
      <c r="I1238" s="21">
        <v>44801</v>
      </c>
      <c r="J1238" s="21">
        <v>44805</v>
      </c>
      <c r="K1238" s="21">
        <f t="shared" si="91"/>
        <v>44805</v>
      </c>
      <c r="L1238" t="s">
        <v>220</v>
      </c>
      <c r="M1238" t="s">
        <v>82</v>
      </c>
      <c r="N1238" t="s">
        <v>47</v>
      </c>
      <c r="O1238">
        <v>1</v>
      </c>
      <c r="P1238" t="s">
        <v>3824</v>
      </c>
      <c r="Q1238" t="s">
        <v>4697</v>
      </c>
      <c r="R1238" t="s">
        <v>4726</v>
      </c>
      <c r="S1238" t="s">
        <v>4717</v>
      </c>
      <c r="T1238">
        <f t="shared" si="88"/>
        <v>4</v>
      </c>
      <c r="U1238" s="21">
        <f t="shared" si="92"/>
        <v>45170</v>
      </c>
    </row>
    <row r="1239" spans="1:21" x14ac:dyDescent="0.35">
      <c r="A1239" t="s">
        <v>2771</v>
      </c>
      <c r="B1239" t="s">
        <v>2772</v>
      </c>
      <c r="C1239" t="s">
        <v>19</v>
      </c>
      <c r="D1239" t="s">
        <v>205</v>
      </c>
      <c r="E1239" s="1">
        <v>40.256</v>
      </c>
      <c r="F1239" t="s">
        <v>206</v>
      </c>
      <c r="G1239">
        <v>80</v>
      </c>
      <c r="H1239" s="1">
        <v>32.204799999999999</v>
      </c>
      <c r="I1239" s="21">
        <v>44798</v>
      </c>
      <c r="J1239" s="21">
        <v>44800</v>
      </c>
      <c r="K1239" s="21">
        <f t="shared" si="91"/>
        <v>44800</v>
      </c>
      <c r="L1239" t="s">
        <v>220</v>
      </c>
      <c r="M1239" t="s">
        <v>97</v>
      </c>
      <c r="N1239" t="s">
        <v>68</v>
      </c>
      <c r="O1239">
        <v>1</v>
      </c>
      <c r="P1239" t="s">
        <v>2248</v>
      </c>
      <c r="Q1239" t="s">
        <v>4603</v>
      </c>
      <c r="R1239" t="s">
        <v>4721</v>
      </c>
      <c r="S1239" t="s">
        <v>4718</v>
      </c>
      <c r="T1239">
        <f t="shared" si="88"/>
        <v>2</v>
      </c>
      <c r="U1239" s="21">
        <f t="shared" si="92"/>
        <v>45165</v>
      </c>
    </row>
    <row r="1240" spans="1:21" x14ac:dyDescent="0.35">
      <c r="A1240" t="s">
        <v>1592</v>
      </c>
      <c r="B1240" t="s">
        <v>1593</v>
      </c>
      <c r="C1240" t="s">
        <v>30</v>
      </c>
      <c r="D1240" t="s">
        <v>212</v>
      </c>
      <c r="E1240" s="1">
        <v>364.70400000000001</v>
      </c>
      <c r="F1240" t="s">
        <v>206</v>
      </c>
      <c r="G1240">
        <v>100</v>
      </c>
      <c r="H1240" s="1">
        <v>364.70400000000001</v>
      </c>
      <c r="I1240" s="21">
        <v>44798</v>
      </c>
      <c r="J1240" s="21">
        <v>44802</v>
      </c>
      <c r="K1240" s="21">
        <f t="shared" si="91"/>
        <v>44802</v>
      </c>
      <c r="L1240" t="s">
        <v>220</v>
      </c>
      <c r="M1240" t="s">
        <v>146</v>
      </c>
      <c r="N1240" t="s">
        <v>73</v>
      </c>
      <c r="O1240">
        <v>1</v>
      </c>
      <c r="P1240" t="s">
        <v>1594</v>
      </c>
      <c r="Q1240" t="s">
        <v>4533</v>
      </c>
      <c r="R1240" t="s">
        <v>4721</v>
      </c>
      <c r="S1240" t="s">
        <v>4718</v>
      </c>
      <c r="T1240">
        <f t="shared" si="88"/>
        <v>4</v>
      </c>
      <c r="U1240" s="21">
        <f t="shared" si="92"/>
        <v>45167</v>
      </c>
    </row>
    <row r="1241" spans="1:21" x14ac:dyDescent="0.35">
      <c r="A1241" t="s">
        <v>1589</v>
      </c>
      <c r="B1241" t="s">
        <v>1590</v>
      </c>
      <c r="C1241" t="s">
        <v>30</v>
      </c>
      <c r="D1241" t="s">
        <v>205</v>
      </c>
      <c r="E1241" s="1">
        <v>82.367999999999896</v>
      </c>
      <c r="F1241" t="s">
        <v>206</v>
      </c>
      <c r="G1241">
        <v>80</v>
      </c>
      <c r="H1241" s="1">
        <v>65.894399999999919</v>
      </c>
      <c r="I1241" s="21">
        <v>44796</v>
      </c>
      <c r="J1241" s="21">
        <v>44799</v>
      </c>
      <c r="K1241" s="21">
        <f t="shared" si="91"/>
        <v>44799</v>
      </c>
      <c r="L1241" t="s">
        <v>234</v>
      </c>
      <c r="M1241" t="s">
        <v>146</v>
      </c>
      <c r="N1241" t="s">
        <v>73</v>
      </c>
      <c r="O1241">
        <v>1</v>
      </c>
      <c r="P1241" t="s">
        <v>1591</v>
      </c>
      <c r="Q1241" t="s">
        <v>4545</v>
      </c>
      <c r="R1241" t="s">
        <v>4723</v>
      </c>
      <c r="S1241" t="s">
        <v>4718</v>
      </c>
      <c r="T1241">
        <f t="shared" si="88"/>
        <v>3</v>
      </c>
      <c r="U1241" s="21">
        <f t="shared" si="92"/>
        <v>45164</v>
      </c>
    </row>
    <row r="1242" spans="1:21" x14ac:dyDescent="0.35">
      <c r="A1242" t="s">
        <v>1587</v>
      </c>
      <c r="B1242" t="s">
        <v>1588</v>
      </c>
      <c r="C1242" t="s">
        <v>30</v>
      </c>
      <c r="D1242" t="s">
        <v>212</v>
      </c>
      <c r="E1242" s="1">
        <v>9.5679999999999996</v>
      </c>
      <c r="F1242" t="s">
        <v>206</v>
      </c>
      <c r="G1242">
        <v>100</v>
      </c>
      <c r="H1242" s="1">
        <v>9.5679999999999996</v>
      </c>
      <c r="I1242" s="21">
        <v>44796</v>
      </c>
      <c r="J1242" s="21">
        <v>44800</v>
      </c>
      <c r="K1242" s="21">
        <f t="shared" si="91"/>
        <v>44800</v>
      </c>
      <c r="L1242" t="s">
        <v>213</v>
      </c>
      <c r="M1242" t="s">
        <v>97</v>
      </c>
      <c r="N1242" t="s">
        <v>68</v>
      </c>
      <c r="O1242">
        <v>1</v>
      </c>
      <c r="P1242" t="s">
        <v>759</v>
      </c>
      <c r="Q1242" t="s">
        <v>4519</v>
      </c>
      <c r="R1242" t="s">
        <v>4726</v>
      </c>
      <c r="S1242" t="s">
        <v>4717</v>
      </c>
      <c r="T1242">
        <f t="shared" si="88"/>
        <v>4</v>
      </c>
      <c r="U1242" s="21">
        <f t="shared" si="92"/>
        <v>45165</v>
      </c>
    </row>
    <row r="1243" spans="1:21" x14ac:dyDescent="0.35">
      <c r="A1243" t="s">
        <v>3672</v>
      </c>
      <c r="B1243" t="s">
        <v>3673</v>
      </c>
      <c r="C1243" t="s">
        <v>19</v>
      </c>
      <c r="D1243" t="s">
        <v>21</v>
      </c>
      <c r="E1243" s="1">
        <v>632.14800000000002</v>
      </c>
      <c r="F1243" t="s">
        <v>22</v>
      </c>
      <c r="G1243">
        <v>0</v>
      </c>
      <c r="H1243" s="1">
        <v>0</v>
      </c>
      <c r="I1243" s="21">
        <v>44430</v>
      </c>
      <c r="J1243" s="21">
        <v>44432</v>
      </c>
      <c r="K1243" s="21">
        <v>44432</v>
      </c>
      <c r="L1243" t="s">
        <v>45</v>
      </c>
      <c r="M1243" t="s">
        <v>33</v>
      </c>
      <c r="N1243" t="s">
        <v>34</v>
      </c>
      <c r="O1243">
        <v>1</v>
      </c>
      <c r="P1243" t="s">
        <v>3369</v>
      </c>
      <c r="Q1243" t="s">
        <v>4729</v>
      </c>
      <c r="R1243" t="s">
        <v>4714</v>
      </c>
      <c r="S1243" t="s">
        <v>4718</v>
      </c>
      <c r="T1243">
        <f t="shared" si="88"/>
        <v>2</v>
      </c>
      <c r="U1243" s="21">
        <f>J1243</f>
        <v>44432</v>
      </c>
    </row>
    <row r="1244" spans="1:21" x14ac:dyDescent="0.35">
      <c r="A1244" t="s">
        <v>1584</v>
      </c>
      <c r="B1244" t="s">
        <v>1585</v>
      </c>
      <c r="C1244" t="s">
        <v>30</v>
      </c>
      <c r="D1244" t="s">
        <v>205</v>
      </c>
      <c r="E1244" s="1">
        <v>6.2080000000000002</v>
      </c>
      <c r="F1244" t="s">
        <v>206</v>
      </c>
      <c r="G1244">
        <v>80</v>
      </c>
      <c r="H1244" s="1">
        <v>4.9664000000000001</v>
      </c>
      <c r="I1244" s="21">
        <v>44791</v>
      </c>
      <c r="J1244" s="21">
        <v>44795</v>
      </c>
      <c r="K1244" s="21">
        <f t="shared" ref="K1244:K1255" si="93">J1244</f>
        <v>44795</v>
      </c>
      <c r="L1244" t="s">
        <v>213</v>
      </c>
      <c r="M1244" t="s">
        <v>97</v>
      </c>
      <c r="N1244" t="s">
        <v>68</v>
      </c>
      <c r="O1244">
        <v>1</v>
      </c>
      <c r="P1244" t="s">
        <v>1586</v>
      </c>
      <c r="Q1244" t="s">
        <v>4729</v>
      </c>
      <c r="R1244" t="s">
        <v>4512</v>
      </c>
      <c r="S1244" t="s">
        <v>4717</v>
      </c>
      <c r="T1244">
        <f t="shared" si="88"/>
        <v>4</v>
      </c>
      <c r="U1244" s="21">
        <f t="shared" ref="U1244:U1255" si="94">J1244+365</f>
        <v>45160</v>
      </c>
    </row>
    <row r="1245" spans="1:21" x14ac:dyDescent="0.35">
      <c r="A1245" t="s">
        <v>3820</v>
      </c>
      <c r="B1245" t="s">
        <v>3821</v>
      </c>
      <c r="C1245" t="s">
        <v>19</v>
      </c>
      <c r="D1245" t="s">
        <v>205</v>
      </c>
      <c r="E1245" s="1">
        <v>225.57599999999999</v>
      </c>
      <c r="F1245" t="s">
        <v>206</v>
      </c>
      <c r="G1245">
        <v>80</v>
      </c>
      <c r="H1245" s="1">
        <v>180.46080000000001</v>
      </c>
      <c r="I1245" s="21">
        <v>44789</v>
      </c>
      <c r="J1245" s="21">
        <v>44793</v>
      </c>
      <c r="K1245" s="21">
        <f t="shared" si="93"/>
        <v>44793</v>
      </c>
      <c r="L1245" t="s">
        <v>207</v>
      </c>
      <c r="M1245" t="s">
        <v>146</v>
      </c>
      <c r="N1245" t="s">
        <v>73</v>
      </c>
      <c r="O1245">
        <v>1</v>
      </c>
      <c r="P1245" t="s">
        <v>3739</v>
      </c>
      <c r="Q1245" t="s">
        <v>4696</v>
      </c>
      <c r="R1245" t="s">
        <v>4711</v>
      </c>
      <c r="S1245" t="s">
        <v>4719</v>
      </c>
      <c r="T1245">
        <f t="shared" si="88"/>
        <v>4</v>
      </c>
      <c r="U1245" s="21">
        <f t="shared" si="94"/>
        <v>45158</v>
      </c>
    </row>
    <row r="1246" spans="1:21" x14ac:dyDescent="0.35">
      <c r="A1246" t="s">
        <v>368</v>
      </c>
      <c r="B1246" t="s">
        <v>369</v>
      </c>
      <c r="C1246" t="s">
        <v>30</v>
      </c>
      <c r="D1246" t="s">
        <v>205</v>
      </c>
      <c r="E1246" s="1">
        <v>28.91</v>
      </c>
      <c r="F1246" t="s">
        <v>206</v>
      </c>
      <c r="G1246">
        <v>80</v>
      </c>
      <c r="H1246" s="1">
        <v>23.128</v>
      </c>
      <c r="I1246" s="21">
        <v>44787</v>
      </c>
      <c r="J1246" s="21">
        <v>44794</v>
      </c>
      <c r="K1246" s="21">
        <f t="shared" si="93"/>
        <v>44794</v>
      </c>
      <c r="L1246" t="s">
        <v>213</v>
      </c>
      <c r="M1246" t="s">
        <v>97</v>
      </c>
      <c r="N1246" t="s">
        <v>68</v>
      </c>
      <c r="O1246">
        <v>1</v>
      </c>
      <c r="P1246" t="s">
        <v>371</v>
      </c>
      <c r="Q1246" t="s">
        <v>4517</v>
      </c>
      <c r="R1246" t="s">
        <v>4726</v>
      </c>
      <c r="S1246" t="s">
        <v>4717</v>
      </c>
      <c r="T1246">
        <f t="shared" si="88"/>
        <v>7</v>
      </c>
      <c r="U1246" s="21">
        <f t="shared" si="94"/>
        <v>45159</v>
      </c>
    </row>
    <row r="1247" spans="1:21" x14ac:dyDescent="0.35">
      <c r="A1247" t="s">
        <v>2767</v>
      </c>
      <c r="B1247" t="s">
        <v>2768</v>
      </c>
      <c r="C1247" t="s">
        <v>19</v>
      </c>
      <c r="D1247" t="s">
        <v>212</v>
      </c>
      <c r="E1247" s="1">
        <v>8.016</v>
      </c>
      <c r="F1247" t="s">
        <v>206</v>
      </c>
      <c r="G1247">
        <v>100</v>
      </c>
      <c r="H1247" s="1">
        <v>8.016</v>
      </c>
      <c r="I1247" s="21">
        <v>44787</v>
      </c>
      <c r="J1247" s="21">
        <v>44789</v>
      </c>
      <c r="K1247" s="21">
        <f t="shared" si="93"/>
        <v>44789</v>
      </c>
      <c r="L1247" t="s">
        <v>220</v>
      </c>
      <c r="M1247" t="s">
        <v>33</v>
      </c>
      <c r="N1247" t="s">
        <v>34</v>
      </c>
      <c r="O1247">
        <v>1</v>
      </c>
      <c r="P1247" t="s">
        <v>1689</v>
      </c>
      <c r="Q1247" t="s">
        <v>4517</v>
      </c>
      <c r="R1247" t="s">
        <v>4726</v>
      </c>
      <c r="S1247" t="s">
        <v>4717</v>
      </c>
      <c r="T1247">
        <f t="shared" si="88"/>
        <v>2</v>
      </c>
      <c r="U1247" s="21">
        <f t="shared" si="94"/>
        <v>45154</v>
      </c>
    </row>
    <row r="1248" spans="1:21" x14ac:dyDescent="0.35">
      <c r="A1248" t="s">
        <v>2769</v>
      </c>
      <c r="B1248" t="s">
        <v>2770</v>
      </c>
      <c r="C1248" t="s">
        <v>19</v>
      </c>
      <c r="D1248" t="s">
        <v>212</v>
      </c>
      <c r="E1248" s="1">
        <v>56.3</v>
      </c>
      <c r="F1248" t="s">
        <v>206</v>
      </c>
      <c r="G1248">
        <v>100</v>
      </c>
      <c r="H1248" s="1">
        <v>56.3</v>
      </c>
      <c r="I1248" s="21">
        <v>44787</v>
      </c>
      <c r="J1248" s="21">
        <v>44791</v>
      </c>
      <c r="K1248" s="21">
        <f t="shared" si="93"/>
        <v>44791</v>
      </c>
      <c r="L1248" t="s">
        <v>238</v>
      </c>
      <c r="M1248" t="s">
        <v>40</v>
      </c>
      <c r="N1248" t="s">
        <v>34</v>
      </c>
      <c r="O1248">
        <v>1</v>
      </c>
      <c r="P1248" t="s">
        <v>1789</v>
      </c>
      <c r="Q1248" t="s">
        <v>4531</v>
      </c>
      <c r="R1248" t="s">
        <v>4726</v>
      </c>
      <c r="S1248" t="s">
        <v>4717</v>
      </c>
      <c r="T1248">
        <f t="shared" si="88"/>
        <v>4</v>
      </c>
      <c r="U1248" s="21">
        <f t="shared" si="94"/>
        <v>45156</v>
      </c>
    </row>
    <row r="1249" spans="1:21" x14ac:dyDescent="0.35">
      <c r="A1249" t="s">
        <v>372</v>
      </c>
      <c r="B1249" t="s">
        <v>373</v>
      </c>
      <c r="C1249" t="s">
        <v>30</v>
      </c>
      <c r="D1249" t="s">
        <v>212</v>
      </c>
      <c r="E1249" s="1">
        <v>67.98</v>
      </c>
      <c r="F1249" t="s">
        <v>206</v>
      </c>
      <c r="G1249">
        <v>100</v>
      </c>
      <c r="H1249" s="1">
        <v>67.98</v>
      </c>
      <c r="I1249" s="21">
        <v>44787</v>
      </c>
      <c r="J1249" s="21">
        <v>44790</v>
      </c>
      <c r="K1249" s="21">
        <f t="shared" si="93"/>
        <v>44790</v>
      </c>
      <c r="L1249" t="s">
        <v>238</v>
      </c>
      <c r="M1249" t="s">
        <v>25</v>
      </c>
      <c r="N1249" t="s">
        <v>26</v>
      </c>
      <c r="O1249">
        <v>1</v>
      </c>
      <c r="P1249" t="s">
        <v>374</v>
      </c>
      <c r="Q1249" t="s">
        <v>4558</v>
      </c>
      <c r="R1249" t="s">
        <v>4713</v>
      </c>
      <c r="S1249" t="s">
        <v>4719</v>
      </c>
      <c r="T1249">
        <f t="shared" si="88"/>
        <v>3</v>
      </c>
      <c r="U1249" s="21">
        <f t="shared" si="94"/>
        <v>45155</v>
      </c>
    </row>
    <row r="1250" spans="1:21" x14ac:dyDescent="0.35">
      <c r="A1250" t="s">
        <v>1581</v>
      </c>
      <c r="B1250" t="s">
        <v>1582</v>
      </c>
      <c r="C1250" t="s">
        <v>19</v>
      </c>
      <c r="D1250" t="s">
        <v>212</v>
      </c>
      <c r="E1250" s="1">
        <v>12.96</v>
      </c>
      <c r="F1250" t="s">
        <v>206</v>
      </c>
      <c r="G1250">
        <v>100</v>
      </c>
      <c r="H1250" s="1">
        <v>12.96</v>
      </c>
      <c r="I1250" s="21">
        <v>44787</v>
      </c>
      <c r="J1250" s="21">
        <v>44787</v>
      </c>
      <c r="K1250" s="21">
        <f t="shared" si="93"/>
        <v>44787</v>
      </c>
      <c r="L1250" t="s">
        <v>213</v>
      </c>
      <c r="M1250" t="s">
        <v>72</v>
      </c>
      <c r="N1250" t="s">
        <v>73</v>
      </c>
      <c r="O1250">
        <v>1</v>
      </c>
      <c r="P1250" t="s">
        <v>1583</v>
      </c>
      <c r="Q1250" t="s">
        <v>4519</v>
      </c>
      <c r="R1250" t="s">
        <v>4726</v>
      </c>
      <c r="S1250" t="s">
        <v>4717</v>
      </c>
      <c r="T1250">
        <f t="shared" si="88"/>
        <v>0</v>
      </c>
      <c r="U1250" s="21">
        <f t="shared" si="94"/>
        <v>45152</v>
      </c>
    </row>
    <row r="1251" spans="1:21" x14ac:dyDescent="0.35">
      <c r="A1251" t="s">
        <v>1578</v>
      </c>
      <c r="B1251" t="s">
        <v>1579</v>
      </c>
      <c r="C1251" t="s">
        <v>19</v>
      </c>
      <c r="D1251" t="s">
        <v>212</v>
      </c>
      <c r="E1251" s="1">
        <v>25.92</v>
      </c>
      <c r="F1251" t="s">
        <v>206</v>
      </c>
      <c r="G1251">
        <v>100</v>
      </c>
      <c r="H1251" s="1">
        <v>25.92</v>
      </c>
      <c r="I1251" s="21">
        <v>44787</v>
      </c>
      <c r="J1251" s="21">
        <v>44791</v>
      </c>
      <c r="K1251" s="21">
        <f t="shared" si="93"/>
        <v>44791</v>
      </c>
      <c r="L1251" t="s">
        <v>234</v>
      </c>
      <c r="M1251" t="s">
        <v>40</v>
      </c>
      <c r="N1251" t="s">
        <v>34</v>
      </c>
      <c r="O1251">
        <v>1</v>
      </c>
      <c r="P1251" t="s">
        <v>1580</v>
      </c>
      <c r="Q1251" t="s">
        <v>4519</v>
      </c>
      <c r="R1251" t="s">
        <v>4726</v>
      </c>
      <c r="S1251" t="s">
        <v>4717</v>
      </c>
      <c r="T1251">
        <f t="shared" si="88"/>
        <v>4</v>
      </c>
      <c r="U1251" s="21">
        <f t="shared" si="94"/>
        <v>45156</v>
      </c>
    </row>
    <row r="1252" spans="1:21" x14ac:dyDescent="0.35">
      <c r="A1252" t="s">
        <v>2765</v>
      </c>
      <c r="B1252" t="s">
        <v>2766</v>
      </c>
      <c r="C1252" t="s">
        <v>30</v>
      </c>
      <c r="D1252" t="s">
        <v>212</v>
      </c>
      <c r="E1252" s="1">
        <v>41.9</v>
      </c>
      <c r="F1252" t="s">
        <v>206</v>
      </c>
      <c r="G1252">
        <v>100</v>
      </c>
      <c r="H1252" s="1">
        <v>41.9</v>
      </c>
      <c r="I1252" s="21">
        <v>44785</v>
      </c>
      <c r="J1252" s="21">
        <v>44790</v>
      </c>
      <c r="K1252" s="21">
        <f t="shared" si="93"/>
        <v>44790</v>
      </c>
      <c r="L1252" t="s">
        <v>213</v>
      </c>
      <c r="M1252" t="s">
        <v>33</v>
      </c>
      <c r="N1252" t="s">
        <v>34</v>
      </c>
      <c r="O1252">
        <v>1</v>
      </c>
      <c r="P1252" t="s">
        <v>2756</v>
      </c>
      <c r="Q1252" t="s">
        <v>4729</v>
      </c>
      <c r="R1252" t="s">
        <v>4711</v>
      </c>
      <c r="S1252" t="s">
        <v>4719</v>
      </c>
      <c r="T1252">
        <f t="shared" si="88"/>
        <v>5</v>
      </c>
      <c r="U1252" s="21">
        <f t="shared" si="94"/>
        <v>45155</v>
      </c>
    </row>
    <row r="1253" spans="1:21" x14ac:dyDescent="0.35">
      <c r="A1253" t="s">
        <v>2762</v>
      </c>
      <c r="B1253" t="s">
        <v>2763</v>
      </c>
      <c r="C1253" t="s">
        <v>19</v>
      </c>
      <c r="D1253" t="s">
        <v>212</v>
      </c>
      <c r="E1253" s="1">
        <v>151.96</v>
      </c>
      <c r="F1253" t="s">
        <v>206</v>
      </c>
      <c r="G1253">
        <v>100</v>
      </c>
      <c r="H1253" s="1">
        <v>151.96</v>
      </c>
      <c r="I1253" s="21">
        <v>44784</v>
      </c>
      <c r="J1253" s="21">
        <v>44788</v>
      </c>
      <c r="K1253" s="21">
        <f t="shared" si="93"/>
        <v>44788</v>
      </c>
      <c r="L1253" t="s">
        <v>234</v>
      </c>
      <c r="M1253" t="s">
        <v>40</v>
      </c>
      <c r="N1253" t="s">
        <v>34</v>
      </c>
      <c r="O1253">
        <v>1</v>
      </c>
      <c r="P1253" t="s">
        <v>2764</v>
      </c>
      <c r="Q1253" t="s">
        <v>4778</v>
      </c>
      <c r="R1253" t="s">
        <v>4713</v>
      </c>
      <c r="S1253" t="s">
        <v>4719</v>
      </c>
      <c r="T1253">
        <f t="shared" si="88"/>
        <v>4</v>
      </c>
      <c r="U1253" s="21">
        <f t="shared" si="94"/>
        <v>45153</v>
      </c>
    </row>
    <row r="1254" spans="1:21" x14ac:dyDescent="0.35">
      <c r="A1254" t="s">
        <v>1575</v>
      </c>
      <c r="B1254" t="s">
        <v>1576</v>
      </c>
      <c r="C1254" t="s">
        <v>30</v>
      </c>
      <c r="D1254" t="s">
        <v>212</v>
      </c>
      <c r="E1254" s="1">
        <v>16.239999999999998</v>
      </c>
      <c r="F1254" t="s">
        <v>206</v>
      </c>
      <c r="G1254">
        <v>100</v>
      </c>
      <c r="H1254" s="1">
        <v>16.239999999999998</v>
      </c>
      <c r="I1254" s="21">
        <v>44783</v>
      </c>
      <c r="J1254" s="21">
        <v>44788</v>
      </c>
      <c r="K1254" s="21">
        <f t="shared" si="93"/>
        <v>44788</v>
      </c>
      <c r="L1254" t="s">
        <v>234</v>
      </c>
      <c r="M1254" t="s">
        <v>46</v>
      </c>
      <c r="N1254" t="s">
        <v>47</v>
      </c>
      <c r="O1254">
        <v>1</v>
      </c>
      <c r="P1254" t="s">
        <v>1577</v>
      </c>
      <c r="Q1254" t="s">
        <v>4526</v>
      </c>
      <c r="R1254" t="s">
        <v>4777</v>
      </c>
      <c r="S1254" t="s">
        <v>4718</v>
      </c>
      <c r="T1254">
        <f t="shared" si="88"/>
        <v>5</v>
      </c>
      <c r="U1254" s="21">
        <f t="shared" si="94"/>
        <v>45153</v>
      </c>
    </row>
    <row r="1255" spans="1:21" x14ac:dyDescent="0.35">
      <c r="A1255" t="s">
        <v>3818</v>
      </c>
      <c r="B1255" t="s">
        <v>3819</v>
      </c>
      <c r="C1255" t="s">
        <v>19</v>
      </c>
      <c r="D1255" t="s">
        <v>205</v>
      </c>
      <c r="E1255" s="1">
        <v>167.76</v>
      </c>
      <c r="F1255" t="s">
        <v>206</v>
      </c>
      <c r="G1255">
        <v>80</v>
      </c>
      <c r="H1255" s="1">
        <v>134.208</v>
      </c>
      <c r="I1255" s="21">
        <v>44783</v>
      </c>
      <c r="J1255" s="21">
        <v>44787</v>
      </c>
      <c r="K1255" s="21">
        <f t="shared" si="93"/>
        <v>44787</v>
      </c>
      <c r="L1255" t="s">
        <v>234</v>
      </c>
      <c r="M1255" t="s">
        <v>146</v>
      </c>
      <c r="N1255" t="s">
        <v>73</v>
      </c>
      <c r="O1255">
        <v>1</v>
      </c>
      <c r="P1255" t="s">
        <v>2493</v>
      </c>
      <c r="Q1255" t="s">
        <v>4517</v>
      </c>
      <c r="R1255" t="s">
        <v>4726</v>
      </c>
      <c r="S1255" t="s">
        <v>4717</v>
      </c>
      <c r="T1255">
        <f t="shared" si="88"/>
        <v>4</v>
      </c>
      <c r="U1255" s="21">
        <f t="shared" si="94"/>
        <v>45152</v>
      </c>
    </row>
    <row r="1256" spans="1:21" x14ac:dyDescent="0.35">
      <c r="A1256" t="s">
        <v>1378</v>
      </c>
      <c r="B1256" t="s">
        <v>1379</v>
      </c>
      <c r="C1256" t="s">
        <v>30</v>
      </c>
      <c r="D1256" t="s">
        <v>21</v>
      </c>
      <c r="E1256" s="1">
        <v>3385.614</v>
      </c>
      <c r="F1256" t="s">
        <v>22</v>
      </c>
      <c r="G1256">
        <v>0</v>
      </c>
      <c r="H1256" s="1">
        <v>0</v>
      </c>
      <c r="I1256" s="21">
        <v>44418</v>
      </c>
      <c r="J1256" s="21">
        <v>44421</v>
      </c>
      <c r="K1256" s="21">
        <v>44421</v>
      </c>
      <c r="L1256" t="s">
        <v>53</v>
      </c>
      <c r="M1256" t="s">
        <v>46</v>
      </c>
      <c r="N1256" t="s">
        <v>47</v>
      </c>
      <c r="O1256">
        <v>1</v>
      </c>
      <c r="P1256" t="s">
        <v>670</v>
      </c>
      <c r="Q1256" t="s">
        <v>4585</v>
      </c>
      <c r="R1256" t="s">
        <v>4711</v>
      </c>
      <c r="S1256" t="s">
        <v>4719</v>
      </c>
      <c r="T1256">
        <f t="shared" si="88"/>
        <v>3</v>
      </c>
      <c r="U1256" s="21">
        <f>J1256</f>
        <v>44421</v>
      </c>
    </row>
    <row r="1257" spans="1:21" x14ac:dyDescent="0.35">
      <c r="A1257" t="s">
        <v>365</v>
      </c>
      <c r="B1257" t="s">
        <v>366</v>
      </c>
      <c r="C1257" t="s">
        <v>30</v>
      </c>
      <c r="D1257" t="s">
        <v>212</v>
      </c>
      <c r="E1257" s="1">
        <v>535.41</v>
      </c>
      <c r="F1257" t="s">
        <v>206</v>
      </c>
      <c r="G1257">
        <v>100</v>
      </c>
      <c r="H1257" s="1">
        <v>535.41</v>
      </c>
      <c r="I1257" s="21">
        <v>44782</v>
      </c>
      <c r="J1257" s="21">
        <v>44786</v>
      </c>
      <c r="K1257" s="21">
        <f t="shared" ref="K1257:K1261" si="95">J1257</f>
        <v>44786</v>
      </c>
      <c r="L1257" t="s">
        <v>207</v>
      </c>
      <c r="M1257" t="s">
        <v>82</v>
      </c>
      <c r="N1257" t="s">
        <v>47</v>
      </c>
      <c r="O1257">
        <v>1</v>
      </c>
      <c r="P1257" t="s">
        <v>367</v>
      </c>
      <c r="Q1257" t="s">
        <v>4729</v>
      </c>
      <c r="R1257" t="s">
        <v>4709</v>
      </c>
      <c r="S1257" t="s">
        <v>4717</v>
      </c>
      <c r="T1257">
        <f t="shared" si="88"/>
        <v>4</v>
      </c>
      <c r="U1257" s="21">
        <f t="shared" ref="U1257:U1261" si="96">J1257+365</f>
        <v>45151</v>
      </c>
    </row>
    <row r="1258" spans="1:21" x14ac:dyDescent="0.35">
      <c r="A1258" t="s">
        <v>1568</v>
      </c>
      <c r="B1258" t="s">
        <v>1569</v>
      </c>
      <c r="C1258" t="s">
        <v>30</v>
      </c>
      <c r="D1258" t="s">
        <v>212</v>
      </c>
      <c r="E1258" s="1">
        <v>13.05</v>
      </c>
      <c r="F1258" t="s">
        <v>206</v>
      </c>
      <c r="G1258">
        <v>100</v>
      </c>
      <c r="H1258" s="1">
        <v>13.05</v>
      </c>
      <c r="I1258" s="21">
        <v>44781</v>
      </c>
      <c r="J1258" s="21">
        <v>44785</v>
      </c>
      <c r="K1258" s="21">
        <f t="shared" si="95"/>
        <v>44785</v>
      </c>
      <c r="L1258" t="s">
        <v>248</v>
      </c>
      <c r="M1258" t="s">
        <v>54</v>
      </c>
      <c r="N1258" t="s">
        <v>26</v>
      </c>
      <c r="O1258">
        <v>1</v>
      </c>
      <c r="P1258" t="s">
        <v>1570</v>
      </c>
      <c r="Q1258" t="s">
        <v>4517</v>
      </c>
      <c r="R1258" t="s">
        <v>4726</v>
      </c>
      <c r="S1258" t="s">
        <v>4717</v>
      </c>
      <c r="T1258">
        <f t="shared" si="88"/>
        <v>4</v>
      </c>
      <c r="U1258" s="21">
        <f t="shared" si="96"/>
        <v>45150</v>
      </c>
    </row>
    <row r="1259" spans="1:21" x14ac:dyDescent="0.35">
      <c r="A1259" t="s">
        <v>1571</v>
      </c>
      <c r="B1259" t="s">
        <v>1572</v>
      </c>
      <c r="C1259" t="s">
        <v>30</v>
      </c>
      <c r="D1259" t="s">
        <v>212</v>
      </c>
      <c r="E1259" s="1">
        <v>186.69</v>
      </c>
      <c r="F1259" t="s">
        <v>206</v>
      </c>
      <c r="G1259">
        <v>100</v>
      </c>
      <c r="H1259" s="1">
        <v>186.69</v>
      </c>
      <c r="I1259" s="21">
        <v>44781</v>
      </c>
      <c r="J1259" s="21">
        <v>44786</v>
      </c>
      <c r="K1259" s="21">
        <f t="shared" si="95"/>
        <v>44786</v>
      </c>
      <c r="L1259" t="s">
        <v>207</v>
      </c>
      <c r="M1259" t="s">
        <v>25</v>
      </c>
      <c r="N1259" t="s">
        <v>26</v>
      </c>
      <c r="O1259">
        <v>1</v>
      </c>
      <c r="P1259" t="s">
        <v>377</v>
      </c>
      <c r="Q1259" t="s">
        <v>4559</v>
      </c>
      <c r="R1259" t="s">
        <v>4512</v>
      </c>
      <c r="S1259" t="s">
        <v>4717</v>
      </c>
      <c r="T1259">
        <f t="shared" si="88"/>
        <v>5</v>
      </c>
      <c r="U1259" s="21">
        <f t="shared" si="96"/>
        <v>45151</v>
      </c>
    </row>
    <row r="1260" spans="1:21" x14ac:dyDescent="0.35">
      <c r="A1260" t="s">
        <v>1573</v>
      </c>
      <c r="B1260" t="s">
        <v>1574</v>
      </c>
      <c r="C1260" t="s">
        <v>30</v>
      </c>
      <c r="D1260" t="s">
        <v>212</v>
      </c>
      <c r="E1260" s="1">
        <v>121.792</v>
      </c>
      <c r="F1260" t="s">
        <v>206</v>
      </c>
      <c r="G1260">
        <v>100</v>
      </c>
      <c r="H1260" s="1">
        <v>121.792</v>
      </c>
      <c r="I1260" s="21">
        <v>44781</v>
      </c>
      <c r="J1260" s="21">
        <v>44786</v>
      </c>
      <c r="K1260" s="21">
        <f t="shared" si="95"/>
        <v>44786</v>
      </c>
      <c r="L1260" t="s">
        <v>207</v>
      </c>
      <c r="M1260" t="s">
        <v>97</v>
      </c>
      <c r="N1260" t="s">
        <v>68</v>
      </c>
      <c r="O1260">
        <v>1</v>
      </c>
      <c r="P1260" t="s">
        <v>1443</v>
      </c>
      <c r="Q1260" t="s">
        <v>4560</v>
      </c>
      <c r="R1260" t="s">
        <v>4721</v>
      </c>
      <c r="S1260" t="s">
        <v>4717</v>
      </c>
      <c r="T1260">
        <f t="shared" si="88"/>
        <v>5</v>
      </c>
      <c r="U1260" s="21">
        <f t="shared" si="96"/>
        <v>45151</v>
      </c>
    </row>
    <row r="1261" spans="1:21" x14ac:dyDescent="0.35">
      <c r="A1261" t="s">
        <v>2759</v>
      </c>
      <c r="B1261" t="s">
        <v>2760</v>
      </c>
      <c r="C1261" t="s">
        <v>30</v>
      </c>
      <c r="D1261" t="s">
        <v>205</v>
      </c>
      <c r="E1261" s="1">
        <v>45.99</v>
      </c>
      <c r="F1261" t="s">
        <v>206</v>
      </c>
      <c r="G1261">
        <v>80</v>
      </c>
      <c r="H1261" s="1">
        <v>36.792000000000002</v>
      </c>
      <c r="I1261" s="21">
        <v>44781</v>
      </c>
      <c r="J1261" s="21">
        <v>44783</v>
      </c>
      <c r="K1261" s="21">
        <f t="shared" si="95"/>
        <v>44783</v>
      </c>
      <c r="L1261" t="s">
        <v>213</v>
      </c>
      <c r="M1261" t="s">
        <v>46</v>
      </c>
      <c r="N1261" t="s">
        <v>47</v>
      </c>
      <c r="O1261">
        <v>1</v>
      </c>
      <c r="P1261" t="s">
        <v>2761</v>
      </c>
      <c r="Q1261" t="s">
        <v>4530</v>
      </c>
      <c r="R1261" t="s">
        <v>4711</v>
      </c>
      <c r="S1261" t="s">
        <v>4719</v>
      </c>
      <c r="T1261">
        <f t="shared" si="88"/>
        <v>2</v>
      </c>
      <c r="U1261" s="21">
        <f t="shared" si="96"/>
        <v>45148</v>
      </c>
    </row>
    <row r="1262" spans="1:21" x14ac:dyDescent="0.35">
      <c r="A1262" t="s">
        <v>1375</v>
      </c>
      <c r="B1262" t="s">
        <v>1376</v>
      </c>
      <c r="C1262" t="s">
        <v>19</v>
      </c>
      <c r="D1262" t="s">
        <v>21</v>
      </c>
      <c r="E1262" s="1">
        <v>241.34</v>
      </c>
      <c r="F1262" t="s">
        <v>22</v>
      </c>
      <c r="G1262">
        <v>0</v>
      </c>
      <c r="H1262" s="1">
        <v>0</v>
      </c>
      <c r="I1262" s="21">
        <v>44416</v>
      </c>
      <c r="J1262" s="21">
        <v>44417</v>
      </c>
      <c r="K1262" s="21">
        <v>44417</v>
      </c>
      <c r="L1262" t="s">
        <v>45</v>
      </c>
      <c r="M1262" t="s">
        <v>25</v>
      </c>
      <c r="N1262" t="s">
        <v>26</v>
      </c>
      <c r="O1262">
        <v>1</v>
      </c>
      <c r="P1262" t="s">
        <v>1377</v>
      </c>
      <c r="Q1262" t="s">
        <v>4515</v>
      </c>
      <c r="R1262" t="s">
        <v>4726</v>
      </c>
      <c r="S1262" t="s">
        <v>4717</v>
      </c>
      <c r="T1262">
        <f t="shared" si="88"/>
        <v>1</v>
      </c>
      <c r="U1262" s="21">
        <f>J1262</f>
        <v>44417</v>
      </c>
    </row>
    <row r="1263" spans="1:21" x14ac:dyDescent="0.35">
      <c r="A1263" t="s">
        <v>3815</v>
      </c>
      <c r="B1263" t="s">
        <v>3816</v>
      </c>
      <c r="C1263" t="s">
        <v>19</v>
      </c>
      <c r="D1263" t="s">
        <v>205</v>
      </c>
      <c r="E1263" s="1">
        <v>722.35199999999998</v>
      </c>
      <c r="F1263" t="s">
        <v>206</v>
      </c>
      <c r="G1263">
        <v>80</v>
      </c>
      <c r="H1263" s="1">
        <v>577.88160000000005</v>
      </c>
      <c r="I1263" s="21">
        <v>44780</v>
      </c>
      <c r="J1263" s="21">
        <v>44782</v>
      </c>
      <c r="K1263" s="21">
        <f t="shared" ref="K1263:K1266" si="97">J1263</f>
        <v>44782</v>
      </c>
      <c r="L1263" t="s">
        <v>234</v>
      </c>
      <c r="M1263" t="s">
        <v>40</v>
      </c>
      <c r="N1263" t="s">
        <v>34</v>
      </c>
      <c r="O1263">
        <v>1</v>
      </c>
      <c r="P1263" t="s">
        <v>3817</v>
      </c>
      <c r="Q1263" t="s">
        <v>4567</v>
      </c>
      <c r="R1263" t="s">
        <v>4714</v>
      </c>
      <c r="S1263" t="s">
        <v>4718</v>
      </c>
      <c r="T1263">
        <f t="shared" si="88"/>
        <v>2</v>
      </c>
      <c r="U1263" s="21">
        <f t="shared" ref="U1263:U1266" si="98">J1263+365</f>
        <v>45147</v>
      </c>
    </row>
    <row r="1264" spans="1:21" x14ac:dyDescent="0.35">
      <c r="A1264" t="s">
        <v>362</v>
      </c>
      <c r="B1264" t="s">
        <v>363</v>
      </c>
      <c r="C1264" t="s">
        <v>30</v>
      </c>
      <c r="D1264" t="s">
        <v>212</v>
      </c>
      <c r="E1264" s="1">
        <v>97.567999999999998</v>
      </c>
      <c r="F1264" t="s">
        <v>206</v>
      </c>
      <c r="G1264">
        <v>100</v>
      </c>
      <c r="H1264" s="1">
        <v>97.567999999999998</v>
      </c>
      <c r="I1264" s="21">
        <v>44776</v>
      </c>
      <c r="J1264" s="21">
        <v>44780</v>
      </c>
      <c r="K1264" s="21">
        <f t="shared" si="97"/>
        <v>44780</v>
      </c>
      <c r="L1264" t="s">
        <v>207</v>
      </c>
      <c r="M1264" t="s">
        <v>67</v>
      </c>
      <c r="N1264" t="s">
        <v>68</v>
      </c>
      <c r="O1264">
        <v>1</v>
      </c>
      <c r="P1264" t="s">
        <v>364</v>
      </c>
      <c r="Q1264" t="s">
        <v>4525</v>
      </c>
      <c r="R1264" t="s">
        <v>4714</v>
      </c>
      <c r="S1264" t="s">
        <v>4718</v>
      </c>
      <c r="T1264">
        <f t="shared" si="88"/>
        <v>4</v>
      </c>
      <c r="U1264" s="21">
        <f t="shared" si="98"/>
        <v>45145</v>
      </c>
    </row>
    <row r="1265" spans="1:21" x14ac:dyDescent="0.35">
      <c r="A1265" t="s">
        <v>3812</v>
      </c>
      <c r="B1265" t="s">
        <v>3813</v>
      </c>
      <c r="C1265" t="s">
        <v>19</v>
      </c>
      <c r="D1265" t="s">
        <v>212</v>
      </c>
      <c r="E1265" s="1">
        <v>122.91</v>
      </c>
      <c r="F1265" t="s">
        <v>206</v>
      </c>
      <c r="G1265">
        <v>100</v>
      </c>
      <c r="H1265" s="1">
        <v>122.91</v>
      </c>
      <c r="I1265" s="21">
        <v>44774</v>
      </c>
      <c r="J1265" s="21">
        <v>44780</v>
      </c>
      <c r="K1265" s="21">
        <f t="shared" si="97"/>
        <v>44780</v>
      </c>
      <c r="L1265" t="s">
        <v>220</v>
      </c>
      <c r="M1265" t="s">
        <v>72</v>
      </c>
      <c r="N1265" t="s">
        <v>73</v>
      </c>
      <c r="O1265">
        <v>1</v>
      </c>
      <c r="P1265" t="s">
        <v>3814</v>
      </c>
      <c r="Q1265" t="s">
        <v>4612</v>
      </c>
      <c r="R1265" t="s">
        <v>4725</v>
      </c>
      <c r="S1265" t="s">
        <v>4718</v>
      </c>
      <c r="T1265">
        <f t="shared" si="88"/>
        <v>6</v>
      </c>
      <c r="U1265" s="21">
        <f t="shared" si="98"/>
        <v>45145</v>
      </c>
    </row>
    <row r="1266" spans="1:21" x14ac:dyDescent="0.35">
      <c r="A1266" t="s">
        <v>3809</v>
      </c>
      <c r="B1266" t="s">
        <v>3810</v>
      </c>
      <c r="C1266" t="s">
        <v>19</v>
      </c>
      <c r="D1266" t="s">
        <v>212</v>
      </c>
      <c r="E1266" s="1">
        <v>21.968</v>
      </c>
      <c r="F1266" t="s">
        <v>206</v>
      </c>
      <c r="G1266">
        <v>100</v>
      </c>
      <c r="H1266" s="1">
        <v>21.968</v>
      </c>
      <c r="I1266" s="21">
        <v>44774</v>
      </c>
      <c r="J1266" s="21">
        <v>44780</v>
      </c>
      <c r="K1266" s="21">
        <f t="shared" si="97"/>
        <v>44780</v>
      </c>
      <c r="L1266" t="s">
        <v>238</v>
      </c>
      <c r="M1266" t="s">
        <v>25</v>
      </c>
      <c r="N1266" t="s">
        <v>26</v>
      </c>
      <c r="O1266">
        <v>1</v>
      </c>
      <c r="P1266" t="s">
        <v>3811</v>
      </c>
      <c r="Q1266" t="s">
        <v>4603</v>
      </c>
      <c r="R1266" t="s">
        <v>4721</v>
      </c>
      <c r="S1266" t="s">
        <v>4717</v>
      </c>
      <c r="T1266">
        <f t="shared" si="88"/>
        <v>6</v>
      </c>
      <c r="U1266" s="21">
        <f t="shared" si="98"/>
        <v>45145</v>
      </c>
    </row>
    <row r="1267" spans="1:21" x14ac:dyDescent="0.35">
      <c r="A1267" t="s">
        <v>2556</v>
      </c>
      <c r="B1267" t="s">
        <v>2557</v>
      </c>
      <c r="C1267" t="s">
        <v>19</v>
      </c>
      <c r="D1267" t="s">
        <v>21</v>
      </c>
      <c r="E1267" s="1">
        <v>226.13</v>
      </c>
      <c r="F1267" t="s">
        <v>22</v>
      </c>
      <c r="G1267">
        <v>0</v>
      </c>
      <c r="H1267" s="1">
        <v>0</v>
      </c>
      <c r="I1267" s="21">
        <v>44408</v>
      </c>
      <c r="J1267" s="21">
        <v>44409</v>
      </c>
      <c r="K1267" s="21">
        <v>44409</v>
      </c>
      <c r="L1267" t="s">
        <v>32</v>
      </c>
      <c r="M1267" t="s">
        <v>146</v>
      </c>
      <c r="N1267" t="s">
        <v>73</v>
      </c>
      <c r="O1267">
        <v>1</v>
      </c>
      <c r="P1267" t="s">
        <v>27</v>
      </c>
      <c r="Q1267" t="s">
        <v>4513</v>
      </c>
      <c r="R1267" t="s">
        <v>4713</v>
      </c>
      <c r="S1267" t="s">
        <v>4719</v>
      </c>
      <c r="T1267">
        <f t="shared" si="88"/>
        <v>1</v>
      </c>
      <c r="U1267" s="21">
        <f>J1267</f>
        <v>44409</v>
      </c>
    </row>
    <row r="1268" spans="1:21" x14ac:dyDescent="0.35">
      <c r="A1268" t="s">
        <v>1565</v>
      </c>
      <c r="B1268" t="s">
        <v>1566</v>
      </c>
      <c r="C1268" t="s">
        <v>30</v>
      </c>
      <c r="D1268" t="s">
        <v>212</v>
      </c>
      <c r="E1268" s="1">
        <v>2799.944</v>
      </c>
      <c r="F1268" t="s">
        <v>206</v>
      </c>
      <c r="G1268">
        <v>100</v>
      </c>
      <c r="H1268" s="1">
        <v>2799.944</v>
      </c>
      <c r="I1268" s="21">
        <v>44773</v>
      </c>
      <c r="J1268" s="21">
        <v>44777</v>
      </c>
      <c r="K1268" s="21">
        <f t="shared" ref="K1268:K1282" si="99">J1268</f>
        <v>44777</v>
      </c>
      <c r="L1268" t="s">
        <v>207</v>
      </c>
      <c r="M1268" t="s">
        <v>46</v>
      </c>
      <c r="N1268" t="s">
        <v>47</v>
      </c>
      <c r="O1268">
        <v>1</v>
      </c>
      <c r="P1268" t="s">
        <v>1567</v>
      </c>
      <c r="Q1268" t="s">
        <v>4729</v>
      </c>
      <c r="R1268" t="s">
        <v>4720</v>
      </c>
      <c r="S1268" t="s">
        <v>4719</v>
      </c>
      <c r="T1268">
        <f t="shared" si="88"/>
        <v>4</v>
      </c>
      <c r="U1268" s="21">
        <f t="shared" ref="U1268:U1282" si="100">J1268+365</f>
        <v>45142</v>
      </c>
    </row>
    <row r="1269" spans="1:21" x14ac:dyDescent="0.35">
      <c r="A1269" t="s">
        <v>359</v>
      </c>
      <c r="B1269" t="s">
        <v>360</v>
      </c>
      <c r="C1269" t="s">
        <v>19</v>
      </c>
      <c r="D1269" t="s">
        <v>212</v>
      </c>
      <c r="E1269" s="1">
        <v>201.584</v>
      </c>
      <c r="F1269" t="s">
        <v>206</v>
      </c>
      <c r="G1269">
        <v>100</v>
      </c>
      <c r="H1269" s="1">
        <v>201.584</v>
      </c>
      <c r="I1269" s="21">
        <v>44773</v>
      </c>
      <c r="J1269" s="21">
        <v>44775</v>
      </c>
      <c r="K1269" s="21">
        <f t="shared" si="99"/>
        <v>44775</v>
      </c>
      <c r="L1269" t="s">
        <v>248</v>
      </c>
      <c r="M1269" t="s">
        <v>46</v>
      </c>
      <c r="N1269" t="s">
        <v>47</v>
      </c>
      <c r="O1269">
        <v>1</v>
      </c>
      <c r="P1269" t="s">
        <v>361</v>
      </c>
      <c r="Q1269" t="s">
        <v>4557</v>
      </c>
      <c r="R1269" t="s">
        <v>4711</v>
      </c>
      <c r="S1269" t="s">
        <v>4719</v>
      </c>
      <c r="T1269">
        <f t="shared" si="88"/>
        <v>2</v>
      </c>
      <c r="U1269" s="21">
        <f t="shared" si="100"/>
        <v>45140</v>
      </c>
    </row>
    <row r="1270" spans="1:21" x14ac:dyDescent="0.35">
      <c r="A1270" t="s">
        <v>1562</v>
      </c>
      <c r="B1270" t="s">
        <v>1563</v>
      </c>
      <c r="C1270" t="s">
        <v>30</v>
      </c>
      <c r="D1270" t="s">
        <v>205</v>
      </c>
      <c r="E1270" s="1">
        <v>123.96</v>
      </c>
      <c r="F1270" t="s">
        <v>206</v>
      </c>
      <c r="G1270">
        <v>80</v>
      </c>
      <c r="H1270" s="1">
        <v>99.168000000000006</v>
      </c>
      <c r="I1270" s="21">
        <v>44770</v>
      </c>
      <c r="J1270" s="21">
        <v>44776</v>
      </c>
      <c r="K1270" s="21">
        <f t="shared" si="99"/>
        <v>44776</v>
      </c>
      <c r="L1270" t="s">
        <v>248</v>
      </c>
      <c r="M1270" t="s">
        <v>33</v>
      </c>
      <c r="N1270" t="s">
        <v>34</v>
      </c>
      <c r="O1270">
        <v>1</v>
      </c>
      <c r="P1270" t="s">
        <v>1564</v>
      </c>
      <c r="Q1270" t="s">
        <v>4548</v>
      </c>
      <c r="R1270" t="s">
        <v>4721</v>
      </c>
      <c r="S1270" t="s">
        <v>4718</v>
      </c>
      <c r="T1270">
        <f t="shared" si="88"/>
        <v>6</v>
      </c>
      <c r="U1270" s="21">
        <f t="shared" si="100"/>
        <v>45141</v>
      </c>
    </row>
    <row r="1271" spans="1:21" x14ac:dyDescent="0.35">
      <c r="A1271" t="s">
        <v>1557</v>
      </c>
      <c r="B1271" t="s">
        <v>1558</v>
      </c>
      <c r="C1271" t="s">
        <v>30</v>
      </c>
      <c r="D1271" t="s">
        <v>205</v>
      </c>
      <c r="E1271" s="1">
        <v>19.8</v>
      </c>
      <c r="F1271" t="s">
        <v>206</v>
      </c>
      <c r="G1271">
        <v>80</v>
      </c>
      <c r="H1271" s="1">
        <v>15.840000000000002</v>
      </c>
      <c r="I1271" s="21">
        <v>44769</v>
      </c>
      <c r="J1271" s="21">
        <v>44774</v>
      </c>
      <c r="K1271" s="21">
        <f t="shared" si="99"/>
        <v>44774</v>
      </c>
      <c r="L1271" t="s">
        <v>220</v>
      </c>
      <c r="M1271" t="s">
        <v>25</v>
      </c>
      <c r="N1271" t="s">
        <v>26</v>
      </c>
      <c r="O1271">
        <v>1</v>
      </c>
      <c r="P1271" t="s">
        <v>1559</v>
      </c>
      <c r="Q1271" t="s">
        <v>4631</v>
      </c>
      <c r="R1271" t="s">
        <v>4711</v>
      </c>
      <c r="S1271" t="s">
        <v>4719</v>
      </c>
      <c r="T1271">
        <f t="shared" si="88"/>
        <v>5</v>
      </c>
      <c r="U1271" s="21">
        <f t="shared" si="100"/>
        <v>45139</v>
      </c>
    </row>
    <row r="1272" spans="1:21" x14ac:dyDescent="0.35">
      <c r="A1272" t="s">
        <v>3804</v>
      </c>
      <c r="B1272" t="s">
        <v>3805</v>
      </c>
      <c r="C1272" t="s">
        <v>30</v>
      </c>
      <c r="D1272" t="s">
        <v>212</v>
      </c>
      <c r="E1272" s="1">
        <v>844.11599999999896</v>
      </c>
      <c r="F1272" t="s">
        <v>206</v>
      </c>
      <c r="G1272">
        <v>100</v>
      </c>
      <c r="H1272" s="1">
        <v>844.11599999999896</v>
      </c>
      <c r="I1272" s="21">
        <v>44769</v>
      </c>
      <c r="J1272" s="21">
        <v>44776</v>
      </c>
      <c r="K1272" s="21">
        <f t="shared" si="99"/>
        <v>44776</v>
      </c>
      <c r="L1272" t="s">
        <v>248</v>
      </c>
      <c r="M1272" t="s">
        <v>46</v>
      </c>
      <c r="N1272" t="s">
        <v>47</v>
      </c>
      <c r="O1272">
        <v>1</v>
      </c>
      <c r="P1272" t="s">
        <v>3533</v>
      </c>
      <c r="Q1272" t="s">
        <v>4567</v>
      </c>
      <c r="R1272" t="s">
        <v>4714</v>
      </c>
      <c r="S1272" t="s">
        <v>4718</v>
      </c>
      <c r="T1272">
        <f t="shared" si="88"/>
        <v>7</v>
      </c>
      <c r="U1272" s="21">
        <f t="shared" si="100"/>
        <v>45141</v>
      </c>
    </row>
    <row r="1273" spans="1:21" x14ac:dyDescent="0.35">
      <c r="A1273" t="s">
        <v>3806</v>
      </c>
      <c r="B1273" t="s">
        <v>3807</v>
      </c>
      <c r="C1273" t="s">
        <v>30</v>
      </c>
      <c r="D1273" t="s">
        <v>205</v>
      </c>
      <c r="E1273" s="1">
        <v>125.93</v>
      </c>
      <c r="F1273" t="s">
        <v>206</v>
      </c>
      <c r="G1273">
        <v>80</v>
      </c>
      <c r="H1273" s="1">
        <v>100.74400000000001</v>
      </c>
      <c r="I1273" s="21">
        <v>44769</v>
      </c>
      <c r="J1273" s="21">
        <v>44769</v>
      </c>
      <c r="K1273" s="21">
        <f t="shared" si="99"/>
        <v>44769</v>
      </c>
      <c r="L1273" t="s">
        <v>234</v>
      </c>
      <c r="M1273" t="s">
        <v>67</v>
      </c>
      <c r="N1273" t="s">
        <v>68</v>
      </c>
      <c r="O1273">
        <v>1</v>
      </c>
      <c r="P1273" t="s">
        <v>3808</v>
      </c>
      <c r="Q1273" t="s">
        <v>4729</v>
      </c>
      <c r="R1273" t="s">
        <v>4726</v>
      </c>
      <c r="S1273" t="s">
        <v>4717</v>
      </c>
      <c r="T1273">
        <f t="shared" si="88"/>
        <v>0</v>
      </c>
      <c r="U1273" s="21">
        <f t="shared" si="100"/>
        <v>45134</v>
      </c>
    </row>
    <row r="1274" spans="1:21" x14ac:dyDescent="0.35">
      <c r="A1274" t="s">
        <v>1560</v>
      </c>
      <c r="B1274" t="s">
        <v>1561</v>
      </c>
      <c r="C1274" t="s">
        <v>30</v>
      </c>
      <c r="D1274" t="s">
        <v>212</v>
      </c>
      <c r="E1274" s="1">
        <v>377.97</v>
      </c>
      <c r="F1274" t="s">
        <v>206</v>
      </c>
      <c r="G1274">
        <v>100</v>
      </c>
      <c r="H1274" s="1">
        <v>377.97</v>
      </c>
      <c r="I1274" s="21">
        <v>44769</v>
      </c>
      <c r="J1274" s="21">
        <v>44771</v>
      </c>
      <c r="K1274" s="21">
        <f t="shared" si="99"/>
        <v>44771</v>
      </c>
      <c r="L1274" t="s">
        <v>207</v>
      </c>
      <c r="M1274" t="s">
        <v>25</v>
      </c>
      <c r="N1274" t="s">
        <v>26</v>
      </c>
      <c r="O1274">
        <v>1</v>
      </c>
      <c r="P1274" t="s">
        <v>361</v>
      </c>
      <c r="Q1274" t="s">
        <v>4557</v>
      </c>
      <c r="R1274" t="s">
        <v>4711</v>
      </c>
      <c r="S1274" t="s">
        <v>4719</v>
      </c>
      <c r="T1274">
        <f t="shared" si="88"/>
        <v>2</v>
      </c>
      <c r="U1274" s="21">
        <f t="shared" si="100"/>
        <v>45136</v>
      </c>
    </row>
    <row r="1275" spans="1:21" x14ac:dyDescent="0.35">
      <c r="A1275" t="s">
        <v>2757</v>
      </c>
      <c r="B1275" t="s">
        <v>2758</v>
      </c>
      <c r="C1275" t="s">
        <v>19</v>
      </c>
      <c r="D1275" t="s">
        <v>212</v>
      </c>
      <c r="E1275" s="1">
        <v>37.32</v>
      </c>
      <c r="F1275" t="s">
        <v>206</v>
      </c>
      <c r="G1275">
        <v>100</v>
      </c>
      <c r="H1275" s="1">
        <v>37.32</v>
      </c>
      <c r="I1275" s="21">
        <v>44768</v>
      </c>
      <c r="J1275" s="21">
        <v>44772</v>
      </c>
      <c r="K1275" s="21">
        <f t="shared" si="99"/>
        <v>44772</v>
      </c>
      <c r="L1275" t="s">
        <v>238</v>
      </c>
      <c r="M1275" t="s">
        <v>54</v>
      </c>
      <c r="N1275" t="s">
        <v>26</v>
      </c>
      <c r="O1275">
        <v>1</v>
      </c>
      <c r="P1275" t="s">
        <v>1902</v>
      </c>
      <c r="Q1275" t="s">
        <v>4533</v>
      </c>
      <c r="R1275" t="s">
        <v>4709</v>
      </c>
      <c r="S1275" t="s">
        <v>4717</v>
      </c>
      <c r="T1275">
        <f t="shared" si="88"/>
        <v>4</v>
      </c>
      <c r="U1275" s="21">
        <f t="shared" si="100"/>
        <v>45137</v>
      </c>
    </row>
    <row r="1276" spans="1:21" x14ac:dyDescent="0.35">
      <c r="A1276" t="s">
        <v>1555</v>
      </c>
      <c r="B1276" t="s">
        <v>1556</v>
      </c>
      <c r="C1276" t="s">
        <v>19</v>
      </c>
      <c r="D1276" t="s">
        <v>212</v>
      </c>
      <c r="E1276" s="1">
        <v>12.176</v>
      </c>
      <c r="F1276" t="s">
        <v>206</v>
      </c>
      <c r="G1276">
        <v>100</v>
      </c>
      <c r="H1276" s="1">
        <v>12.176</v>
      </c>
      <c r="I1276" s="21">
        <v>44768</v>
      </c>
      <c r="J1276" s="21">
        <v>44773</v>
      </c>
      <c r="K1276" s="21">
        <f t="shared" si="99"/>
        <v>44773</v>
      </c>
      <c r="L1276" t="s">
        <v>234</v>
      </c>
      <c r="M1276" t="s">
        <v>25</v>
      </c>
      <c r="N1276" t="s">
        <v>26</v>
      </c>
      <c r="O1276">
        <v>1</v>
      </c>
      <c r="P1276" t="s">
        <v>1551</v>
      </c>
      <c r="Q1276" t="s">
        <v>4528</v>
      </c>
      <c r="R1276" t="s">
        <v>4726</v>
      </c>
      <c r="S1276" t="s">
        <v>4717</v>
      </c>
      <c r="T1276">
        <f t="shared" si="88"/>
        <v>5</v>
      </c>
      <c r="U1276" s="21">
        <f t="shared" si="100"/>
        <v>45138</v>
      </c>
    </row>
    <row r="1277" spans="1:21" x14ac:dyDescent="0.35">
      <c r="A1277" t="s">
        <v>1552</v>
      </c>
      <c r="B1277" t="s">
        <v>1553</v>
      </c>
      <c r="C1277" t="s">
        <v>30</v>
      </c>
      <c r="D1277" t="s">
        <v>205</v>
      </c>
      <c r="E1277" s="1">
        <v>172.70400000000001</v>
      </c>
      <c r="F1277" t="s">
        <v>206</v>
      </c>
      <c r="G1277">
        <v>80</v>
      </c>
      <c r="H1277" s="1">
        <v>138.16320000000002</v>
      </c>
      <c r="I1277" s="21">
        <v>44766</v>
      </c>
      <c r="J1277" s="21">
        <v>44769</v>
      </c>
      <c r="K1277" s="21">
        <f t="shared" si="99"/>
        <v>44769</v>
      </c>
      <c r="L1277" t="s">
        <v>207</v>
      </c>
      <c r="M1277" t="s">
        <v>33</v>
      </c>
      <c r="N1277" t="s">
        <v>34</v>
      </c>
      <c r="O1277">
        <v>1</v>
      </c>
      <c r="P1277" t="s">
        <v>1554</v>
      </c>
      <c r="Q1277" t="s">
        <v>4530</v>
      </c>
      <c r="R1277" t="s">
        <v>4726</v>
      </c>
      <c r="S1277" t="s">
        <v>4717</v>
      </c>
      <c r="T1277">
        <f t="shared" si="88"/>
        <v>3</v>
      </c>
      <c r="U1277" s="21">
        <f t="shared" si="100"/>
        <v>45134</v>
      </c>
    </row>
    <row r="1278" spans="1:21" x14ac:dyDescent="0.35">
      <c r="A1278" t="s">
        <v>1549</v>
      </c>
      <c r="B1278" t="s">
        <v>1550</v>
      </c>
      <c r="C1278" t="s">
        <v>30</v>
      </c>
      <c r="D1278" t="s">
        <v>205</v>
      </c>
      <c r="E1278" s="1">
        <v>12.175999999999901</v>
      </c>
      <c r="F1278" t="s">
        <v>206</v>
      </c>
      <c r="G1278">
        <v>80</v>
      </c>
      <c r="H1278" s="1">
        <v>9.740799999999922</v>
      </c>
      <c r="I1278" s="21">
        <v>44762</v>
      </c>
      <c r="J1278" s="21">
        <v>44763</v>
      </c>
      <c r="K1278" s="21">
        <f t="shared" si="99"/>
        <v>44763</v>
      </c>
      <c r="L1278" t="s">
        <v>213</v>
      </c>
      <c r="M1278" t="s">
        <v>25</v>
      </c>
      <c r="N1278" t="s">
        <v>26</v>
      </c>
      <c r="O1278">
        <v>1</v>
      </c>
      <c r="P1278" t="s">
        <v>1551</v>
      </c>
      <c r="Q1278" t="s">
        <v>4528</v>
      </c>
      <c r="R1278" t="s">
        <v>4726</v>
      </c>
      <c r="S1278" t="s">
        <v>4717</v>
      </c>
      <c r="T1278">
        <f t="shared" si="88"/>
        <v>1</v>
      </c>
      <c r="U1278" s="21">
        <f t="shared" si="100"/>
        <v>45128</v>
      </c>
    </row>
    <row r="1279" spans="1:21" x14ac:dyDescent="0.35">
      <c r="A1279" t="s">
        <v>1546</v>
      </c>
      <c r="B1279" t="s">
        <v>1547</v>
      </c>
      <c r="C1279" t="s">
        <v>19</v>
      </c>
      <c r="D1279" t="s">
        <v>205</v>
      </c>
      <c r="E1279" s="1">
        <v>23.832000000000001</v>
      </c>
      <c r="F1279" t="s">
        <v>206</v>
      </c>
      <c r="G1279">
        <v>80</v>
      </c>
      <c r="H1279" s="1">
        <v>19.0656</v>
      </c>
      <c r="I1279" s="21">
        <v>44761</v>
      </c>
      <c r="J1279" s="21">
        <v>44764</v>
      </c>
      <c r="K1279" s="21">
        <f t="shared" si="99"/>
        <v>44764</v>
      </c>
      <c r="L1279" t="s">
        <v>248</v>
      </c>
      <c r="M1279" t="s">
        <v>25</v>
      </c>
      <c r="N1279" t="s">
        <v>26</v>
      </c>
      <c r="O1279">
        <v>1</v>
      </c>
      <c r="P1279" t="s">
        <v>1548</v>
      </c>
      <c r="Q1279" t="s">
        <v>4630</v>
      </c>
      <c r="R1279" t="s">
        <v>4721</v>
      </c>
      <c r="S1279" t="s">
        <v>4717</v>
      </c>
      <c r="T1279">
        <f t="shared" si="88"/>
        <v>3</v>
      </c>
      <c r="U1279" s="21">
        <f t="shared" si="100"/>
        <v>45129</v>
      </c>
    </row>
    <row r="1280" spans="1:21" x14ac:dyDescent="0.35">
      <c r="A1280" t="s">
        <v>2754</v>
      </c>
      <c r="B1280" t="s">
        <v>2755</v>
      </c>
      <c r="C1280" t="s">
        <v>19</v>
      </c>
      <c r="D1280" t="s">
        <v>205</v>
      </c>
      <c r="E1280" s="1">
        <v>209.5</v>
      </c>
      <c r="F1280" t="s">
        <v>206</v>
      </c>
      <c r="G1280">
        <v>80</v>
      </c>
      <c r="H1280" s="1">
        <v>167.60000000000002</v>
      </c>
      <c r="I1280" s="21">
        <v>44761</v>
      </c>
      <c r="J1280" s="21">
        <v>44765</v>
      </c>
      <c r="K1280" s="21">
        <f t="shared" si="99"/>
        <v>44765</v>
      </c>
      <c r="L1280" t="s">
        <v>220</v>
      </c>
      <c r="M1280" t="s">
        <v>82</v>
      </c>
      <c r="N1280" t="s">
        <v>47</v>
      </c>
      <c r="O1280">
        <v>1</v>
      </c>
      <c r="P1280" t="s">
        <v>2756</v>
      </c>
      <c r="Q1280" t="s">
        <v>4729</v>
      </c>
      <c r="R1280" t="s">
        <v>4711</v>
      </c>
      <c r="S1280" t="s">
        <v>4719</v>
      </c>
      <c r="T1280">
        <f t="shared" si="88"/>
        <v>4</v>
      </c>
      <c r="U1280" s="21">
        <f t="shared" si="100"/>
        <v>45130</v>
      </c>
    </row>
    <row r="1281" spans="1:21" x14ac:dyDescent="0.35">
      <c r="A1281" t="s">
        <v>353</v>
      </c>
      <c r="B1281" t="s">
        <v>354</v>
      </c>
      <c r="C1281" t="s">
        <v>19</v>
      </c>
      <c r="D1281" t="s">
        <v>212</v>
      </c>
      <c r="E1281" s="1">
        <v>5.84</v>
      </c>
      <c r="F1281" t="s">
        <v>206</v>
      </c>
      <c r="G1281">
        <v>100</v>
      </c>
      <c r="H1281" s="1">
        <v>5.84</v>
      </c>
      <c r="I1281" s="21">
        <v>44760</v>
      </c>
      <c r="J1281" s="21">
        <v>44762</v>
      </c>
      <c r="K1281" s="21">
        <f t="shared" si="99"/>
        <v>44762</v>
      </c>
      <c r="L1281" t="s">
        <v>213</v>
      </c>
      <c r="M1281" t="s">
        <v>40</v>
      </c>
      <c r="N1281" t="s">
        <v>34</v>
      </c>
      <c r="O1281">
        <v>1</v>
      </c>
      <c r="P1281" t="s">
        <v>355</v>
      </c>
      <c r="Q1281" t="s">
        <v>4546</v>
      </c>
      <c r="R1281" t="s">
        <v>4726</v>
      </c>
      <c r="S1281" t="s">
        <v>4717</v>
      </c>
      <c r="T1281">
        <f t="shared" si="88"/>
        <v>2</v>
      </c>
      <c r="U1281" s="21">
        <f t="shared" si="100"/>
        <v>45127</v>
      </c>
    </row>
    <row r="1282" spans="1:21" x14ac:dyDescent="0.35">
      <c r="A1282" t="s">
        <v>356</v>
      </c>
      <c r="B1282" t="s">
        <v>357</v>
      </c>
      <c r="C1282" t="s">
        <v>19</v>
      </c>
      <c r="D1282" t="s">
        <v>212</v>
      </c>
      <c r="E1282" s="1">
        <v>21.34</v>
      </c>
      <c r="F1282" t="s">
        <v>206</v>
      </c>
      <c r="G1282">
        <v>100</v>
      </c>
      <c r="H1282" s="1">
        <v>21.34</v>
      </c>
      <c r="I1282" s="21">
        <v>44760</v>
      </c>
      <c r="J1282" s="21">
        <v>44763</v>
      </c>
      <c r="K1282" s="21">
        <f t="shared" si="99"/>
        <v>44763</v>
      </c>
      <c r="L1282" t="s">
        <v>238</v>
      </c>
      <c r="M1282" t="s">
        <v>72</v>
      </c>
      <c r="N1282" t="s">
        <v>73</v>
      </c>
      <c r="O1282">
        <v>1</v>
      </c>
      <c r="P1282" t="s">
        <v>358</v>
      </c>
      <c r="Q1282" t="s">
        <v>4729</v>
      </c>
      <c r="R1282" t="s">
        <v>4512</v>
      </c>
      <c r="S1282" t="s">
        <v>4717</v>
      </c>
      <c r="T1282">
        <f t="shared" ref="T1282:T1345" si="101">J1282-I1282</f>
        <v>3</v>
      </c>
      <c r="U1282" s="21">
        <f t="shared" si="100"/>
        <v>45128</v>
      </c>
    </row>
    <row r="1283" spans="1:21" x14ac:dyDescent="0.35">
      <c r="A1283" t="s">
        <v>175</v>
      </c>
      <c r="B1283" t="s">
        <v>176</v>
      </c>
      <c r="C1283" t="s">
        <v>19</v>
      </c>
      <c r="D1283" t="s">
        <v>21</v>
      </c>
      <c r="E1283" s="1">
        <v>680.77999999999986</v>
      </c>
      <c r="F1283" t="s">
        <v>22</v>
      </c>
      <c r="G1283">
        <v>0</v>
      </c>
      <c r="H1283" s="1">
        <v>0</v>
      </c>
      <c r="I1283" s="21">
        <v>44394</v>
      </c>
      <c r="J1283" s="21">
        <v>44397</v>
      </c>
      <c r="K1283" s="21">
        <v>44397</v>
      </c>
      <c r="L1283" t="s">
        <v>39</v>
      </c>
      <c r="M1283" t="s">
        <v>146</v>
      </c>
      <c r="N1283" t="s">
        <v>73</v>
      </c>
      <c r="O1283">
        <v>1</v>
      </c>
      <c r="P1283" t="s">
        <v>177</v>
      </c>
      <c r="Q1283" t="s">
        <v>4729</v>
      </c>
      <c r="R1283" t="s">
        <v>4512</v>
      </c>
      <c r="S1283" t="s">
        <v>4717</v>
      </c>
      <c r="T1283">
        <f t="shared" si="101"/>
        <v>3</v>
      </c>
      <c r="U1283" s="21">
        <f>J1283</f>
        <v>44397</v>
      </c>
    </row>
    <row r="1284" spans="1:21" x14ac:dyDescent="0.35">
      <c r="A1284" t="s">
        <v>1543</v>
      </c>
      <c r="B1284" t="s">
        <v>1544</v>
      </c>
      <c r="C1284" t="s">
        <v>19</v>
      </c>
      <c r="D1284" t="s">
        <v>205</v>
      </c>
      <c r="E1284" s="1">
        <v>50.351999999999997</v>
      </c>
      <c r="F1284" t="s">
        <v>206</v>
      </c>
      <c r="G1284">
        <v>80</v>
      </c>
      <c r="H1284" s="1">
        <v>40.281599999999997</v>
      </c>
      <c r="I1284" s="21">
        <v>44756</v>
      </c>
      <c r="J1284" s="21">
        <v>44758</v>
      </c>
      <c r="K1284" s="21">
        <f t="shared" ref="K1284:K1286" si="102">J1284</f>
        <v>44758</v>
      </c>
      <c r="L1284" t="s">
        <v>238</v>
      </c>
      <c r="M1284" t="s">
        <v>97</v>
      </c>
      <c r="N1284" t="s">
        <v>68</v>
      </c>
      <c r="O1284">
        <v>1</v>
      </c>
      <c r="P1284" t="s">
        <v>1545</v>
      </c>
      <c r="Q1284" t="s">
        <v>4528</v>
      </c>
      <c r="R1284" t="s">
        <v>4726</v>
      </c>
      <c r="S1284" t="s">
        <v>4717</v>
      </c>
      <c r="T1284">
        <f t="shared" si="101"/>
        <v>2</v>
      </c>
      <c r="U1284" s="21">
        <f t="shared" ref="U1284:U1286" si="103">J1284+365</f>
        <v>45123</v>
      </c>
    </row>
    <row r="1285" spans="1:21" x14ac:dyDescent="0.35">
      <c r="A1285" t="s">
        <v>2752</v>
      </c>
      <c r="B1285" t="s">
        <v>2753</v>
      </c>
      <c r="C1285" t="s">
        <v>30</v>
      </c>
      <c r="D1285" t="s">
        <v>205</v>
      </c>
      <c r="E1285" s="1">
        <v>831.93600000000004</v>
      </c>
      <c r="F1285" t="s">
        <v>206</v>
      </c>
      <c r="G1285">
        <v>80</v>
      </c>
      <c r="H1285" s="1">
        <v>665.54880000000003</v>
      </c>
      <c r="I1285" s="21">
        <v>44756</v>
      </c>
      <c r="J1285" s="21">
        <v>44758</v>
      </c>
      <c r="K1285" s="21">
        <f t="shared" si="102"/>
        <v>44758</v>
      </c>
      <c r="L1285" t="s">
        <v>220</v>
      </c>
      <c r="M1285" t="s">
        <v>54</v>
      </c>
      <c r="N1285" t="s">
        <v>26</v>
      </c>
      <c r="O1285">
        <v>1</v>
      </c>
      <c r="P1285" t="s">
        <v>834</v>
      </c>
      <c r="Q1285" t="s">
        <v>4601</v>
      </c>
      <c r="R1285" t="s">
        <v>4714</v>
      </c>
      <c r="S1285" t="s">
        <v>4718</v>
      </c>
      <c r="T1285">
        <f t="shared" si="101"/>
        <v>2</v>
      </c>
      <c r="U1285" s="21">
        <f t="shared" si="103"/>
        <v>45123</v>
      </c>
    </row>
    <row r="1286" spans="1:21" x14ac:dyDescent="0.35">
      <c r="A1286" t="s">
        <v>3801</v>
      </c>
      <c r="B1286" t="s">
        <v>3802</v>
      </c>
      <c r="C1286" t="s">
        <v>30</v>
      </c>
      <c r="D1286" t="s">
        <v>205</v>
      </c>
      <c r="E1286" s="1">
        <v>311.976</v>
      </c>
      <c r="F1286" t="s">
        <v>206</v>
      </c>
      <c r="G1286">
        <v>80</v>
      </c>
      <c r="H1286" s="1">
        <v>249.58080000000001</v>
      </c>
      <c r="I1286" s="21">
        <v>44755</v>
      </c>
      <c r="J1286" s="21">
        <v>44761</v>
      </c>
      <c r="K1286" s="21">
        <f t="shared" si="102"/>
        <v>44761</v>
      </c>
      <c r="L1286" t="s">
        <v>234</v>
      </c>
      <c r="M1286" t="s">
        <v>97</v>
      </c>
      <c r="N1286" t="s">
        <v>68</v>
      </c>
      <c r="O1286">
        <v>1</v>
      </c>
      <c r="P1286" t="s">
        <v>3803</v>
      </c>
      <c r="Q1286" t="s">
        <v>4645</v>
      </c>
      <c r="R1286" t="s">
        <v>4711</v>
      </c>
      <c r="S1286" t="s">
        <v>4719</v>
      </c>
      <c r="T1286">
        <f t="shared" si="101"/>
        <v>6</v>
      </c>
      <c r="U1286" s="21">
        <f t="shared" si="103"/>
        <v>45126</v>
      </c>
    </row>
    <row r="1287" spans="1:21" x14ac:dyDescent="0.35">
      <c r="A1287" t="s">
        <v>3670</v>
      </c>
      <c r="B1287" t="s">
        <v>3671</v>
      </c>
      <c r="C1287" t="s">
        <v>19</v>
      </c>
      <c r="D1287" t="s">
        <v>21</v>
      </c>
      <c r="E1287" s="1">
        <v>676.73399999999913</v>
      </c>
      <c r="F1287" t="s">
        <v>22</v>
      </c>
      <c r="G1287">
        <v>0</v>
      </c>
      <c r="H1287" s="1">
        <v>0</v>
      </c>
      <c r="I1287" s="21">
        <v>44389</v>
      </c>
      <c r="J1287" s="21">
        <v>44391</v>
      </c>
      <c r="K1287" s="21">
        <v>44391</v>
      </c>
      <c r="L1287" t="s">
        <v>45</v>
      </c>
      <c r="M1287" t="s">
        <v>67</v>
      </c>
      <c r="N1287" t="s">
        <v>68</v>
      </c>
      <c r="O1287">
        <v>1</v>
      </c>
      <c r="P1287" t="s">
        <v>961</v>
      </c>
      <c r="Q1287" t="s">
        <v>4553</v>
      </c>
      <c r="R1287" t="s">
        <v>4722</v>
      </c>
      <c r="S1287" t="s">
        <v>4718</v>
      </c>
      <c r="T1287">
        <f t="shared" si="101"/>
        <v>2</v>
      </c>
      <c r="U1287" s="21">
        <f t="shared" ref="U1287:U1288" si="104">J1287</f>
        <v>44391</v>
      </c>
    </row>
    <row r="1288" spans="1:21" x14ac:dyDescent="0.35">
      <c r="A1288" t="s">
        <v>172</v>
      </c>
      <c r="B1288" t="s">
        <v>173</v>
      </c>
      <c r="C1288" t="s">
        <v>19</v>
      </c>
      <c r="D1288" t="s">
        <v>21</v>
      </c>
      <c r="E1288" s="1">
        <v>1136.896</v>
      </c>
      <c r="F1288" t="s">
        <v>22</v>
      </c>
      <c r="G1288">
        <v>0</v>
      </c>
      <c r="H1288" s="1">
        <v>0</v>
      </c>
      <c r="I1288" s="21">
        <v>44389</v>
      </c>
      <c r="J1288" s="21">
        <v>44390</v>
      </c>
      <c r="K1288" s="21">
        <v>44390</v>
      </c>
      <c r="L1288" t="s">
        <v>53</v>
      </c>
      <c r="M1288" t="s">
        <v>25</v>
      </c>
      <c r="N1288" t="s">
        <v>26</v>
      </c>
      <c r="O1288">
        <v>1</v>
      </c>
      <c r="P1288" t="s">
        <v>174</v>
      </c>
      <c r="Q1288" t="s">
        <v>4534</v>
      </c>
      <c r="R1288" t="s">
        <v>4712</v>
      </c>
      <c r="S1288" t="s">
        <v>4718</v>
      </c>
      <c r="T1288">
        <f t="shared" si="101"/>
        <v>1</v>
      </c>
      <c r="U1288" s="21">
        <f t="shared" si="104"/>
        <v>44390</v>
      </c>
    </row>
    <row r="1289" spans="1:21" x14ac:dyDescent="0.35">
      <c r="A1289" t="s">
        <v>350</v>
      </c>
      <c r="B1289" t="s">
        <v>351</v>
      </c>
      <c r="C1289" t="s">
        <v>30</v>
      </c>
      <c r="D1289" t="s">
        <v>212</v>
      </c>
      <c r="E1289" s="1">
        <v>62.295999999999999</v>
      </c>
      <c r="F1289" t="s">
        <v>206</v>
      </c>
      <c r="G1289">
        <v>100</v>
      </c>
      <c r="H1289" s="1">
        <v>62.295999999999999</v>
      </c>
      <c r="I1289" s="21">
        <v>44753</v>
      </c>
      <c r="J1289" s="21">
        <v>44757</v>
      </c>
      <c r="K1289" s="21">
        <f t="shared" ref="K1289:K1301" si="105">J1289</f>
        <v>44757</v>
      </c>
      <c r="L1289" t="s">
        <v>238</v>
      </c>
      <c r="M1289" t="s">
        <v>97</v>
      </c>
      <c r="N1289" t="s">
        <v>68</v>
      </c>
      <c r="O1289">
        <v>1</v>
      </c>
      <c r="P1289" t="s">
        <v>352</v>
      </c>
      <c r="Q1289" t="s">
        <v>4556</v>
      </c>
      <c r="R1289" t="s">
        <v>4726</v>
      </c>
      <c r="S1289" t="s">
        <v>4717</v>
      </c>
      <c r="T1289">
        <f t="shared" si="101"/>
        <v>4</v>
      </c>
      <c r="U1289" s="21">
        <f t="shared" ref="U1289:U1301" si="106">J1289+365</f>
        <v>45122</v>
      </c>
    </row>
    <row r="1290" spans="1:21" x14ac:dyDescent="0.35">
      <c r="A1290" t="s">
        <v>2750</v>
      </c>
      <c r="B1290" t="s">
        <v>2751</v>
      </c>
      <c r="C1290" t="s">
        <v>30</v>
      </c>
      <c r="D1290" t="s">
        <v>205</v>
      </c>
      <c r="E1290" s="1">
        <v>21.3</v>
      </c>
      <c r="F1290" t="s">
        <v>206</v>
      </c>
      <c r="G1290">
        <v>80</v>
      </c>
      <c r="H1290" s="1">
        <v>17.040000000000003</v>
      </c>
      <c r="I1290" s="21">
        <v>44753</v>
      </c>
      <c r="J1290" s="21">
        <v>44753</v>
      </c>
      <c r="K1290" s="21">
        <f t="shared" si="105"/>
        <v>44753</v>
      </c>
      <c r="L1290" t="s">
        <v>238</v>
      </c>
      <c r="M1290" t="s">
        <v>54</v>
      </c>
      <c r="N1290" t="s">
        <v>26</v>
      </c>
      <c r="O1290">
        <v>1</v>
      </c>
      <c r="P1290" t="s">
        <v>1377</v>
      </c>
      <c r="Q1290" t="s">
        <v>4515</v>
      </c>
      <c r="R1290" t="s">
        <v>4726</v>
      </c>
      <c r="S1290" t="s">
        <v>4717</v>
      </c>
      <c r="T1290">
        <f t="shared" si="101"/>
        <v>0</v>
      </c>
      <c r="U1290" s="21">
        <f t="shared" si="106"/>
        <v>45118</v>
      </c>
    </row>
    <row r="1291" spans="1:21" x14ac:dyDescent="0.35">
      <c r="A1291" t="s">
        <v>2744</v>
      </c>
      <c r="B1291" t="s">
        <v>2745</v>
      </c>
      <c r="C1291" t="s">
        <v>19</v>
      </c>
      <c r="D1291" t="s">
        <v>205</v>
      </c>
      <c r="E1291" s="1">
        <v>75.179999999999893</v>
      </c>
      <c r="F1291" t="s">
        <v>206</v>
      </c>
      <c r="G1291">
        <v>80</v>
      </c>
      <c r="H1291" s="1">
        <v>60.14399999999992</v>
      </c>
      <c r="I1291" s="21">
        <v>44752</v>
      </c>
      <c r="J1291" s="21">
        <v>44757</v>
      </c>
      <c r="K1291" s="21">
        <f t="shared" si="105"/>
        <v>44757</v>
      </c>
      <c r="L1291" t="s">
        <v>248</v>
      </c>
      <c r="M1291" t="s">
        <v>146</v>
      </c>
      <c r="N1291" t="s">
        <v>73</v>
      </c>
      <c r="O1291">
        <v>1</v>
      </c>
      <c r="P1291" t="s">
        <v>2746</v>
      </c>
      <c r="Q1291" t="s">
        <v>4517</v>
      </c>
      <c r="R1291" t="s">
        <v>4726</v>
      </c>
      <c r="S1291" t="s">
        <v>4717</v>
      </c>
      <c r="T1291">
        <f t="shared" si="101"/>
        <v>5</v>
      </c>
      <c r="U1291" s="21">
        <f t="shared" si="106"/>
        <v>45122</v>
      </c>
    </row>
    <row r="1292" spans="1:21" x14ac:dyDescent="0.35">
      <c r="A1292" t="s">
        <v>347</v>
      </c>
      <c r="B1292" t="s">
        <v>348</v>
      </c>
      <c r="C1292" t="s">
        <v>19</v>
      </c>
      <c r="D1292" t="s">
        <v>212</v>
      </c>
      <c r="E1292" s="1">
        <v>38.22</v>
      </c>
      <c r="F1292" t="s">
        <v>206</v>
      </c>
      <c r="G1292">
        <v>100</v>
      </c>
      <c r="H1292" s="1">
        <v>38.22</v>
      </c>
      <c r="I1292" s="21">
        <v>44752</v>
      </c>
      <c r="J1292" s="21">
        <v>44756</v>
      </c>
      <c r="K1292" s="21">
        <f t="shared" si="105"/>
        <v>44756</v>
      </c>
      <c r="L1292" t="s">
        <v>220</v>
      </c>
      <c r="M1292" t="s">
        <v>33</v>
      </c>
      <c r="N1292" t="s">
        <v>34</v>
      </c>
      <c r="O1292">
        <v>1</v>
      </c>
      <c r="P1292" t="s">
        <v>349</v>
      </c>
      <c r="Q1292" t="s">
        <v>4555</v>
      </c>
      <c r="R1292" t="s">
        <v>4721</v>
      </c>
      <c r="S1292" t="s">
        <v>4717</v>
      </c>
      <c r="T1292">
        <f t="shared" si="101"/>
        <v>4</v>
      </c>
      <c r="U1292" s="21">
        <f t="shared" si="106"/>
        <v>45121</v>
      </c>
    </row>
    <row r="1293" spans="1:21" x14ac:dyDescent="0.35">
      <c r="A1293" t="s">
        <v>2747</v>
      </c>
      <c r="B1293" t="s">
        <v>2748</v>
      </c>
      <c r="C1293" t="s">
        <v>19</v>
      </c>
      <c r="D1293" t="s">
        <v>205</v>
      </c>
      <c r="E1293" s="1">
        <v>99.6</v>
      </c>
      <c r="F1293" t="s">
        <v>206</v>
      </c>
      <c r="G1293">
        <v>80</v>
      </c>
      <c r="H1293" s="1">
        <v>79.680000000000007</v>
      </c>
      <c r="I1293" s="21">
        <v>44752</v>
      </c>
      <c r="J1293" s="21">
        <v>44757</v>
      </c>
      <c r="K1293" s="21">
        <f t="shared" si="105"/>
        <v>44757</v>
      </c>
      <c r="L1293" t="s">
        <v>248</v>
      </c>
      <c r="M1293" t="s">
        <v>97</v>
      </c>
      <c r="N1293" t="s">
        <v>68</v>
      </c>
      <c r="O1293">
        <v>1</v>
      </c>
      <c r="P1293" t="s">
        <v>2749</v>
      </c>
      <c r="Q1293" t="s">
        <v>4622</v>
      </c>
      <c r="R1293" t="s">
        <v>4713</v>
      </c>
      <c r="S1293" t="s">
        <v>4719</v>
      </c>
      <c r="T1293">
        <f t="shared" si="101"/>
        <v>5</v>
      </c>
      <c r="U1293" s="21">
        <f t="shared" si="106"/>
        <v>45122</v>
      </c>
    </row>
    <row r="1294" spans="1:21" x14ac:dyDescent="0.35">
      <c r="A1294" t="s">
        <v>343</v>
      </c>
      <c r="B1294" t="s">
        <v>344</v>
      </c>
      <c r="C1294" t="s">
        <v>19</v>
      </c>
      <c r="D1294" t="s">
        <v>212</v>
      </c>
      <c r="E1294" s="1">
        <v>127.764</v>
      </c>
      <c r="F1294" t="s">
        <v>206</v>
      </c>
      <c r="G1294">
        <v>100</v>
      </c>
      <c r="H1294" s="1">
        <v>127.764</v>
      </c>
      <c r="I1294" s="21">
        <v>44751</v>
      </c>
      <c r="J1294" s="21">
        <v>44751</v>
      </c>
      <c r="K1294" s="21">
        <f t="shared" si="105"/>
        <v>44751</v>
      </c>
      <c r="L1294" t="s">
        <v>238</v>
      </c>
      <c r="M1294" t="s">
        <v>54</v>
      </c>
      <c r="N1294" t="s">
        <v>26</v>
      </c>
      <c r="O1294">
        <v>1</v>
      </c>
      <c r="P1294" t="s">
        <v>346</v>
      </c>
      <c r="Q1294" t="s">
        <v>4525</v>
      </c>
      <c r="R1294" t="s">
        <v>4714</v>
      </c>
      <c r="S1294" t="s">
        <v>4718</v>
      </c>
      <c r="T1294">
        <f t="shared" si="101"/>
        <v>0</v>
      </c>
      <c r="U1294" s="21">
        <f t="shared" si="106"/>
        <v>45116</v>
      </c>
    </row>
    <row r="1295" spans="1:21" x14ac:dyDescent="0.35">
      <c r="A1295" t="s">
        <v>341</v>
      </c>
      <c r="B1295" t="s">
        <v>342</v>
      </c>
      <c r="C1295" t="s">
        <v>30</v>
      </c>
      <c r="D1295" t="s">
        <v>205</v>
      </c>
      <c r="E1295" s="1">
        <v>7.8719999999999999</v>
      </c>
      <c r="F1295" t="s">
        <v>206</v>
      </c>
      <c r="G1295">
        <v>80</v>
      </c>
      <c r="H1295" s="1">
        <v>6.2976000000000001</v>
      </c>
      <c r="I1295" s="21">
        <v>44749</v>
      </c>
      <c r="J1295" s="21">
        <v>44754</v>
      </c>
      <c r="K1295" s="21">
        <f t="shared" si="105"/>
        <v>44754</v>
      </c>
      <c r="L1295" t="s">
        <v>220</v>
      </c>
      <c r="M1295" t="s">
        <v>97</v>
      </c>
      <c r="N1295" t="s">
        <v>68</v>
      </c>
      <c r="O1295">
        <v>1</v>
      </c>
      <c r="P1295" t="s">
        <v>312</v>
      </c>
      <c r="Q1295" t="s">
        <v>4550</v>
      </c>
      <c r="R1295" t="s">
        <v>4726</v>
      </c>
      <c r="S1295" t="s">
        <v>4717</v>
      </c>
      <c r="T1295">
        <f t="shared" si="101"/>
        <v>5</v>
      </c>
      <c r="U1295" s="21">
        <f t="shared" si="106"/>
        <v>45119</v>
      </c>
    </row>
    <row r="1296" spans="1:21" x14ac:dyDescent="0.35">
      <c r="A1296" t="s">
        <v>1537</v>
      </c>
      <c r="B1296" t="s">
        <v>1538</v>
      </c>
      <c r="C1296" t="s">
        <v>30</v>
      </c>
      <c r="D1296" t="s">
        <v>205</v>
      </c>
      <c r="E1296" s="1">
        <v>55.47</v>
      </c>
      <c r="F1296" t="s">
        <v>206</v>
      </c>
      <c r="G1296">
        <v>80</v>
      </c>
      <c r="H1296" s="1">
        <v>44.376000000000005</v>
      </c>
      <c r="I1296" s="21">
        <v>44749</v>
      </c>
      <c r="J1296" s="21">
        <v>44754</v>
      </c>
      <c r="K1296" s="21">
        <f t="shared" si="105"/>
        <v>44754</v>
      </c>
      <c r="L1296" t="s">
        <v>220</v>
      </c>
      <c r="M1296" t="s">
        <v>82</v>
      </c>
      <c r="N1296" t="s">
        <v>47</v>
      </c>
      <c r="O1296">
        <v>1</v>
      </c>
      <c r="P1296" t="s">
        <v>1539</v>
      </c>
      <c r="Q1296" t="s">
        <v>4528</v>
      </c>
      <c r="R1296" t="s">
        <v>4726</v>
      </c>
      <c r="S1296" t="s">
        <v>4717</v>
      </c>
      <c r="T1296">
        <f t="shared" si="101"/>
        <v>5</v>
      </c>
      <c r="U1296" s="21">
        <f t="shared" si="106"/>
        <v>45119</v>
      </c>
    </row>
    <row r="1297" spans="1:21" x14ac:dyDescent="0.35">
      <c r="A1297" t="s">
        <v>1540</v>
      </c>
      <c r="B1297" t="s">
        <v>1541</v>
      </c>
      <c r="C1297" t="s">
        <v>30</v>
      </c>
      <c r="D1297" t="s">
        <v>205</v>
      </c>
      <c r="E1297" s="1">
        <v>43.56</v>
      </c>
      <c r="F1297" t="s">
        <v>206</v>
      </c>
      <c r="G1297">
        <v>80</v>
      </c>
      <c r="H1297" s="1">
        <v>34.848000000000006</v>
      </c>
      <c r="I1297" s="21">
        <v>44749</v>
      </c>
      <c r="J1297" s="21">
        <v>44755</v>
      </c>
      <c r="K1297" s="21">
        <f t="shared" si="105"/>
        <v>44755</v>
      </c>
      <c r="L1297" t="s">
        <v>248</v>
      </c>
      <c r="M1297" t="s">
        <v>54</v>
      </c>
      <c r="N1297" t="s">
        <v>26</v>
      </c>
      <c r="O1297">
        <v>1</v>
      </c>
      <c r="P1297" t="s">
        <v>1542</v>
      </c>
      <c r="Q1297" t="s">
        <v>4513</v>
      </c>
      <c r="R1297" t="s">
        <v>4713</v>
      </c>
      <c r="S1297" t="s">
        <v>4719</v>
      </c>
      <c r="T1297">
        <f t="shared" si="101"/>
        <v>6</v>
      </c>
      <c r="U1297" s="21">
        <f t="shared" si="106"/>
        <v>45120</v>
      </c>
    </row>
    <row r="1298" spans="1:21" x14ac:dyDescent="0.35">
      <c r="A1298" t="s">
        <v>2741</v>
      </c>
      <c r="B1298" t="s">
        <v>2742</v>
      </c>
      <c r="C1298" t="s">
        <v>30</v>
      </c>
      <c r="D1298" t="s">
        <v>212</v>
      </c>
      <c r="E1298" s="1">
        <v>1439.9680000000001</v>
      </c>
      <c r="F1298" t="s">
        <v>206</v>
      </c>
      <c r="G1298">
        <v>100</v>
      </c>
      <c r="H1298" s="1">
        <v>1439.9680000000001</v>
      </c>
      <c r="I1298" s="21">
        <v>44748</v>
      </c>
      <c r="J1298" s="21">
        <v>44753</v>
      </c>
      <c r="K1298" s="21">
        <f t="shared" si="105"/>
        <v>44753</v>
      </c>
      <c r="L1298" t="s">
        <v>207</v>
      </c>
      <c r="M1298" t="s">
        <v>72</v>
      </c>
      <c r="N1298" t="s">
        <v>73</v>
      </c>
      <c r="O1298">
        <v>1</v>
      </c>
      <c r="P1298" t="s">
        <v>2743</v>
      </c>
      <c r="Q1298" t="s">
        <v>4650</v>
      </c>
      <c r="R1298" t="s">
        <v>4720</v>
      </c>
      <c r="S1298" t="s">
        <v>4719</v>
      </c>
      <c r="T1298">
        <f t="shared" si="101"/>
        <v>5</v>
      </c>
      <c r="U1298" s="21">
        <f t="shared" si="106"/>
        <v>45118</v>
      </c>
    </row>
    <row r="1299" spans="1:21" x14ac:dyDescent="0.35">
      <c r="A1299" t="s">
        <v>1534</v>
      </c>
      <c r="B1299" t="s">
        <v>1535</v>
      </c>
      <c r="C1299" t="s">
        <v>19</v>
      </c>
      <c r="D1299" t="s">
        <v>212</v>
      </c>
      <c r="E1299" s="1">
        <v>54.527999999999899</v>
      </c>
      <c r="F1299" t="s">
        <v>206</v>
      </c>
      <c r="G1299">
        <v>100</v>
      </c>
      <c r="H1299" s="1">
        <v>54.527999999999899</v>
      </c>
      <c r="I1299" s="21">
        <v>44747</v>
      </c>
      <c r="J1299" s="21">
        <v>44751</v>
      </c>
      <c r="K1299" s="21">
        <f t="shared" si="105"/>
        <v>44751</v>
      </c>
      <c r="L1299" t="s">
        <v>207</v>
      </c>
      <c r="M1299" t="s">
        <v>97</v>
      </c>
      <c r="N1299" t="s">
        <v>68</v>
      </c>
      <c r="O1299">
        <v>1</v>
      </c>
      <c r="P1299" t="s">
        <v>1536</v>
      </c>
      <c r="Q1299" t="s">
        <v>4729</v>
      </c>
      <c r="R1299" t="s">
        <v>4722</v>
      </c>
      <c r="S1299" t="s">
        <v>4718</v>
      </c>
      <c r="T1299">
        <f t="shared" si="101"/>
        <v>4</v>
      </c>
      <c r="U1299" s="21">
        <f t="shared" si="106"/>
        <v>45116</v>
      </c>
    </row>
    <row r="1300" spans="1:21" x14ac:dyDescent="0.35">
      <c r="A1300" t="s">
        <v>2738</v>
      </c>
      <c r="B1300" t="s">
        <v>2739</v>
      </c>
      <c r="C1300" t="s">
        <v>30</v>
      </c>
      <c r="D1300" t="s">
        <v>212</v>
      </c>
      <c r="E1300" s="1">
        <v>67.36</v>
      </c>
      <c r="F1300" t="s">
        <v>206</v>
      </c>
      <c r="G1300">
        <v>100</v>
      </c>
      <c r="H1300" s="1">
        <v>67.36</v>
      </c>
      <c r="I1300" s="21">
        <v>44747</v>
      </c>
      <c r="J1300" s="21">
        <v>44751</v>
      </c>
      <c r="K1300" s="21">
        <f t="shared" si="105"/>
        <v>44751</v>
      </c>
      <c r="L1300" t="s">
        <v>213</v>
      </c>
      <c r="M1300" t="s">
        <v>33</v>
      </c>
      <c r="N1300" t="s">
        <v>34</v>
      </c>
      <c r="O1300">
        <v>1</v>
      </c>
      <c r="P1300" t="s">
        <v>2740</v>
      </c>
      <c r="Q1300" t="s">
        <v>4729</v>
      </c>
      <c r="R1300" t="s">
        <v>4722</v>
      </c>
      <c r="S1300" t="s">
        <v>4718</v>
      </c>
      <c r="T1300">
        <f t="shared" si="101"/>
        <v>4</v>
      </c>
      <c r="U1300" s="21">
        <f t="shared" si="106"/>
        <v>45116</v>
      </c>
    </row>
    <row r="1301" spans="1:21" x14ac:dyDescent="0.35">
      <c r="A1301" t="s">
        <v>3798</v>
      </c>
      <c r="B1301" t="s">
        <v>3799</v>
      </c>
      <c r="C1301" t="s">
        <v>30</v>
      </c>
      <c r="D1301" t="s">
        <v>212</v>
      </c>
      <c r="E1301" s="1">
        <v>17.43</v>
      </c>
      <c r="F1301" t="s">
        <v>206</v>
      </c>
      <c r="G1301">
        <v>100</v>
      </c>
      <c r="H1301" s="1">
        <v>17.43</v>
      </c>
      <c r="I1301" s="21">
        <v>44747</v>
      </c>
      <c r="J1301" s="21">
        <v>44752</v>
      </c>
      <c r="K1301" s="21">
        <f t="shared" si="105"/>
        <v>44752</v>
      </c>
      <c r="L1301" t="s">
        <v>234</v>
      </c>
      <c r="M1301" t="s">
        <v>72</v>
      </c>
      <c r="N1301" t="s">
        <v>73</v>
      </c>
      <c r="O1301">
        <v>1</v>
      </c>
      <c r="P1301" t="s">
        <v>3800</v>
      </c>
      <c r="Q1301" t="s">
        <v>4560</v>
      </c>
      <c r="R1301" t="s">
        <v>4726</v>
      </c>
      <c r="S1301" t="s">
        <v>4717</v>
      </c>
      <c r="T1301">
        <f t="shared" si="101"/>
        <v>5</v>
      </c>
      <c r="U1301" s="21">
        <f t="shared" si="106"/>
        <v>45117</v>
      </c>
    </row>
    <row r="1302" spans="1:21" x14ac:dyDescent="0.35">
      <c r="A1302" t="s">
        <v>169</v>
      </c>
      <c r="B1302" t="s">
        <v>170</v>
      </c>
      <c r="C1302" t="s">
        <v>19</v>
      </c>
      <c r="D1302" t="s">
        <v>21</v>
      </c>
      <c r="E1302" s="1">
        <v>458.072</v>
      </c>
      <c r="F1302" t="s">
        <v>22</v>
      </c>
      <c r="G1302">
        <v>0</v>
      </c>
      <c r="H1302" s="1">
        <v>0</v>
      </c>
      <c r="I1302" s="21">
        <v>44381</v>
      </c>
      <c r="J1302" s="21">
        <v>44383</v>
      </c>
      <c r="K1302" s="21">
        <v>44383</v>
      </c>
      <c r="L1302" t="s">
        <v>39</v>
      </c>
      <c r="M1302" t="s">
        <v>97</v>
      </c>
      <c r="N1302" t="s">
        <v>68</v>
      </c>
      <c r="O1302">
        <v>1</v>
      </c>
      <c r="P1302" t="s">
        <v>171</v>
      </c>
      <c r="Q1302" t="s">
        <v>4533</v>
      </c>
      <c r="R1302" t="s">
        <v>4721</v>
      </c>
      <c r="S1302" t="s">
        <v>4717</v>
      </c>
      <c r="T1302">
        <f t="shared" si="101"/>
        <v>2</v>
      </c>
      <c r="U1302" s="21">
        <f>J1302</f>
        <v>44383</v>
      </c>
    </row>
    <row r="1303" spans="1:21" x14ac:dyDescent="0.35">
      <c r="A1303" t="s">
        <v>2736</v>
      </c>
      <c r="B1303" t="s">
        <v>2737</v>
      </c>
      <c r="C1303" t="s">
        <v>19</v>
      </c>
      <c r="D1303" t="s">
        <v>212</v>
      </c>
      <c r="E1303" s="1">
        <v>14.6699999999999</v>
      </c>
      <c r="F1303" t="s">
        <v>206</v>
      </c>
      <c r="G1303">
        <v>100</v>
      </c>
      <c r="H1303" s="1">
        <v>14.6699999999999</v>
      </c>
      <c r="I1303" s="21">
        <v>44745</v>
      </c>
      <c r="J1303" s="21">
        <v>44746</v>
      </c>
      <c r="K1303" s="21">
        <f>J1303</f>
        <v>44746</v>
      </c>
      <c r="L1303" t="s">
        <v>207</v>
      </c>
      <c r="M1303" t="s">
        <v>46</v>
      </c>
      <c r="N1303" t="s">
        <v>47</v>
      </c>
      <c r="O1303">
        <v>1</v>
      </c>
      <c r="P1303" t="s">
        <v>720</v>
      </c>
      <c r="Q1303" t="s">
        <v>4591</v>
      </c>
      <c r="R1303" t="s">
        <v>4726</v>
      </c>
      <c r="S1303" t="s">
        <v>4717</v>
      </c>
      <c r="T1303">
        <f t="shared" si="101"/>
        <v>1</v>
      </c>
      <c r="U1303" s="21">
        <f>J1303+365</f>
        <v>45111</v>
      </c>
    </row>
    <row r="1304" spans="1:21" x14ac:dyDescent="0.35">
      <c r="A1304" t="s">
        <v>1372</v>
      </c>
      <c r="B1304" t="s">
        <v>1373</v>
      </c>
      <c r="C1304" t="s">
        <v>19</v>
      </c>
      <c r="D1304" t="s">
        <v>21</v>
      </c>
      <c r="E1304" s="1">
        <v>246.36399999999989</v>
      </c>
      <c r="F1304" t="s">
        <v>22</v>
      </c>
      <c r="G1304">
        <v>0</v>
      </c>
      <c r="H1304" s="1">
        <v>0</v>
      </c>
      <c r="I1304" s="21">
        <v>44380</v>
      </c>
      <c r="J1304" s="21">
        <v>44382</v>
      </c>
      <c r="K1304" s="21">
        <v>44382</v>
      </c>
      <c r="L1304" t="s">
        <v>39</v>
      </c>
      <c r="M1304" t="s">
        <v>72</v>
      </c>
      <c r="N1304" t="s">
        <v>73</v>
      </c>
      <c r="O1304">
        <v>1</v>
      </c>
      <c r="P1304" t="s">
        <v>1374</v>
      </c>
      <c r="Q1304" t="s">
        <v>4627</v>
      </c>
      <c r="R1304" t="s">
        <v>4711</v>
      </c>
      <c r="S1304" t="s">
        <v>4719</v>
      </c>
      <c r="T1304">
        <f t="shared" si="101"/>
        <v>2</v>
      </c>
      <c r="U1304" s="21">
        <f>J1304</f>
        <v>44382</v>
      </c>
    </row>
    <row r="1305" spans="1:21" x14ac:dyDescent="0.35">
      <c r="A1305" t="s">
        <v>3795</v>
      </c>
      <c r="B1305" t="s">
        <v>3796</v>
      </c>
      <c r="C1305" t="s">
        <v>19</v>
      </c>
      <c r="D1305" t="s">
        <v>212</v>
      </c>
      <c r="E1305" s="1">
        <v>369.91199999999998</v>
      </c>
      <c r="F1305" t="s">
        <v>206</v>
      </c>
      <c r="G1305">
        <v>100</v>
      </c>
      <c r="H1305" s="1">
        <v>369.91199999999998</v>
      </c>
      <c r="I1305" s="21">
        <v>44745</v>
      </c>
      <c r="J1305" s="21">
        <v>44745</v>
      </c>
      <c r="K1305" s="21">
        <f t="shared" ref="K1305:K1313" si="107">J1305</f>
        <v>44745</v>
      </c>
      <c r="L1305" t="s">
        <v>207</v>
      </c>
      <c r="M1305" t="s">
        <v>67</v>
      </c>
      <c r="N1305" t="s">
        <v>68</v>
      </c>
      <c r="O1305">
        <v>1</v>
      </c>
      <c r="P1305" t="s">
        <v>3797</v>
      </c>
      <c r="Q1305" t="s">
        <v>4729</v>
      </c>
      <c r="R1305" t="s">
        <v>4712</v>
      </c>
      <c r="S1305" t="s">
        <v>4718</v>
      </c>
      <c r="T1305">
        <f t="shared" si="101"/>
        <v>0</v>
      </c>
      <c r="U1305" s="21">
        <f t="shared" ref="U1305:U1313" si="108">J1305+365</f>
        <v>45110</v>
      </c>
    </row>
    <row r="1306" spans="1:21" x14ac:dyDescent="0.35">
      <c r="A1306" t="s">
        <v>1532</v>
      </c>
      <c r="B1306" t="s">
        <v>1533</v>
      </c>
      <c r="C1306" t="s">
        <v>19</v>
      </c>
      <c r="D1306" t="s">
        <v>212</v>
      </c>
      <c r="E1306" s="1">
        <v>352.45</v>
      </c>
      <c r="F1306" t="s">
        <v>206</v>
      </c>
      <c r="G1306">
        <v>100</v>
      </c>
      <c r="H1306" s="1">
        <v>352.45</v>
      </c>
      <c r="I1306" s="21">
        <v>44742</v>
      </c>
      <c r="J1306" s="21">
        <v>44747</v>
      </c>
      <c r="K1306" s="21">
        <f t="shared" si="107"/>
        <v>44747</v>
      </c>
      <c r="L1306" t="s">
        <v>238</v>
      </c>
      <c r="M1306" t="s">
        <v>40</v>
      </c>
      <c r="N1306" t="s">
        <v>34</v>
      </c>
      <c r="O1306">
        <v>1</v>
      </c>
      <c r="P1306" t="s">
        <v>1315</v>
      </c>
      <c r="Q1306" t="s">
        <v>4566</v>
      </c>
      <c r="R1306" t="s">
        <v>4723</v>
      </c>
      <c r="S1306" t="s">
        <v>4718</v>
      </c>
      <c r="T1306">
        <f t="shared" si="101"/>
        <v>5</v>
      </c>
      <c r="U1306" s="21">
        <f t="shared" si="108"/>
        <v>45112</v>
      </c>
    </row>
    <row r="1307" spans="1:21" x14ac:dyDescent="0.35">
      <c r="A1307" t="s">
        <v>3792</v>
      </c>
      <c r="B1307" t="s">
        <v>3793</v>
      </c>
      <c r="C1307" t="s">
        <v>19</v>
      </c>
      <c r="D1307" t="s">
        <v>212</v>
      </c>
      <c r="E1307" s="1">
        <v>7.5839999999999996</v>
      </c>
      <c r="F1307" t="s">
        <v>206</v>
      </c>
      <c r="G1307">
        <v>100</v>
      </c>
      <c r="H1307" s="1">
        <v>7.5839999999999996</v>
      </c>
      <c r="I1307" s="21">
        <v>44742</v>
      </c>
      <c r="J1307" s="21">
        <v>44746</v>
      </c>
      <c r="K1307" s="21">
        <f t="shared" si="107"/>
        <v>44746</v>
      </c>
      <c r="L1307" t="s">
        <v>238</v>
      </c>
      <c r="M1307" t="s">
        <v>40</v>
      </c>
      <c r="N1307" t="s">
        <v>34</v>
      </c>
      <c r="O1307">
        <v>1</v>
      </c>
      <c r="P1307" t="s">
        <v>3794</v>
      </c>
      <c r="Q1307" t="s">
        <v>4603</v>
      </c>
      <c r="R1307" t="s">
        <v>4721</v>
      </c>
      <c r="S1307" t="s">
        <v>4717</v>
      </c>
      <c r="T1307">
        <f t="shared" si="101"/>
        <v>4</v>
      </c>
      <c r="U1307" s="21">
        <f t="shared" si="108"/>
        <v>45111</v>
      </c>
    </row>
    <row r="1308" spans="1:21" x14ac:dyDescent="0.35">
      <c r="A1308" t="s">
        <v>2733</v>
      </c>
      <c r="B1308" t="s">
        <v>2734</v>
      </c>
      <c r="C1308" t="s">
        <v>30</v>
      </c>
      <c r="D1308" t="s">
        <v>212</v>
      </c>
      <c r="E1308" s="1">
        <v>157.79400000000001</v>
      </c>
      <c r="F1308" t="s">
        <v>206</v>
      </c>
      <c r="G1308">
        <v>100</v>
      </c>
      <c r="H1308" s="1">
        <v>157.79400000000001</v>
      </c>
      <c r="I1308" s="21">
        <v>44742</v>
      </c>
      <c r="J1308" s="21">
        <v>44748</v>
      </c>
      <c r="K1308" s="21">
        <f t="shared" si="107"/>
        <v>44748</v>
      </c>
      <c r="L1308" t="s">
        <v>248</v>
      </c>
      <c r="M1308" t="s">
        <v>46</v>
      </c>
      <c r="N1308" t="s">
        <v>47</v>
      </c>
      <c r="O1308">
        <v>1</v>
      </c>
      <c r="P1308" t="s">
        <v>2735</v>
      </c>
      <c r="Q1308" t="s">
        <v>4528</v>
      </c>
      <c r="R1308" t="s">
        <v>4726</v>
      </c>
      <c r="S1308" t="s">
        <v>4717</v>
      </c>
      <c r="T1308">
        <f t="shared" si="101"/>
        <v>6</v>
      </c>
      <c r="U1308" s="21">
        <f t="shared" si="108"/>
        <v>45113</v>
      </c>
    </row>
    <row r="1309" spans="1:21" x14ac:dyDescent="0.35">
      <c r="A1309" t="s">
        <v>1529</v>
      </c>
      <c r="B1309" t="s">
        <v>1530</v>
      </c>
      <c r="C1309" t="s">
        <v>30</v>
      </c>
      <c r="D1309" t="s">
        <v>205</v>
      </c>
      <c r="E1309" s="1">
        <v>41.988</v>
      </c>
      <c r="F1309" t="s">
        <v>206</v>
      </c>
      <c r="G1309">
        <v>80</v>
      </c>
      <c r="H1309" s="1">
        <v>33.590400000000002</v>
      </c>
      <c r="I1309" s="21">
        <v>44742</v>
      </c>
      <c r="J1309" s="21">
        <v>44745</v>
      </c>
      <c r="K1309" s="21">
        <f t="shared" si="107"/>
        <v>44745</v>
      </c>
      <c r="L1309" t="s">
        <v>234</v>
      </c>
      <c r="M1309" t="s">
        <v>67</v>
      </c>
      <c r="N1309" t="s">
        <v>68</v>
      </c>
      <c r="O1309">
        <v>1</v>
      </c>
      <c r="P1309" t="s">
        <v>1531</v>
      </c>
      <c r="Q1309" t="s">
        <v>4729</v>
      </c>
      <c r="R1309" t="s">
        <v>4721</v>
      </c>
      <c r="S1309" t="s">
        <v>4717</v>
      </c>
      <c r="T1309">
        <f t="shared" si="101"/>
        <v>3</v>
      </c>
      <c r="U1309" s="21">
        <f t="shared" si="108"/>
        <v>45110</v>
      </c>
    </row>
    <row r="1310" spans="1:21" x14ac:dyDescent="0.35">
      <c r="A1310" t="s">
        <v>1527</v>
      </c>
      <c r="B1310" t="s">
        <v>1528</v>
      </c>
      <c r="C1310" t="s">
        <v>19</v>
      </c>
      <c r="D1310" t="s">
        <v>205</v>
      </c>
      <c r="E1310" s="1">
        <v>87.799999999999898</v>
      </c>
      <c r="F1310" t="s">
        <v>206</v>
      </c>
      <c r="G1310">
        <v>80</v>
      </c>
      <c r="H1310" s="1">
        <v>70.239999999999924</v>
      </c>
      <c r="I1310" s="21">
        <v>44739</v>
      </c>
      <c r="J1310" s="21">
        <v>44743</v>
      </c>
      <c r="K1310" s="21">
        <f t="shared" si="107"/>
        <v>44743</v>
      </c>
      <c r="L1310" t="s">
        <v>238</v>
      </c>
      <c r="M1310" t="s">
        <v>82</v>
      </c>
      <c r="N1310" t="s">
        <v>47</v>
      </c>
      <c r="O1310">
        <v>1</v>
      </c>
      <c r="P1310" t="s">
        <v>819</v>
      </c>
      <c r="Q1310" t="s">
        <v>4565</v>
      </c>
      <c r="R1310" t="s">
        <v>4713</v>
      </c>
      <c r="S1310" t="s">
        <v>4719</v>
      </c>
      <c r="T1310">
        <f t="shared" si="101"/>
        <v>4</v>
      </c>
      <c r="U1310" s="21">
        <f t="shared" si="108"/>
        <v>45108</v>
      </c>
    </row>
    <row r="1311" spans="1:21" x14ac:dyDescent="0.35">
      <c r="A1311" t="s">
        <v>338</v>
      </c>
      <c r="B1311" t="s">
        <v>339</v>
      </c>
      <c r="C1311" t="s">
        <v>19</v>
      </c>
      <c r="D1311" t="s">
        <v>205</v>
      </c>
      <c r="E1311" s="1">
        <v>71.975999999999999</v>
      </c>
      <c r="F1311" t="s">
        <v>206</v>
      </c>
      <c r="G1311">
        <v>80</v>
      </c>
      <c r="H1311" s="1">
        <v>57.580800000000004</v>
      </c>
      <c r="I1311" s="21">
        <v>44739</v>
      </c>
      <c r="J1311" s="21">
        <v>44743</v>
      </c>
      <c r="K1311" s="21">
        <f t="shared" si="107"/>
        <v>44743</v>
      </c>
      <c r="L1311" t="s">
        <v>207</v>
      </c>
      <c r="M1311" t="s">
        <v>72</v>
      </c>
      <c r="N1311" t="s">
        <v>73</v>
      </c>
      <c r="O1311">
        <v>1</v>
      </c>
      <c r="P1311" t="s">
        <v>340</v>
      </c>
      <c r="Q1311" t="s">
        <v>4554</v>
      </c>
      <c r="R1311" t="s">
        <v>4720</v>
      </c>
      <c r="S1311" t="s">
        <v>4719</v>
      </c>
      <c r="T1311">
        <f t="shared" si="101"/>
        <v>4</v>
      </c>
      <c r="U1311" s="21">
        <f t="shared" si="108"/>
        <v>45108</v>
      </c>
    </row>
    <row r="1312" spans="1:21" x14ac:dyDescent="0.35">
      <c r="A1312" t="s">
        <v>2730</v>
      </c>
      <c r="B1312" t="s">
        <v>2731</v>
      </c>
      <c r="C1312" t="s">
        <v>30</v>
      </c>
      <c r="D1312" t="s">
        <v>205</v>
      </c>
      <c r="E1312" s="1">
        <v>98.376000000000005</v>
      </c>
      <c r="F1312" t="s">
        <v>206</v>
      </c>
      <c r="G1312">
        <v>80</v>
      </c>
      <c r="H1312" s="1">
        <v>78.700800000000015</v>
      </c>
      <c r="I1312" s="21">
        <v>44739</v>
      </c>
      <c r="J1312" s="21">
        <v>44742</v>
      </c>
      <c r="K1312" s="21">
        <f t="shared" si="107"/>
        <v>44742</v>
      </c>
      <c r="L1312" t="s">
        <v>207</v>
      </c>
      <c r="M1312" t="s">
        <v>54</v>
      </c>
      <c r="N1312" t="s">
        <v>26</v>
      </c>
      <c r="O1312">
        <v>1</v>
      </c>
      <c r="P1312" t="s">
        <v>2732</v>
      </c>
      <c r="Q1312" t="s">
        <v>4729</v>
      </c>
      <c r="R1312" t="s">
        <v>4726</v>
      </c>
      <c r="S1312" t="s">
        <v>4717</v>
      </c>
      <c r="T1312">
        <f t="shared" si="101"/>
        <v>3</v>
      </c>
      <c r="U1312" s="21">
        <f t="shared" si="108"/>
        <v>45107</v>
      </c>
    </row>
    <row r="1313" spans="1:21" x14ac:dyDescent="0.35">
      <c r="A1313" t="s">
        <v>1525</v>
      </c>
      <c r="B1313" t="s">
        <v>1526</v>
      </c>
      <c r="C1313" t="s">
        <v>30</v>
      </c>
      <c r="D1313" t="s">
        <v>205</v>
      </c>
      <c r="E1313" s="1">
        <v>3393.68</v>
      </c>
      <c r="F1313" t="s">
        <v>206</v>
      </c>
      <c r="G1313">
        <v>80</v>
      </c>
      <c r="H1313" s="1">
        <v>2714.944</v>
      </c>
      <c r="I1313" s="21">
        <v>44738</v>
      </c>
      <c r="J1313" s="21">
        <v>44743</v>
      </c>
      <c r="K1313" s="21">
        <f t="shared" si="107"/>
        <v>44743</v>
      </c>
      <c r="L1313" t="s">
        <v>238</v>
      </c>
      <c r="M1313" t="s">
        <v>25</v>
      </c>
      <c r="N1313" t="s">
        <v>26</v>
      </c>
      <c r="O1313">
        <v>1</v>
      </c>
      <c r="P1313" t="s">
        <v>594</v>
      </c>
      <c r="Q1313" t="s">
        <v>4566</v>
      </c>
      <c r="R1313" t="s">
        <v>4721</v>
      </c>
      <c r="S1313" t="s">
        <v>4717</v>
      </c>
      <c r="T1313">
        <f t="shared" si="101"/>
        <v>5</v>
      </c>
      <c r="U1313" s="21">
        <f t="shared" si="108"/>
        <v>45108</v>
      </c>
    </row>
    <row r="1314" spans="1:21" x14ac:dyDescent="0.35">
      <c r="A1314" t="s">
        <v>166</v>
      </c>
      <c r="B1314" t="s">
        <v>167</v>
      </c>
      <c r="C1314" t="s">
        <v>19</v>
      </c>
      <c r="D1314" t="s">
        <v>21</v>
      </c>
      <c r="E1314" s="1">
        <v>128.928</v>
      </c>
      <c r="F1314" t="s">
        <v>22</v>
      </c>
      <c r="G1314">
        <v>0</v>
      </c>
      <c r="H1314" s="1">
        <v>0</v>
      </c>
      <c r="I1314" s="21">
        <v>44373</v>
      </c>
      <c r="J1314" s="21">
        <v>44376</v>
      </c>
      <c r="K1314" s="21">
        <v>44376</v>
      </c>
      <c r="L1314" t="s">
        <v>63</v>
      </c>
      <c r="M1314" t="s">
        <v>40</v>
      </c>
      <c r="N1314" t="s">
        <v>34</v>
      </c>
      <c r="O1314">
        <v>1</v>
      </c>
      <c r="P1314" t="s">
        <v>168</v>
      </c>
      <c r="Q1314" t="s">
        <v>4519</v>
      </c>
      <c r="R1314" t="s">
        <v>4726</v>
      </c>
      <c r="S1314" t="s">
        <v>4717</v>
      </c>
      <c r="T1314">
        <f t="shared" si="101"/>
        <v>3</v>
      </c>
      <c r="U1314" s="21">
        <f>J1314</f>
        <v>44376</v>
      </c>
    </row>
    <row r="1315" spans="1:21" x14ac:dyDescent="0.35">
      <c r="A1315" t="s">
        <v>3790</v>
      </c>
      <c r="B1315" t="s">
        <v>3791</v>
      </c>
      <c r="C1315" t="s">
        <v>30</v>
      </c>
      <c r="D1315" t="s">
        <v>205</v>
      </c>
      <c r="E1315" s="1">
        <v>33.36</v>
      </c>
      <c r="F1315" t="s">
        <v>206</v>
      </c>
      <c r="G1315">
        <v>80</v>
      </c>
      <c r="H1315" s="1">
        <v>26.688000000000002</v>
      </c>
      <c r="I1315" s="21">
        <v>44736</v>
      </c>
      <c r="J1315" s="21">
        <v>44738</v>
      </c>
      <c r="K1315" s="21">
        <f t="shared" ref="K1315:K1324" si="109">J1315</f>
        <v>44738</v>
      </c>
      <c r="L1315" t="s">
        <v>248</v>
      </c>
      <c r="M1315" t="s">
        <v>82</v>
      </c>
      <c r="N1315" t="s">
        <v>47</v>
      </c>
      <c r="O1315">
        <v>1</v>
      </c>
      <c r="P1315" t="s">
        <v>3259</v>
      </c>
      <c r="Q1315" t="s">
        <v>4687</v>
      </c>
      <c r="R1315" t="s">
        <v>4726</v>
      </c>
      <c r="S1315" t="s">
        <v>4717</v>
      </c>
      <c r="T1315">
        <f t="shared" si="101"/>
        <v>2</v>
      </c>
      <c r="U1315" s="21">
        <f t="shared" ref="U1315:U1324" si="110">J1315+365</f>
        <v>45103</v>
      </c>
    </row>
    <row r="1316" spans="1:21" x14ac:dyDescent="0.35">
      <c r="A1316" t="s">
        <v>1523</v>
      </c>
      <c r="B1316" t="s">
        <v>1524</v>
      </c>
      <c r="C1316" t="s">
        <v>30</v>
      </c>
      <c r="D1316" t="s">
        <v>205</v>
      </c>
      <c r="E1316" s="1">
        <v>105.52</v>
      </c>
      <c r="F1316" t="s">
        <v>206</v>
      </c>
      <c r="G1316">
        <v>80</v>
      </c>
      <c r="H1316" s="1">
        <v>84.415999999999997</v>
      </c>
      <c r="I1316" s="21">
        <v>44735</v>
      </c>
      <c r="J1316" s="21">
        <v>44738</v>
      </c>
      <c r="K1316" s="21">
        <f t="shared" si="109"/>
        <v>44738</v>
      </c>
      <c r="L1316" t="s">
        <v>207</v>
      </c>
      <c r="M1316" t="s">
        <v>72</v>
      </c>
      <c r="N1316" t="s">
        <v>73</v>
      </c>
      <c r="O1316">
        <v>1</v>
      </c>
      <c r="P1316" t="s">
        <v>1202</v>
      </c>
      <c r="Q1316" t="s">
        <v>4729</v>
      </c>
      <c r="R1316" t="s">
        <v>4726</v>
      </c>
      <c r="S1316" t="s">
        <v>4717</v>
      </c>
      <c r="T1316">
        <f t="shared" si="101"/>
        <v>3</v>
      </c>
      <c r="U1316" s="21">
        <f t="shared" si="110"/>
        <v>45103</v>
      </c>
    </row>
    <row r="1317" spans="1:21" x14ac:dyDescent="0.35">
      <c r="A1317" t="s">
        <v>2727</v>
      </c>
      <c r="B1317" t="s">
        <v>2728</v>
      </c>
      <c r="C1317" t="s">
        <v>30</v>
      </c>
      <c r="D1317" t="s">
        <v>212</v>
      </c>
      <c r="E1317" s="1">
        <v>6.992</v>
      </c>
      <c r="F1317" t="s">
        <v>206</v>
      </c>
      <c r="G1317">
        <v>100</v>
      </c>
      <c r="H1317" s="1">
        <v>6.992</v>
      </c>
      <c r="I1317" s="21">
        <v>44735</v>
      </c>
      <c r="J1317" s="21">
        <v>44740</v>
      </c>
      <c r="K1317" s="21">
        <f t="shared" si="109"/>
        <v>44740</v>
      </c>
      <c r="L1317" t="s">
        <v>238</v>
      </c>
      <c r="M1317" t="s">
        <v>146</v>
      </c>
      <c r="N1317" t="s">
        <v>73</v>
      </c>
      <c r="O1317">
        <v>1</v>
      </c>
      <c r="P1317" t="s">
        <v>2729</v>
      </c>
      <c r="Q1317" t="s">
        <v>4590</v>
      </c>
      <c r="R1317" t="s">
        <v>4721</v>
      </c>
      <c r="S1317" t="s">
        <v>4717</v>
      </c>
      <c r="T1317">
        <f t="shared" si="101"/>
        <v>5</v>
      </c>
      <c r="U1317" s="21">
        <f t="shared" si="110"/>
        <v>45105</v>
      </c>
    </row>
    <row r="1318" spans="1:21" x14ac:dyDescent="0.35">
      <c r="A1318" t="s">
        <v>2724</v>
      </c>
      <c r="B1318" t="s">
        <v>2725</v>
      </c>
      <c r="C1318" t="s">
        <v>30</v>
      </c>
      <c r="D1318" t="s">
        <v>205</v>
      </c>
      <c r="E1318" s="1">
        <v>91.96</v>
      </c>
      <c r="F1318" t="s">
        <v>206</v>
      </c>
      <c r="G1318">
        <v>80</v>
      </c>
      <c r="H1318" s="1">
        <v>73.567999999999998</v>
      </c>
      <c r="I1318" s="21">
        <v>44735</v>
      </c>
      <c r="J1318" s="21">
        <v>44739</v>
      </c>
      <c r="K1318" s="21">
        <f t="shared" si="109"/>
        <v>44739</v>
      </c>
      <c r="L1318" t="s">
        <v>238</v>
      </c>
      <c r="M1318" t="s">
        <v>72</v>
      </c>
      <c r="N1318" t="s">
        <v>73</v>
      </c>
      <c r="O1318">
        <v>1</v>
      </c>
      <c r="P1318" t="s">
        <v>2726</v>
      </c>
      <c r="Q1318" t="s">
        <v>4729</v>
      </c>
      <c r="R1318" t="s">
        <v>4721</v>
      </c>
      <c r="S1318" t="s">
        <v>4718</v>
      </c>
      <c r="T1318">
        <f t="shared" si="101"/>
        <v>4</v>
      </c>
      <c r="U1318" s="21">
        <f t="shared" si="110"/>
        <v>45104</v>
      </c>
    </row>
    <row r="1319" spans="1:21" x14ac:dyDescent="0.35">
      <c r="A1319" t="s">
        <v>1521</v>
      </c>
      <c r="B1319" t="s">
        <v>1522</v>
      </c>
      <c r="C1319" t="s">
        <v>30</v>
      </c>
      <c r="D1319" t="s">
        <v>212</v>
      </c>
      <c r="E1319" s="1">
        <v>18.864000000000001</v>
      </c>
      <c r="F1319" t="s">
        <v>206</v>
      </c>
      <c r="G1319">
        <v>100</v>
      </c>
      <c r="H1319" s="1">
        <v>18.864000000000001</v>
      </c>
      <c r="I1319" s="21">
        <v>44734</v>
      </c>
      <c r="J1319" s="21">
        <v>44740</v>
      </c>
      <c r="K1319" s="21">
        <f t="shared" si="109"/>
        <v>44740</v>
      </c>
      <c r="L1319" t="s">
        <v>238</v>
      </c>
      <c r="M1319" t="s">
        <v>25</v>
      </c>
      <c r="N1319" t="s">
        <v>26</v>
      </c>
      <c r="O1319">
        <v>1</v>
      </c>
      <c r="P1319" t="s">
        <v>196</v>
      </c>
      <c r="Q1319" t="s">
        <v>4729</v>
      </c>
      <c r="R1319" t="s">
        <v>4726</v>
      </c>
      <c r="S1319" t="s">
        <v>4717</v>
      </c>
      <c r="T1319">
        <f t="shared" si="101"/>
        <v>6</v>
      </c>
      <c r="U1319" s="21">
        <f t="shared" si="110"/>
        <v>45105</v>
      </c>
    </row>
    <row r="1320" spans="1:21" x14ac:dyDescent="0.35">
      <c r="A1320" t="s">
        <v>335</v>
      </c>
      <c r="B1320" t="s">
        <v>336</v>
      </c>
      <c r="C1320" t="s">
        <v>19</v>
      </c>
      <c r="D1320" t="s">
        <v>212</v>
      </c>
      <c r="E1320" s="1">
        <v>43.13</v>
      </c>
      <c r="F1320" t="s">
        <v>206</v>
      </c>
      <c r="G1320">
        <v>100</v>
      </c>
      <c r="H1320" s="1">
        <v>43.13</v>
      </c>
      <c r="I1320" s="21">
        <v>44733</v>
      </c>
      <c r="J1320" s="21">
        <v>44736</v>
      </c>
      <c r="K1320" s="21">
        <f t="shared" si="109"/>
        <v>44736</v>
      </c>
      <c r="L1320" t="s">
        <v>234</v>
      </c>
      <c r="M1320" t="s">
        <v>72</v>
      </c>
      <c r="N1320" t="s">
        <v>73</v>
      </c>
      <c r="O1320">
        <v>1</v>
      </c>
      <c r="P1320" t="s">
        <v>337</v>
      </c>
      <c r="Q1320" t="s">
        <v>4553</v>
      </c>
      <c r="R1320" t="s">
        <v>4722</v>
      </c>
      <c r="S1320" t="s">
        <v>4718</v>
      </c>
      <c r="T1320">
        <f t="shared" si="101"/>
        <v>3</v>
      </c>
      <c r="U1320" s="21">
        <f t="shared" si="110"/>
        <v>45101</v>
      </c>
    </row>
    <row r="1321" spans="1:21" x14ac:dyDescent="0.35">
      <c r="A1321" t="s">
        <v>332</v>
      </c>
      <c r="B1321" t="s">
        <v>333</v>
      </c>
      <c r="C1321" t="s">
        <v>30</v>
      </c>
      <c r="D1321" t="s">
        <v>205</v>
      </c>
      <c r="E1321" s="1">
        <v>40.14</v>
      </c>
      <c r="F1321" t="s">
        <v>206</v>
      </c>
      <c r="G1321">
        <v>80</v>
      </c>
      <c r="H1321" s="1">
        <v>32.112000000000002</v>
      </c>
      <c r="I1321" s="21">
        <v>44733</v>
      </c>
      <c r="J1321" s="21">
        <v>44737</v>
      </c>
      <c r="K1321" s="21">
        <f t="shared" si="109"/>
        <v>44737</v>
      </c>
      <c r="L1321" t="s">
        <v>248</v>
      </c>
      <c r="M1321" t="s">
        <v>97</v>
      </c>
      <c r="N1321" t="s">
        <v>68</v>
      </c>
      <c r="O1321">
        <v>1</v>
      </c>
      <c r="P1321" t="s">
        <v>334</v>
      </c>
      <c r="Q1321" t="s">
        <v>4729</v>
      </c>
      <c r="R1321" t="s">
        <v>4726</v>
      </c>
      <c r="S1321" t="s">
        <v>4717</v>
      </c>
      <c r="T1321">
        <f t="shared" si="101"/>
        <v>4</v>
      </c>
      <c r="U1321" s="21">
        <f t="shared" si="110"/>
        <v>45102</v>
      </c>
    </row>
    <row r="1322" spans="1:21" x14ac:dyDescent="0.35">
      <c r="A1322" t="s">
        <v>3788</v>
      </c>
      <c r="B1322" t="s">
        <v>3789</v>
      </c>
      <c r="C1322" t="s">
        <v>30</v>
      </c>
      <c r="D1322" t="s">
        <v>205</v>
      </c>
      <c r="E1322" s="1">
        <v>33.36</v>
      </c>
      <c r="F1322" t="s">
        <v>206</v>
      </c>
      <c r="G1322">
        <v>80</v>
      </c>
      <c r="H1322" s="1">
        <v>26.688000000000002</v>
      </c>
      <c r="I1322" s="21">
        <v>44732</v>
      </c>
      <c r="J1322" s="21">
        <v>44737</v>
      </c>
      <c r="K1322" s="21">
        <f t="shared" si="109"/>
        <v>44737</v>
      </c>
      <c r="L1322" t="s">
        <v>248</v>
      </c>
      <c r="M1322" t="s">
        <v>146</v>
      </c>
      <c r="N1322" t="s">
        <v>73</v>
      </c>
      <c r="O1322">
        <v>1</v>
      </c>
      <c r="P1322" t="s">
        <v>2320</v>
      </c>
      <c r="Q1322" t="s">
        <v>4546</v>
      </c>
      <c r="R1322" t="s">
        <v>4726</v>
      </c>
      <c r="S1322" t="s">
        <v>4717</v>
      </c>
      <c r="T1322">
        <f t="shared" si="101"/>
        <v>5</v>
      </c>
      <c r="U1322" s="21">
        <f t="shared" si="110"/>
        <v>45102</v>
      </c>
    </row>
    <row r="1323" spans="1:21" x14ac:dyDescent="0.35">
      <c r="A1323" t="s">
        <v>3786</v>
      </c>
      <c r="B1323" t="s">
        <v>3787</v>
      </c>
      <c r="C1323" t="s">
        <v>30</v>
      </c>
      <c r="D1323" t="s">
        <v>205</v>
      </c>
      <c r="E1323" s="1">
        <v>17.568000000000001</v>
      </c>
      <c r="F1323" t="s">
        <v>206</v>
      </c>
      <c r="G1323">
        <v>80</v>
      </c>
      <c r="H1323" s="1">
        <v>14.054400000000001</v>
      </c>
      <c r="I1323" s="21">
        <v>44732</v>
      </c>
      <c r="J1323" s="21">
        <v>44732</v>
      </c>
      <c r="K1323" s="21">
        <f t="shared" si="109"/>
        <v>44732</v>
      </c>
      <c r="L1323" t="s">
        <v>220</v>
      </c>
      <c r="M1323" t="s">
        <v>54</v>
      </c>
      <c r="N1323" t="s">
        <v>26</v>
      </c>
      <c r="O1323">
        <v>1</v>
      </c>
      <c r="P1323" t="s">
        <v>2370</v>
      </c>
      <c r="Q1323" t="s">
        <v>4528</v>
      </c>
      <c r="R1323" t="s">
        <v>4726</v>
      </c>
      <c r="S1323" t="s">
        <v>4717</v>
      </c>
      <c r="T1323">
        <f t="shared" si="101"/>
        <v>0</v>
      </c>
      <c r="U1323" s="21">
        <f t="shared" si="110"/>
        <v>45097</v>
      </c>
    </row>
    <row r="1324" spans="1:21" x14ac:dyDescent="0.35">
      <c r="A1324" t="s">
        <v>2721</v>
      </c>
      <c r="B1324" t="s">
        <v>2722</v>
      </c>
      <c r="C1324" t="s">
        <v>30</v>
      </c>
      <c r="D1324" t="s">
        <v>205</v>
      </c>
      <c r="E1324" s="1">
        <v>14.62</v>
      </c>
      <c r="F1324" t="s">
        <v>206</v>
      </c>
      <c r="G1324">
        <v>80</v>
      </c>
      <c r="H1324" s="1">
        <v>11.696</v>
      </c>
      <c r="I1324" s="21">
        <v>44732</v>
      </c>
      <c r="J1324" s="21">
        <v>44736</v>
      </c>
      <c r="K1324" s="21">
        <f t="shared" si="109"/>
        <v>44736</v>
      </c>
      <c r="L1324" t="s">
        <v>213</v>
      </c>
      <c r="M1324" t="s">
        <v>40</v>
      </c>
      <c r="N1324" t="s">
        <v>34</v>
      </c>
      <c r="O1324">
        <v>1</v>
      </c>
      <c r="P1324" t="s">
        <v>2723</v>
      </c>
      <c r="Q1324" t="s">
        <v>4729</v>
      </c>
      <c r="R1324" t="s">
        <v>4726</v>
      </c>
      <c r="S1324" t="s">
        <v>4717</v>
      </c>
      <c r="T1324">
        <f t="shared" si="101"/>
        <v>4</v>
      </c>
      <c r="U1324" s="21">
        <f t="shared" si="110"/>
        <v>45101</v>
      </c>
    </row>
    <row r="1325" spans="1:21" x14ac:dyDescent="0.35">
      <c r="A1325" t="s">
        <v>2554</v>
      </c>
      <c r="B1325" t="s">
        <v>2555</v>
      </c>
      <c r="C1325" t="s">
        <v>30</v>
      </c>
      <c r="D1325" t="s">
        <v>21</v>
      </c>
      <c r="E1325" s="1">
        <v>670.00099999999998</v>
      </c>
      <c r="F1325" t="s">
        <v>22</v>
      </c>
      <c r="G1325">
        <v>0</v>
      </c>
      <c r="H1325" s="1">
        <v>0</v>
      </c>
      <c r="I1325" s="21">
        <v>44366</v>
      </c>
      <c r="J1325" s="21">
        <v>44368</v>
      </c>
      <c r="K1325" s="21">
        <v>44368</v>
      </c>
      <c r="L1325" t="s">
        <v>39</v>
      </c>
      <c r="M1325" t="s">
        <v>146</v>
      </c>
      <c r="N1325" t="s">
        <v>73</v>
      </c>
      <c r="O1325">
        <v>1</v>
      </c>
      <c r="P1325" t="s">
        <v>773</v>
      </c>
      <c r="Q1325" t="s">
        <v>4517</v>
      </c>
      <c r="R1325" t="s">
        <v>4726</v>
      </c>
      <c r="S1325" t="s">
        <v>4717</v>
      </c>
      <c r="T1325">
        <f t="shared" si="101"/>
        <v>2</v>
      </c>
      <c r="U1325" s="21">
        <f>J1325</f>
        <v>44368</v>
      </c>
    </row>
    <row r="1326" spans="1:21" x14ac:dyDescent="0.35">
      <c r="A1326" t="s">
        <v>329</v>
      </c>
      <c r="B1326" t="s">
        <v>330</v>
      </c>
      <c r="C1326" t="s">
        <v>19</v>
      </c>
      <c r="D1326" t="s">
        <v>205</v>
      </c>
      <c r="E1326" s="1">
        <v>85.9</v>
      </c>
      <c r="F1326" t="s">
        <v>206</v>
      </c>
      <c r="G1326">
        <v>80</v>
      </c>
      <c r="H1326" s="1">
        <v>68.720000000000013</v>
      </c>
      <c r="I1326" s="21">
        <v>44731</v>
      </c>
      <c r="J1326" s="21">
        <v>44735</v>
      </c>
      <c r="K1326" s="21">
        <f t="shared" ref="K1326:K1328" si="111">J1326</f>
        <v>44735</v>
      </c>
      <c r="L1326" t="s">
        <v>213</v>
      </c>
      <c r="M1326" t="s">
        <v>97</v>
      </c>
      <c r="N1326" t="s">
        <v>68</v>
      </c>
      <c r="O1326">
        <v>1</v>
      </c>
      <c r="P1326" t="s">
        <v>331</v>
      </c>
      <c r="Q1326" t="s">
        <v>4552</v>
      </c>
      <c r="R1326" t="s">
        <v>4713</v>
      </c>
      <c r="S1326" t="s">
        <v>4719</v>
      </c>
      <c r="T1326">
        <f t="shared" si="101"/>
        <v>4</v>
      </c>
      <c r="U1326" s="21">
        <f t="shared" ref="U1326:U1328" si="112">J1326+365</f>
        <v>45100</v>
      </c>
    </row>
    <row r="1327" spans="1:21" x14ac:dyDescent="0.35">
      <c r="A1327" t="s">
        <v>1518</v>
      </c>
      <c r="B1327" t="s">
        <v>1519</v>
      </c>
      <c r="C1327" t="s">
        <v>30</v>
      </c>
      <c r="D1327" t="s">
        <v>205</v>
      </c>
      <c r="E1327" s="1">
        <v>19.440000000000001</v>
      </c>
      <c r="F1327" t="s">
        <v>206</v>
      </c>
      <c r="G1327">
        <v>80</v>
      </c>
      <c r="H1327" s="1">
        <v>15.552000000000001</v>
      </c>
      <c r="I1327" s="21">
        <v>44731</v>
      </c>
      <c r="J1327" s="21">
        <v>44735</v>
      </c>
      <c r="K1327" s="21">
        <f t="shared" si="111"/>
        <v>44735</v>
      </c>
      <c r="L1327" t="s">
        <v>207</v>
      </c>
      <c r="M1327" t="s">
        <v>25</v>
      </c>
      <c r="N1327" t="s">
        <v>26</v>
      </c>
      <c r="O1327">
        <v>1</v>
      </c>
      <c r="P1327" t="s">
        <v>1520</v>
      </c>
      <c r="Q1327" t="s">
        <v>4519</v>
      </c>
      <c r="R1327" t="s">
        <v>4726</v>
      </c>
      <c r="S1327" t="s">
        <v>4717</v>
      </c>
      <c r="T1327">
        <f t="shared" si="101"/>
        <v>4</v>
      </c>
      <c r="U1327" s="21">
        <f t="shared" si="112"/>
        <v>45100</v>
      </c>
    </row>
    <row r="1328" spans="1:21" x14ac:dyDescent="0.35">
      <c r="A1328" t="s">
        <v>326</v>
      </c>
      <c r="B1328" t="s">
        <v>327</v>
      </c>
      <c r="C1328" t="s">
        <v>30</v>
      </c>
      <c r="D1328" t="s">
        <v>212</v>
      </c>
      <c r="E1328" s="1">
        <v>8.5679999999999907</v>
      </c>
      <c r="F1328" t="s">
        <v>206</v>
      </c>
      <c r="G1328">
        <v>100</v>
      </c>
      <c r="H1328" s="1">
        <v>8.5679999999999907</v>
      </c>
      <c r="I1328" s="21">
        <v>44729</v>
      </c>
      <c r="J1328" s="21">
        <v>44733</v>
      </c>
      <c r="K1328" s="21">
        <f t="shared" si="111"/>
        <v>44733</v>
      </c>
      <c r="L1328" t="s">
        <v>248</v>
      </c>
      <c r="M1328" t="s">
        <v>40</v>
      </c>
      <c r="N1328" t="s">
        <v>34</v>
      </c>
      <c r="O1328">
        <v>1</v>
      </c>
      <c r="P1328" t="s">
        <v>328</v>
      </c>
      <c r="Q1328" t="s">
        <v>4517</v>
      </c>
      <c r="R1328" t="s">
        <v>4726</v>
      </c>
      <c r="S1328" t="s">
        <v>4717</v>
      </c>
      <c r="T1328">
        <f t="shared" si="101"/>
        <v>4</v>
      </c>
      <c r="U1328" s="21">
        <f t="shared" si="112"/>
        <v>45098</v>
      </c>
    </row>
    <row r="1329" spans="1:21" x14ac:dyDescent="0.35">
      <c r="A1329" t="s">
        <v>2551</v>
      </c>
      <c r="B1329" t="s">
        <v>2552</v>
      </c>
      <c r="C1329" t="s">
        <v>19</v>
      </c>
      <c r="D1329" t="s">
        <v>21</v>
      </c>
      <c r="E1329" s="1">
        <v>3184.3560000000002</v>
      </c>
      <c r="F1329" t="s">
        <v>22</v>
      </c>
      <c r="G1329">
        <v>0</v>
      </c>
      <c r="H1329" s="1">
        <v>0</v>
      </c>
      <c r="I1329" s="21">
        <v>44364</v>
      </c>
      <c r="J1329" s="21">
        <v>44367</v>
      </c>
      <c r="K1329" s="21">
        <v>44367</v>
      </c>
      <c r="L1329" t="s">
        <v>24</v>
      </c>
      <c r="M1329" t="s">
        <v>33</v>
      </c>
      <c r="N1329" t="s">
        <v>34</v>
      </c>
      <c r="O1329">
        <v>1</v>
      </c>
      <c r="P1329" t="s">
        <v>2553</v>
      </c>
      <c r="Q1329" t="s">
        <v>4560</v>
      </c>
      <c r="R1329" t="s">
        <v>4726</v>
      </c>
      <c r="S1329" t="s">
        <v>4717</v>
      </c>
      <c r="T1329">
        <f t="shared" si="101"/>
        <v>3</v>
      </c>
      <c r="U1329" s="21">
        <f>J1329</f>
        <v>44367</v>
      </c>
    </row>
    <row r="1330" spans="1:21" x14ac:dyDescent="0.35">
      <c r="A1330" t="s">
        <v>2718</v>
      </c>
      <c r="B1330" t="s">
        <v>2719</v>
      </c>
      <c r="C1330" t="s">
        <v>19</v>
      </c>
      <c r="D1330" t="s">
        <v>205</v>
      </c>
      <c r="E1330" s="1">
        <v>1119.9839999999999</v>
      </c>
      <c r="F1330" t="s">
        <v>206</v>
      </c>
      <c r="G1330">
        <v>80</v>
      </c>
      <c r="H1330" s="1">
        <v>895.98720000000003</v>
      </c>
      <c r="I1330" s="21">
        <v>44728</v>
      </c>
      <c r="J1330" s="21">
        <v>44730</v>
      </c>
      <c r="K1330" s="21">
        <f t="shared" ref="K1330:K1338" si="113">J1330</f>
        <v>44730</v>
      </c>
      <c r="L1330" t="s">
        <v>207</v>
      </c>
      <c r="M1330" t="s">
        <v>54</v>
      </c>
      <c r="N1330" t="s">
        <v>26</v>
      </c>
      <c r="O1330">
        <v>1</v>
      </c>
      <c r="P1330" t="s">
        <v>2720</v>
      </c>
      <c r="Q1330" t="s">
        <v>4650</v>
      </c>
      <c r="R1330" t="s">
        <v>4720</v>
      </c>
      <c r="S1330" t="s">
        <v>4719</v>
      </c>
      <c r="T1330">
        <f t="shared" si="101"/>
        <v>2</v>
      </c>
      <c r="U1330" s="21">
        <f t="shared" ref="U1330:U1338" si="114">J1330+365</f>
        <v>45095</v>
      </c>
    </row>
    <row r="1331" spans="1:21" x14ac:dyDescent="0.35">
      <c r="A1331" t="s">
        <v>322</v>
      </c>
      <c r="B1331" t="s">
        <v>323</v>
      </c>
      <c r="C1331" t="s">
        <v>30</v>
      </c>
      <c r="D1331" t="s">
        <v>205</v>
      </c>
      <c r="E1331" s="1">
        <v>31.92</v>
      </c>
      <c r="F1331" t="s">
        <v>206</v>
      </c>
      <c r="G1331">
        <v>80</v>
      </c>
      <c r="H1331" s="1">
        <v>25.536000000000001</v>
      </c>
      <c r="I1331" s="21">
        <v>44728</v>
      </c>
      <c r="J1331" s="21">
        <v>44732</v>
      </c>
      <c r="K1331" s="21">
        <f t="shared" si="113"/>
        <v>44732</v>
      </c>
      <c r="L1331" t="s">
        <v>207</v>
      </c>
      <c r="M1331" t="s">
        <v>82</v>
      </c>
      <c r="N1331" t="s">
        <v>47</v>
      </c>
      <c r="O1331">
        <v>1</v>
      </c>
      <c r="P1331" t="s">
        <v>325</v>
      </c>
      <c r="Q1331" t="s">
        <v>4551</v>
      </c>
      <c r="R1331" t="s">
        <v>4711</v>
      </c>
      <c r="S1331" t="s">
        <v>4719</v>
      </c>
      <c r="T1331">
        <f t="shared" si="101"/>
        <v>4</v>
      </c>
      <c r="U1331" s="21">
        <f t="shared" si="114"/>
        <v>45097</v>
      </c>
    </row>
    <row r="1332" spans="1:21" x14ac:dyDescent="0.35">
      <c r="A1332" t="s">
        <v>2715</v>
      </c>
      <c r="B1332" t="s">
        <v>2716</v>
      </c>
      <c r="C1332" t="s">
        <v>30</v>
      </c>
      <c r="D1332" t="s">
        <v>205</v>
      </c>
      <c r="E1332" s="1">
        <v>2.556</v>
      </c>
      <c r="F1332" t="s">
        <v>206</v>
      </c>
      <c r="G1332">
        <v>80</v>
      </c>
      <c r="H1332" s="1">
        <v>2.0448</v>
      </c>
      <c r="I1332" s="21">
        <v>44727</v>
      </c>
      <c r="J1332" s="21">
        <v>44731</v>
      </c>
      <c r="K1332" s="21">
        <f t="shared" si="113"/>
        <v>44731</v>
      </c>
      <c r="L1332" t="s">
        <v>207</v>
      </c>
      <c r="M1332" t="s">
        <v>54</v>
      </c>
      <c r="N1332" t="s">
        <v>26</v>
      </c>
      <c r="O1332">
        <v>1</v>
      </c>
      <c r="P1332" t="s">
        <v>2717</v>
      </c>
      <c r="Q1332" t="s">
        <v>4517</v>
      </c>
      <c r="R1332" t="s">
        <v>4726</v>
      </c>
      <c r="S1332" t="s">
        <v>4717</v>
      </c>
      <c r="T1332">
        <f t="shared" si="101"/>
        <v>4</v>
      </c>
      <c r="U1332" s="21">
        <f t="shared" si="114"/>
        <v>45096</v>
      </c>
    </row>
    <row r="1333" spans="1:21" x14ac:dyDescent="0.35">
      <c r="A1333" t="s">
        <v>3783</v>
      </c>
      <c r="B1333" t="s">
        <v>3784</v>
      </c>
      <c r="C1333" t="s">
        <v>30</v>
      </c>
      <c r="D1333" t="s">
        <v>212</v>
      </c>
      <c r="E1333" s="1">
        <v>493.91999999999899</v>
      </c>
      <c r="F1333" t="s">
        <v>206</v>
      </c>
      <c r="G1333">
        <v>100</v>
      </c>
      <c r="H1333" s="1">
        <v>493.91999999999899</v>
      </c>
      <c r="I1333" s="21">
        <v>44726</v>
      </c>
      <c r="J1333" s="21">
        <v>44727</v>
      </c>
      <c r="K1333" s="21">
        <f t="shared" si="113"/>
        <v>44727</v>
      </c>
      <c r="L1333" t="s">
        <v>234</v>
      </c>
      <c r="M1333" t="s">
        <v>46</v>
      </c>
      <c r="N1333" t="s">
        <v>47</v>
      </c>
      <c r="O1333">
        <v>1</v>
      </c>
      <c r="P1333" t="s">
        <v>3785</v>
      </c>
      <c r="Q1333" t="s">
        <v>4729</v>
      </c>
      <c r="R1333" t="s">
        <v>4712</v>
      </c>
      <c r="S1333" t="s">
        <v>4718</v>
      </c>
      <c r="T1333">
        <f t="shared" si="101"/>
        <v>1</v>
      </c>
      <c r="U1333" s="21">
        <f t="shared" si="114"/>
        <v>45092</v>
      </c>
    </row>
    <row r="1334" spans="1:21" x14ac:dyDescent="0.35">
      <c r="A1334" t="s">
        <v>1516</v>
      </c>
      <c r="B1334" t="s">
        <v>1517</v>
      </c>
      <c r="C1334" t="s">
        <v>30</v>
      </c>
      <c r="D1334" t="s">
        <v>212</v>
      </c>
      <c r="E1334" s="1">
        <v>101.88</v>
      </c>
      <c r="F1334" t="s">
        <v>206</v>
      </c>
      <c r="G1334">
        <v>100</v>
      </c>
      <c r="H1334" s="1">
        <v>101.88</v>
      </c>
      <c r="I1334" s="21">
        <v>44726</v>
      </c>
      <c r="J1334" s="21">
        <v>44730</v>
      </c>
      <c r="K1334" s="21">
        <f t="shared" si="113"/>
        <v>44730</v>
      </c>
      <c r="L1334" t="s">
        <v>248</v>
      </c>
      <c r="M1334" t="s">
        <v>67</v>
      </c>
      <c r="N1334" t="s">
        <v>68</v>
      </c>
      <c r="O1334">
        <v>1</v>
      </c>
      <c r="P1334" t="s">
        <v>187</v>
      </c>
      <c r="Q1334" t="s">
        <v>4536</v>
      </c>
      <c r="R1334" t="s">
        <v>4512</v>
      </c>
      <c r="S1334" t="s">
        <v>4717</v>
      </c>
      <c r="T1334">
        <f t="shared" si="101"/>
        <v>4</v>
      </c>
      <c r="U1334" s="21">
        <f t="shared" si="114"/>
        <v>45095</v>
      </c>
    </row>
    <row r="1335" spans="1:21" x14ac:dyDescent="0.35">
      <c r="A1335" t="s">
        <v>2712</v>
      </c>
      <c r="B1335" t="s">
        <v>2713</v>
      </c>
      <c r="C1335" t="s">
        <v>30</v>
      </c>
      <c r="D1335" t="s">
        <v>212</v>
      </c>
      <c r="E1335" s="1">
        <v>105.98</v>
      </c>
      <c r="F1335" t="s">
        <v>206</v>
      </c>
      <c r="G1335">
        <v>100</v>
      </c>
      <c r="H1335" s="1">
        <v>105.98</v>
      </c>
      <c r="I1335" s="21">
        <v>44726</v>
      </c>
      <c r="J1335" s="21">
        <v>44728</v>
      </c>
      <c r="K1335" s="21">
        <f t="shared" si="113"/>
        <v>44728</v>
      </c>
      <c r="L1335" t="s">
        <v>213</v>
      </c>
      <c r="M1335" t="s">
        <v>33</v>
      </c>
      <c r="N1335" t="s">
        <v>34</v>
      </c>
      <c r="O1335">
        <v>1</v>
      </c>
      <c r="P1335" t="s">
        <v>2714</v>
      </c>
      <c r="Q1335" t="s">
        <v>4729</v>
      </c>
      <c r="R1335" t="s">
        <v>4711</v>
      </c>
      <c r="S1335" t="s">
        <v>4719</v>
      </c>
      <c r="T1335">
        <f t="shared" si="101"/>
        <v>2</v>
      </c>
      <c r="U1335" s="21">
        <f t="shared" si="114"/>
        <v>45093</v>
      </c>
    </row>
    <row r="1336" spans="1:21" x14ac:dyDescent="0.35">
      <c r="A1336" t="s">
        <v>316</v>
      </c>
      <c r="B1336" t="s">
        <v>317</v>
      </c>
      <c r="C1336" t="s">
        <v>19</v>
      </c>
      <c r="D1336" t="s">
        <v>212</v>
      </c>
      <c r="E1336" s="1">
        <v>29.99</v>
      </c>
      <c r="F1336" t="s">
        <v>206</v>
      </c>
      <c r="G1336">
        <v>100</v>
      </c>
      <c r="H1336" s="1">
        <v>29.99</v>
      </c>
      <c r="I1336" s="21">
        <v>44725</v>
      </c>
      <c r="J1336" s="21">
        <v>44729</v>
      </c>
      <c r="K1336" s="21">
        <f t="shared" si="113"/>
        <v>44729</v>
      </c>
      <c r="L1336" t="s">
        <v>248</v>
      </c>
      <c r="M1336" t="s">
        <v>67</v>
      </c>
      <c r="N1336" t="s">
        <v>68</v>
      </c>
      <c r="O1336">
        <v>1</v>
      </c>
      <c r="P1336" t="s">
        <v>318</v>
      </c>
      <c r="Q1336" t="s">
        <v>4729</v>
      </c>
      <c r="R1336" t="s">
        <v>4710</v>
      </c>
      <c r="S1336" t="s">
        <v>4717</v>
      </c>
      <c r="T1336">
        <f t="shared" si="101"/>
        <v>4</v>
      </c>
      <c r="U1336" s="21">
        <f t="shared" si="114"/>
        <v>45094</v>
      </c>
    </row>
    <row r="1337" spans="1:21" x14ac:dyDescent="0.35">
      <c r="A1337" t="s">
        <v>319</v>
      </c>
      <c r="B1337" t="s">
        <v>320</v>
      </c>
      <c r="C1337" t="s">
        <v>30</v>
      </c>
      <c r="D1337" t="s">
        <v>205</v>
      </c>
      <c r="E1337" s="1">
        <v>61.06</v>
      </c>
      <c r="F1337" t="s">
        <v>206</v>
      </c>
      <c r="G1337">
        <v>80</v>
      </c>
      <c r="H1337" s="1">
        <v>48.848000000000006</v>
      </c>
      <c r="I1337" s="21">
        <v>44725</v>
      </c>
      <c r="J1337" s="21">
        <v>44729</v>
      </c>
      <c r="K1337" s="21">
        <f t="shared" si="113"/>
        <v>44729</v>
      </c>
      <c r="L1337" t="s">
        <v>238</v>
      </c>
      <c r="M1337" t="s">
        <v>72</v>
      </c>
      <c r="N1337" t="s">
        <v>73</v>
      </c>
      <c r="O1337">
        <v>1</v>
      </c>
      <c r="P1337" t="s">
        <v>321</v>
      </c>
      <c r="Q1337" t="s">
        <v>4517</v>
      </c>
      <c r="R1337" t="s">
        <v>4726</v>
      </c>
      <c r="S1337" t="s">
        <v>4717</v>
      </c>
      <c r="T1337">
        <f t="shared" si="101"/>
        <v>4</v>
      </c>
      <c r="U1337" s="21">
        <f t="shared" si="114"/>
        <v>45094</v>
      </c>
    </row>
    <row r="1338" spans="1:21" x14ac:dyDescent="0.35">
      <c r="A1338" t="s">
        <v>3780</v>
      </c>
      <c r="B1338" t="s">
        <v>3781</v>
      </c>
      <c r="C1338" t="s">
        <v>30</v>
      </c>
      <c r="D1338" t="s">
        <v>205</v>
      </c>
      <c r="E1338" s="1">
        <v>35.543999999999997</v>
      </c>
      <c r="F1338" t="s">
        <v>206</v>
      </c>
      <c r="G1338">
        <v>80</v>
      </c>
      <c r="H1338" s="1">
        <v>28.435199999999998</v>
      </c>
      <c r="I1338" s="21">
        <v>44725</v>
      </c>
      <c r="J1338" s="21">
        <v>44730</v>
      </c>
      <c r="K1338" s="21">
        <f t="shared" si="113"/>
        <v>44730</v>
      </c>
      <c r="L1338" t="s">
        <v>220</v>
      </c>
      <c r="M1338" t="s">
        <v>97</v>
      </c>
      <c r="N1338" t="s">
        <v>68</v>
      </c>
      <c r="O1338">
        <v>1</v>
      </c>
      <c r="P1338" t="s">
        <v>3782</v>
      </c>
      <c r="Q1338" t="s">
        <v>4729</v>
      </c>
      <c r="R1338" t="s">
        <v>4712</v>
      </c>
      <c r="S1338" t="s">
        <v>4718</v>
      </c>
      <c r="T1338">
        <f t="shared" si="101"/>
        <v>5</v>
      </c>
      <c r="U1338" s="21">
        <f t="shared" si="114"/>
        <v>45095</v>
      </c>
    </row>
    <row r="1339" spans="1:21" x14ac:dyDescent="0.35">
      <c r="A1339" t="s">
        <v>2548</v>
      </c>
      <c r="B1339" t="s">
        <v>2549</v>
      </c>
      <c r="C1339" t="s">
        <v>19</v>
      </c>
      <c r="D1339" t="s">
        <v>21</v>
      </c>
      <c r="E1339" s="1">
        <v>3165.7440000000001</v>
      </c>
      <c r="F1339" t="s">
        <v>22</v>
      </c>
      <c r="G1339">
        <v>0</v>
      </c>
      <c r="H1339" s="1">
        <v>0</v>
      </c>
      <c r="I1339" s="21">
        <v>44359</v>
      </c>
      <c r="J1339" s="21">
        <v>44360</v>
      </c>
      <c r="K1339" s="21">
        <v>44360</v>
      </c>
      <c r="L1339" t="s">
        <v>45</v>
      </c>
      <c r="M1339" t="s">
        <v>46</v>
      </c>
      <c r="N1339" t="s">
        <v>47</v>
      </c>
      <c r="O1339">
        <v>1</v>
      </c>
      <c r="P1339" t="s">
        <v>2550</v>
      </c>
      <c r="Q1339" t="s">
        <v>4729</v>
      </c>
      <c r="R1339" t="s">
        <v>4714</v>
      </c>
      <c r="S1339" t="s">
        <v>4718</v>
      </c>
      <c r="T1339">
        <f t="shared" si="101"/>
        <v>1</v>
      </c>
      <c r="U1339" s="21">
        <f>J1339</f>
        <v>44360</v>
      </c>
    </row>
    <row r="1340" spans="1:21" x14ac:dyDescent="0.35">
      <c r="A1340" t="s">
        <v>2710</v>
      </c>
      <c r="B1340" t="s">
        <v>2711</v>
      </c>
      <c r="C1340" t="s">
        <v>19</v>
      </c>
      <c r="D1340" t="s">
        <v>212</v>
      </c>
      <c r="E1340" s="1">
        <v>14.952</v>
      </c>
      <c r="F1340" t="s">
        <v>206</v>
      </c>
      <c r="G1340">
        <v>100</v>
      </c>
      <c r="H1340" s="1">
        <v>14.952</v>
      </c>
      <c r="I1340" s="21">
        <v>44722</v>
      </c>
      <c r="J1340" s="21">
        <v>44726</v>
      </c>
      <c r="K1340" s="21">
        <f t="shared" ref="K1340:K1348" si="115">J1340</f>
        <v>44726</v>
      </c>
      <c r="L1340" t="s">
        <v>248</v>
      </c>
      <c r="M1340" t="s">
        <v>46</v>
      </c>
      <c r="N1340" t="s">
        <v>47</v>
      </c>
      <c r="O1340">
        <v>1</v>
      </c>
      <c r="P1340" t="s">
        <v>136</v>
      </c>
      <c r="Q1340" t="s">
        <v>4528</v>
      </c>
      <c r="R1340" t="s">
        <v>4726</v>
      </c>
      <c r="S1340" t="s">
        <v>4717</v>
      </c>
      <c r="T1340">
        <f t="shared" si="101"/>
        <v>4</v>
      </c>
      <c r="U1340" s="21">
        <f t="shared" ref="U1340:U1348" si="116">J1340+365</f>
        <v>45091</v>
      </c>
    </row>
    <row r="1341" spans="1:21" x14ac:dyDescent="0.35">
      <c r="A1341" t="s">
        <v>1513</v>
      </c>
      <c r="B1341" t="s">
        <v>1514</v>
      </c>
      <c r="C1341" t="s">
        <v>30</v>
      </c>
      <c r="D1341" t="s">
        <v>212</v>
      </c>
      <c r="E1341" s="1">
        <v>5.68</v>
      </c>
      <c r="F1341" t="s">
        <v>206</v>
      </c>
      <c r="G1341">
        <v>100</v>
      </c>
      <c r="H1341" s="1">
        <v>5.68</v>
      </c>
      <c r="I1341" s="21">
        <v>44722</v>
      </c>
      <c r="J1341" s="21">
        <v>44728</v>
      </c>
      <c r="K1341" s="21">
        <f t="shared" si="115"/>
        <v>44728</v>
      </c>
      <c r="L1341" t="s">
        <v>207</v>
      </c>
      <c r="M1341" t="s">
        <v>33</v>
      </c>
      <c r="N1341" t="s">
        <v>34</v>
      </c>
      <c r="O1341">
        <v>1</v>
      </c>
      <c r="P1341" t="s">
        <v>1515</v>
      </c>
      <c r="Q1341" t="s">
        <v>4521</v>
      </c>
      <c r="R1341" t="s">
        <v>4726</v>
      </c>
      <c r="S1341" t="s">
        <v>4717</v>
      </c>
      <c r="T1341">
        <f t="shared" si="101"/>
        <v>6</v>
      </c>
      <c r="U1341" s="21">
        <f t="shared" si="116"/>
        <v>45093</v>
      </c>
    </row>
    <row r="1342" spans="1:21" x14ac:dyDescent="0.35">
      <c r="A1342" t="s">
        <v>313</v>
      </c>
      <c r="B1342" t="s">
        <v>314</v>
      </c>
      <c r="C1342" t="s">
        <v>30</v>
      </c>
      <c r="D1342" t="s">
        <v>205</v>
      </c>
      <c r="E1342" s="1">
        <v>283.92</v>
      </c>
      <c r="F1342" t="s">
        <v>206</v>
      </c>
      <c r="G1342">
        <v>80</v>
      </c>
      <c r="H1342" s="1">
        <v>227.13600000000002</v>
      </c>
      <c r="I1342" s="21">
        <v>44720</v>
      </c>
      <c r="J1342" s="21">
        <v>44722</v>
      </c>
      <c r="K1342" s="21">
        <f t="shared" si="115"/>
        <v>44722</v>
      </c>
      <c r="L1342" t="s">
        <v>213</v>
      </c>
      <c r="M1342" t="s">
        <v>67</v>
      </c>
      <c r="N1342" t="s">
        <v>68</v>
      </c>
      <c r="O1342">
        <v>1</v>
      </c>
      <c r="P1342" t="s">
        <v>315</v>
      </c>
      <c r="Q1342" t="s">
        <v>4729</v>
      </c>
      <c r="R1342" t="s">
        <v>4723</v>
      </c>
      <c r="S1342" t="s">
        <v>4718</v>
      </c>
      <c r="T1342">
        <f t="shared" si="101"/>
        <v>2</v>
      </c>
      <c r="U1342" s="21">
        <f t="shared" si="116"/>
        <v>45087</v>
      </c>
    </row>
    <row r="1343" spans="1:21" x14ac:dyDescent="0.35">
      <c r="A1343" t="s">
        <v>3778</v>
      </c>
      <c r="B1343" t="s">
        <v>3779</v>
      </c>
      <c r="C1343" t="s">
        <v>30</v>
      </c>
      <c r="D1343" t="s">
        <v>205</v>
      </c>
      <c r="E1343" s="1">
        <v>5.28</v>
      </c>
      <c r="F1343" t="s">
        <v>206</v>
      </c>
      <c r="G1343">
        <v>80</v>
      </c>
      <c r="H1343" s="1">
        <v>4.2240000000000002</v>
      </c>
      <c r="I1343" s="21">
        <v>44718</v>
      </c>
      <c r="J1343" s="21">
        <v>44722</v>
      </c>
      <c r="K1343" s="21">
        <f t="shared" si="115"/>
        <v>44722</v>
      </c>
      <c r="L1343" t="s">
        <v>213</v>
      </c>
      <c r="M1343" t="s">
        <v>46</v>
      </c>
      <c r="N1343" t="s">
        <v>47</v>
      </c>
      <c r="O1343">
        <v>1</v>
      </c>
      <c r="P1343" t="s">
        <v>446</v>
      </c>
      <c r="Q1343" t="s">
        <v>4520</v>
      </c>
      <c r="R1343" t="s">
        <v>4726</v>
      </c>
      <c r="S1343" t="s">
        <v>4717</v>
      </c>
      <c r="T1343">
        <f t="shared" si="101"/>
        <v>4</v>
      </c>
      <c r="U1343" s="21">
        <f t="shared" si="116"/>
        <v>45087</v>
      </c>
    </row>
    <row r="1344" spans="1:21" x14ac:dyDescent="0.35">
      <c r="A1344" t="s">
        <v>2707</v>
      </c>
      <c r="B1344" t="s">
        <v>2708</v>
      </c>
      <c r="C1344" t="s">
        <v>30</v>
      </c>
      <c r="D1344" t="s">
        <v>212</v>
      </c>
      <c r="E1344" s="1">
        <v>1268.82</v>
      </c>
      <c r="F1344" t="s">
        <v>206</v>
      </c>
      <c r="G1344">
        <v>100</v>
      </c>
      <c r="H1344" s="1">
        <v>1268.82</v>
      </c>
      <c r="I1344" s="21">
        <v>44718</v>
      </c>
      <c r="J1344" s="21">
        <v>44723</v>
      </c>
      <c r="K1344" s="21">
        <f t="shared" si="115"/>
        <v>44723</v>
      </c>
      <c r="L1344" t="s">
        <v>238</v>
      </c>
      <c r="M1344" t="s">
        <v>46</v>
      </c>
      <c r="N1344" t="s">
        <v>47</v>
      </c>
      <c r="O1344">
        <v>1</v>
      </c>
      <c r="P1344" t="s">
        <v>2709</v>
      </c>
      <c r="Q1344" t="s">
        <v>4729</v>
      </c>
      <c r="R1344" t="s">
        <v>4714</v>
      </c>
      <c r="S1344" t="s">
        <v>4718</v>
      </c>
      <c r="T1344">
        <f t="shared" si="101"/>
        <v>5</v>
      </c>
      <c r="U1344" s="21">
        <f t="shared" si="116"/>
        <v>45088</v>
      </c>
    </row>
    <row r="1345" spans="1:21" x14ac:dyDescent="0.35">
      <c r="A1345" t="s">
        <v>1511</v>
      </c>
      <c r="B1345" t="s">
        <v>1512</v>
      </c>
      <c r="C1345" t="s">
        <v>19</v>
      </c>
      <c r="D1345" t="s">
        <v>212</v>
      </c>
      <c r="E1345" s="1">
        <v>107.982</v>
      </c>
      <c r="F1345" t="s">
        <v>206</v>
      </c>
      <c r="G1345">
        <v>100</v>
      </c>
      <c r="H1345" s="1">
        <v>107.982</v>
      </c>
      <c r="I1345" s="21">
        <v>44714</v>
      </c>
      <c r="J1345" s="21">
        <v>44721</v>
      </c>
      <c r="K1345" s="21">
        <f t="shared" si="115"/>
        <v>44721</v>
      </c>
      <c r="L1345" t="s">
        <v>234</v>
      </c>
      <c r="M1345" t="s">
        <v>40</v>
      </c>
      <c r="N1345" t="s">
        <v>34</v>
      </c>
      <c r="O1345">
        <v>1</v>
      </c>
      <c r="P1345" t="s">
        <v>929</v>
      </c>
      <c r="Q1345" t="s">
        <v>4604</v>
      </c>
      <c r="R1345" t="s">
        <v>4711</v>
      </c>
      <c r="S1345" t="s">
        <v>4719</v>
      </c>
      <c r="T1345">
        <f t="shared" si="101"/>
        <v>7</v>
      </c>
      <c r="U1345" s="21">
        <f t="shared" si="116"/>
        <v>45086</v>
      </c>
    </row>
    <row r="1346" spans="1:21" x14ac:dyDescent="0.35">
      <c r="A1346" t="s">
        <v>310</v>
      </c>
      <c r="B1346" t="s">
        <v>311</v>
      </c>
      <c r="C1346" t="s">
        <v>30</v>
      </c>
      <c r="D1346" t="s">
        <v>212</v>
      </c>
      <c r="E1346" s="1">
        <v>13.12</v>
      </c>
      <c r="F1346" t="s">
        <v>206</v>
      </c>
      <c r="G1346">
        <v>100</v>
      </c>
      <c r="H1346" s="1">
        <v>13.12</v>
      </c>
      <c r="I1346" s="21">
        <v>44713</v>
      </c>
      <c r="J1346" s="21">
        <v>44713</v>
      </c>
      <c r="K1346" s="21">
        <f t="shared" si="115"/>
        <v>44713</v>
      </c>
      <c r="L1346" t="s">
        <v>213</v>
      </c>
      <c r="M1346" t="s">
        <v>33</v>
      </c>
      <c r="N1346" t="s">
        <v>34</v>
      </c>
      <c r="O1346">
        <v>1</v>
      </c>
      <c r="P1346" t="s">
        <v>312</v>
      </c>
      <c r="Q1346" t="s">
        <v>4550</v>
      </c>
      <c r="R1346" t="s">
        <v>4726</v>
      </c>
      <c r="S1346" t="s">
        <v>4717</v>
      </c>
      <c r="T1346">
        <f t="shared" ref="T1346:T1409" si="117">J1346-I1346</f>
        <v>0</v>
      </c>
      <c r="U1346" s="21">
        <f t="shared" si="116"/>
        <v>45078</v>
      </c>
    </row>
    <row r="1347" spans="1:21" x14ac:dyDescent="0.35">
      <c r="A1347" t="s">
        <v>307</v>
      </c>
      <c r="B1347" t="s">
        <v>308</v>
      </c>
      <c r="C1347" t="s">
        <v>19</v>
      </c>
      <c r="D1347" t="s">
        <v>212</v>
      </c>
      <c r="E1347" s="1">
        <v>254.744</v>
      </c>
      <c r="F1347" t="s">
        <v>206</v>
      </c>
      <c r="G1347">
        <v>100</v>
      </c>
      <c r="H1347" s="1">
        <v>254.744</v>
      </c>
      <c r="I1347" s="21">
        <v>44713</v>
      </c>
      <c r="J1347" s="21">
        <v>44720</v>
      </c>
      <c r="K1347" s="21">
        <f t="shared" si="115"/>
        <v>44720</v>
      </c>
      <c r="L1347" t="s">
        <v>234</v>
      </c>
      <c r="M1347" t="s">
        <v>40</v>
      </c>
      <c r="N1347" t="s">
        <v>34</v>
      </c>
      <c r="O1347">
        <v>1</v>
      </c>
      <c r="P1347" t="s">
        <v>309</v>
      </c>
      <c r="Q1347" t="s">
        <v>4533</v>
      </c>
      <c r="R1347" t="s">
        <v>4721</v>
      </c>
      <c r="S1347" t="s">
        <v>4718</v>
      </c>
      <c r="T1347">
        <f t="shared" si="117"/>
        <v>7</v>
      </c>
      <c r="U1347" s="21">
        <f t="shared" si="116"/>
        <v>45085</v>
      </c>
    </row>
    <row r="1348" spans="1:21" x14ac:dyDescent="0.35">
      <c r="A1348" t="s">
        <v>2704</v>
      </c>
      <c r="B1348" t="s">
        <v>2705</v>
      </c>
      <c r="C1348" t="s">
        <v>19</v>
      </c>
      <c r="D1348" t="s">
        <v>205</v>
      </c>
      <c r="E1348" s="1">
        <v>199.304</v>
      </c>
      <c r="F1348" t="s">
        <v>206</v>
      </c>
      <c r="G1348">
        <v>80</v>
      </c>
      <c r="H1348" s="1">
        <v>159.44320000000002</v>
      </c>
      <c r="I1348" s="21">
        <v>44713</v>
      </c>
      <c r="J1348" s="21">
        <v>44717</v>
      </c>
      <c r="K1348" s="21">
        <f t="shared" si="115"/>
        <v>44717</v>
      </c>
      <c r="L1348" t="s">
        <v>207</v>
      </c>
      <c r="M1348" t="s">
        <v>54</v>
      </c>
      <c r="N1348" t="s">
        <v>26</v>
      </c>
      <c r="O1348">
        <v>1</v>
      </c>
      <c r="P1348" t="s">
        <v>2706</v>
      </c>
      <c r="Q1348" t="s">
        <v>4729</v>
      </c>
      <c r="R1348" t="s">
        <v>4714</v>
      </c>
      <c r="S1348" t="s">
        <v>4718</v>
      </c>
      <c r="T1348">
        <f t="shared" si="117"/>
        <v>4</v>
      </c>
      <c r="U1348" s="21">
        <f t="shared" si="116"/>
        <v>45082</v>
      </c>
    </row>
    <row r="1349" spans="1:21" x14ac:dyDescent="0.35">
      <c r="A1349" t="s">
        <v>2545</v>
      </c>
      <c r="B1349" t="s">
        <v>2546</v>
      </c>
      <c r="C1349" t="s">
        <v>19</v>
      </c>
      <c r="D1349" t="s">
        <v>21</v>
      </c>
      <c r="E1349" s="1">
        <v>244.77999999999992</v>
      </c>
      <c r="F1349" t="s">
        <v>22</v>
      </c>
      <c r="G1349">
        <v>0</v>
      </c>
      <c r="H1349" s="1">
        <v>0</v>
      </c>
      <c r="I1349" s="21">
        <v>44348</v>
      </c>
      <c r="J1349" s="21">
        <v>44350</v>
      </c>
      <c r="K1349" s="21">
        <v>44350</v>
      </c>
      <c r="L1349" t="s">
        <v>63</v>
      </c>
      <c r="M1349" t="s">
        <v>25</v>
      </c>
      <c r="N1349" t="s">
        <v>26</v>
      </c>
      <c r="O1349">
        <v>1</v>
      </c>
      <c r="P1349" t="s">
        <v>2547</v>
      </c>
      <c r="Q1349" t="s">
        <v>4541</v>
      </c>
      <c r="R1349" t="s">
        <v>4726</v>
      </c>
      <c r="S1349" t="s">
        <v>4717</v>
      </c>
      <c r="T1349">
        <f t="shared" si="117"/>
        <v>2</v>
      </c>
      <c r="U1349" s="21">
        <f>J1349</f>
        <v>44350</v>
      </c>
    </row>
    <row r="1350" spans="1:21" x14ac:dyDescent="0.35">
      <c r="A1350" t="s">
        <v>2701</v>
      </c>
      <c r="B1350" t="s">
        <v>2702</v>
      </c>
      <c r="C1350" t="s">
        <v>30</v>
      </c>
      <c r="D1350" t="s">
        <v>205</v>
      </c>
      <c r="E1350" s="1">
        <v>182.72</v>
      </c>
      <c r="F1350" t="s">
        <v>206</v>
      </c>
      <c r="G1350">
        <v>80</v>
      </c>
      <c r="H1350" s="1">
        <v>146.17600000000002</v>
      </c>
      <c r="I1350" s="21">
        <v>44713</v>
      </c>
      <c r="J1350" s="21">
        <v>44715</v>
      </c>
      <c r="K1350" s="21">
        <f t="shared" ref="K1350:K1351" si="118">J1350</f>
        <v>44715</v>
      </c>
      <c r="L1350" t="s">
        <v>220</v>
      </c>
      <c r="M1350" t="s">
        <v>25</v>
      </c>
      <c r="N1350" t="s">
        <v>26</v>
      </c>
      <c r="O1350">
        <v>1</v>
      </c>
      <c r="P1350" t="s">
        <v>2703</v>
      </c>
      <c r="Q1350" t="s">
        <v>4519</v>
      </c>
      <c r="R1350" t="s">
        <v>4726</v>
      </c>
      <c r="S1350" t="s">
        <v>4717</v>
      </c>
      <c r="T1350">
        <f t="shared" si="117"/>
        <v>2</v>
      </c>
      <c r="U1350" s="21">
        <f t="shared" ref="U1350:U1351" si="119">J1350+365</f>
        <v>45080</v>
      </c>
    </row>
    <row r="1351" spans="1:21" x14ac:dyDescent="0.35">
      <c r="A1351" t="s">
        <v>1508</v>
      </c>
      <c r="B1351" t="s">
        <v>1509</v>
      </c>
      <c r="C1351" t="s">
        <v>30</v>
      </c>
      <c r="D1351" t="s">
        <v>205</v>
      </c>
      <c r="E1351" s="1">
        <v>102.438</v>
      </c>
      <c r="F1351" t="s">
        <v>206</v>
      </c>
      <c r="G1351">
        <v>80</v>
      </c>
      <c r="H1351" s="1">
        <v>81.950400000000002</v>
      </c>
      <c r="I1351" s="21">
        <v>44712</v>
      </c>
      <c r="J1351" s="21">
        <v>44716</v>
      </c>
      <c r="K1351" s="21">
        <f t="shared" si="118"/>
        <v>44716</v>
      </c>
      <c r="L1351" t="s">
        <v>220</v>
      </c>
      <c r="M1351" t="s">
        <v>82</v>
      </c>
      <c r="N1351" t="s">
        <v>47</v>
      </c>
      <c r="O1351">
        <v>1</v>
      </c>
      <c r="P1351" t="s">
        <v>1510</v>
      </c>
      <c r="Q1351" t="s">
        <v>4620</v>
      </c>
      <c r="R1351" t="s">
        <v>4712</v>
      </c>
      <c r="S1351" t="s">
        <v>4718</v>
      </c>
      <c r="T1351">
        <f t="shared" si="117"/>
        <v>4</v>
      </c>
      <c r="U1351" s="21">
        <f t="shared" si="119"/>
        <v>45081</v>
      </c>
    </row>
    <row r="1352" spans="1:21" x14ac:dyDescent="0.35">
      <c r="A1352" t="s">
        <v>2542</v>
      </c>
      <c r="B1352" t="s">
        <v>2543</v>
      </c>
      <c r="C1352" t="s">
        <v>30</v>
      </c>
      <c r="D1352" t="s">
        <v>21</v>
      </c>
      <c r="E1352" s="1">
        <v>529.14</v>
      </c>
      <c r="F1352" t="s">
        <v>22</v>
      </c>
      <c r="G1352">
        <v>0</v>
      </c>
      <c r="H1352" s="1">
        <v>0</v>
      </c>
      <c r="I1352" s="21">
        <v>44347</v>
      </c>
      <c r="J1352" s="21">
        <v>44349</v>
      </c>
      <c r="K1352" s="21">
        <v>44349</v>
      </c>
      <c r="L1352" t="s">
        <v>39</v>
      </c>
      <c r="M1352" t="s">
        <v>25</v>
      </c>
      <c r="N1352" t="s">
        <v>26</v>
      </c>
      <c r="O1352">
        <v>1</v>
      </c>
      <c r="P1352" t="s">
        <v>2544</v>
      </c>
      <c r="Q1352" t="s">
        <v>4645</v>
      </c>
      <c r="R1352" t="s">
        <v>4713</v>
      </c>
      <c r="S1352" t="s">
        <v>4719</v>
      </c>
      <c r="T1352">
        <f t="shared" si="117"/>
        <v>2</v>
      </c>
      <c r="U1352" s="21">
        <f>J1352</f>
        <v>44349</v>
      </c>
    </row>
    <row r="1353" spans="1:21" x14ac:dyDescent="0.35">
      <c r="A1353" t="s">
        <v>304</v>
      </c>
      <c r="B1353" t="s">
        <v>305</v>
      </c>
      <c r="C1353" t="s">
        <v>30</v>
      </c>
      <c r="D1353" t="s">
        <v>212</v>
      </c>
      <c r="E1353" s="1">
        <v>10.368</v>
      </c>
      <c r="F1353" t="s">
        <v>206</v>
      </c>
      <c r="G1353">
        <v>100</v>
      </c>
      <c r="H1353" s="1">
        <v>10.368</v>
      </c>
      <c r="I1353" s="21">
        <v>44711</v>
      </c>
      <c r="J1353" s="21">
        <v>44713</v>
      </c>
      <c r="K1353" s="21">
        <f t="shared" ref="K1353:K1354" si="120">J1353</f>
        <v>44713</v>
      </c>
      <c r="L1353" t="s">
        <v>207</v>
      </c>
      <c r="M1353" t="s">
        <v>25</v>
      </c>
      <c r="N1353" t="s">
        <v>26</v>
      </c>
      <c r="O1353">
        <v>1</v>
      </c>
      <c r="P1353" t="s">
        <v>306</v>
      </c>
      <c r="Q1353" t="s">
        <v>4549</v>
      </c>
      <c r="R1353" t="s">
        <v>4726</v>
      </c>
      <c r="S1353" t="s">
        <v>4717</v>
      </c>
      <c r="T1353">
        <f t="shared" si="117"/>
        <v>2</v>
      </c>
      <c r="U1353" s="21">
        <f t="shared" ref="U1353:U1354" si="121">J1353+365</f>
        <v>45078</v>
      </c>
    </row>
    <row r="1354" spans="1:21" x14ac:dyDescent="0.35">
      <c r="A1354" t="s">
        <v>2698</v>
      </c>
      <c r="B1354" t="s">
        <v>2699</v>
      </c>
      <c r="C1354" t="s">
        <v>19</v>
      </c>
      <c r="D1354" t="s">
        <v>205</v>
      </c>
      <c r="E1354" s="1">
        <v>10.384</v>
      </c>
      <c r="F1354" t="s">
        <v>206</v>
      </c>
      <c r="G1354">
        <v>80</v>
      </c>
      <c r="H1354" s="1">
        <v>8.3071999999999999</v>
      </c>
      <c r="I1354" s="21">
        <v>44711</v>
      </c>
      <c r="J1354" s="21">
        <v>44716</v>
      </c>
      <c r="K1354" s="21">
        <f t="shared" si="120"/>
        <v>44716</v>
      </c>
      <c r="L1354" t="s">
        <v>248</v>
      </c>
      <c r="M1354" t="s">
        <v>54</v>
      </c>
      <c r="N1354" t="s">
        <v>26</v>
      </c>
      <c r="O1354">
        <v>1</v>
      </c>
      <c r="P1354" t="s">
        <v>2700</v>
      </c>
      <c r="Q1354" t="s">
        <v>4538</v>
      </c>
      <c r="R1354" t="s">
        <v>4713</v>
      </c>
      <c r="S1354" t="s">
        <v>4719</v>
      </c>
      <c r="T1354">
        <f t="shared" si="117"/>
        <v>5</v>
      </c>
      <c r="U1354" s="21">
        <f t="shared" si="121"/>
        <v>45081</v>
      </c>
    </row>
    <row r="1355" spans="1:21" x14ac:dyDescent="0.35">
      <c r="A1355" t="s">
        <v>1369</v>
      </c>
      <c r="B1355" t="s">
        <v>1370</v>
      </c>
      <c r="C1355" t="s">
        <v>19</v>
      </c>
      <c r="D1355" t="s">
        <v>21</v>
      </c>
      <c r="E1355" s="1">
        <v>366.666</v>
      </c>
      <c r="F1355" t="s">
        <v>22</v>
      </c>
      <c r="G1355">
        <v>0</v>
      </c>
      <c r="H1355" s="1">
        <v>0</v>
      </c>
      <c r="I1355" s="21">
        <v>44346</v>
      </c>
      <c r="J1355" s="21">
        <v>44348</v>
      </c>
      <c r="K1355" s="21">
        <v>44348</v>
      </c>
      <c r="L1355" t="s">
        <v>32</v>
      </c>
      <c r="M1355" t="s">
        <v>67</v>
      </c>
      <c r="N1355" t="s">
        <v>68</v>
      </c>
      <c r="O1355">
        <v>1</v>
      </c>
      <c r="P1355" t="s">
        <v>1371</v>
      </c>
      <c r="Q1355" t="s">
        <v>4729</v>
      </c>
      <c r="R1355" t="s">
        <v>4725</v>
      </c>
      <c r="S1355" t="s">
        <v>4718</v>
      </c>
      <c r="T1355">
        <f t="shared" si="117"/>
        <v>2</v>
      </c>
      <c r="U1355" s="21">
        <f>J1355</f>
        <v>44348</v>
      </c>
    </row>
    <row r="1356" spans="1:21" x14ac:dyDescent="0.35">
      <c r="A1356" t="s">
        <v>301</v>
      </c>
      <c r="B1356" t="s">
        <v>302</v>
      </c>
      <c r="C1356" t="s">
        <v>30</v>
      </c>
      <c r="D1356" t="s">
        <v>212</v>
      </c>
      <c r="E1356" s="1">
        <v>464.85</v>
      </c>
      <c r="F1356" t="s">
        <v>206</v>
      </c>
      <c r="G1356">
        <v>100</v>
      </c>
      <c r="H1356" s="1">
        <v>464.85</v>
      </c>
      <c r="I1356" s="21">
        <v>44710</v>
      </c>
      <c r="J1356" s="21">
        <v>44716</v>
      </c>
      <c r="K1356" s="21">
        <f t="shared" ref="K1356:K1359" si="122">J1356</f>
        <v>44716</v>
      </c>
      <c r="L1356" t="s">
        <v>213</v>
      </c>
      <c r="M1356" t="s">
        <v>25</v>
      </c>
      <c r="N1356" t="s">
        <v>26</v>
      </c>
      <c r="O1356">
        <v>1</v>
      </c>
      <c r="P1356" t="s">
        <v>303</v>
      </c>
      <c r="Q1356" t="s">
        <v>4548</v>
      </c>
      <c r="R1356" t="s">
        <v>4721</v>
      </c>
      <c r="S1356" t="s">
        <v>4718</v>
      </c>
      <c r="T1356">
        <f t="shared" si="117"/>
        <v>6</v>
      </c>
      <c r="U1356" s="21">
        <f t="shared" ref="U1356:U1359" si="123">J1356+365</f>
        <v>45081</v>
      </c>
    </row>
    <row r="1357" spans="1:21" x14ac:dyDescent="0.35">
      <c r="A1357" t="s">
        <v>2696</v>
      </c>
      <c r="B1357" t="s">
        <v>2697</v>
      </c>
      <c r="C1357" t="s">
        <v>30</v>
      </c>
      <c r="D1357" t="s">
        <v>212</v>
      </c>
      <c r="E1357" s="1">
        <v>1687.8</v>
      </c>
      <c r="F1357" t="s">
        <v>206</v>
      </c>
      <c r="G1357">
        <v>100</v>
      </c>
      <c r="H1357" s="1">
        <v>1687.8</v>
      </c>
      <c r="I1357" s="21">
        <v>44708</v>
      </c>
      <c r="J1357" s="21">
        <v>44713</v>
      </c>
      <c r="K1357" s="21">
        <f t="shared" si="122"/>
        <v>44713</v>
      </c>
      <c r="L1357" t="s">
        <v>220</v>
      </c>
      <c r="M1357" t="s">
        <v>46</v>
      </c>
      <c r="N1357" t="s">
        <v>47</v>
      </c>
      <c r="O1357">
        <v>1</v>
      </c>
      <c r="P1357" t="s">
        <v>2586</v>
      </c>
      <c r="Q1357" t="s">
        <v>4552</v>
      </c>
      <c r="R1357" t="s">
        <v>4713</v>
      </c>
      <c r="S1357" t="s">
        <v>4719</v>
      </c>
      <c r="T1357">
        <f t="shared" si="117"/>
        <v>5</v>
      </c>
      <c r="U1357" s="21">
        <f t="shared" si="123"/>
        <v>45078</v>
      </c>
    </row>
    <row r="1358" spans="1:21" x14ac:dyDescent="0.35">
      <c r="A1358" t="s">
        <v>2690</v>
      </c>
      <c r="B1358" t="s">
        <v>2691</v>
      </c>
      <c r="C1358" t="s">
        <v>19</v>
      </c>
      <c r="D1358" t="s">
        <v>205</v>
      </c>
      <c r="E1358" s="1">
        <v>51.15</v>
      </c>
      <c r="F1358" t="s">
        <v>206</v>
      </c>
      <c r="G1358">
        <v>80</v>
      </c>
      <c r="H1358" s="1">
        <v>40.92</v>
      </c>
      <c r="I1358" s="21">
        <v>44707</v>
      </c>
      <c r="J1358" s="21">
        <v>44711</v>
      </c>
      <c r="K1358" s="21">
        <f t="shared" si="122"/>
        <v>44711</v>
      </c>
      <c r="L1358" t="s">
        <v>234</v>
      </c>
      <c r="M1358" t="s">
        <v>82</v>
      </c>
      <c r="N1358" t="s">
        <v>47</v>
      </c>
      <c r="O1358">
        <v>1</v>
      </c>
      <c r="P1358" t="s">
        <v>2692</v>
      </c>
      <c r="Q1358" t="s">
        <v>4546</v>
      </c>
      <c r="R1358" t="s">
        <v>4726</v>
      </c>
      <c r="S1358" t="s">
        <v>4717</v>
      </c>
      <c r="T1358">
        <f t="shared" si="117"/>
        <v>4</v>
      </c>
      <c r="U1358" s="21">
        <f t="shared" si="123"/>
        <v>45076</v>
      </c>
    </row>
    <row r="1359" spans="1:21" x14ac:dyDescent="0.35">
      <c r="A1359" t="s">
        <v>1505</v>
      </c>
      <c r="B1359" t="s">
        <v>1506</v>
      </c>
      <c r="C1359" t="s">
        <v>19</v>
      </c>
      <c r="D1359" t="s">
        <v>212</v>
      </c>
      <c r="E1359" s="1">
        <v>88.8</v>
      </c>
      <c r="F1359" t="s">
        <v>206</v>
      </c>
      <c r="G1359">
        <v>100</v>
      </c>
      <c r="H1359" s="1">
        <v>88.8</v>
      </c>
      <c r="I1359" s="21">
        <v>44707</v>
      </c>
      <c r="J1359" s="21">
        <v>44710</v>
      </c>
      <c r="K1359" s="21">
        <f t="shared" si="122"/>
        <v>44710</v>
      </c>
      <c r="L1359" t="s">
        <v>220</v>
      </c>
      <c r="M1359" t="s">
        <v>40</v>
      </c>
      <c r="N1359" t="s">
        <v>34</v>
      </c>
      <c r="O1359">
        <v>1</v>
      </c>
      <c r="P1359" t="s">
        <v>1507</v>
      </c>
      <c r="Q1359" t="s">
        <v>4729</v>
      </c>
      <c r="R1359" t="s">
        <v>4726</v>
      </c>
      <c r="S1359" t="s">
        <v>4717</v>
      </c>
      <c r="T1359">
        <f t="shared" si="117"/>
        <v>3</v>
      </c>
      <c r="U1359" s="21">
        <f t="shared" si="123"/>
        <v>45075</v>
      </c>
    </row>
    <row r="1360" spans="1:21" x14ac:dyDescent="0.35">
      <c r="A1360" t="s">
        <v>162</v>
      </c>
      <c r="B1360" t="s">
        <v>163</v>
      </c>
      <c r="C1360" t="s">
        <v>30</v>
      </c>
      <c r="D1360" t="s">
        <v>21</v>
      </c>
      <c r="E1360" s="1">
        <v>262.72000000000003</v>
      </c>
      <c r="F1360" t="s">
        <v>22</v>
      </c>
      <c r="G1360">
        <v>0</v>
      </c>
      <c r="H1360" s="1">
        <v>0</v>
      </c>
      <c r="I1360" s="21">
        <v>44342</v>
      </c>
      <c r="J1360" s="21">
        <v>44345</v>
      </c>
      <c r="K1360" s="21">
        <v>44345</v>
      </c>
      <c r="L1360" t="s">
        <v>45</v>
      </c>
      <c r="M1360" t="s">
        <v>33</v>
      </c>
      <c r="N1360" t="s">
        <v>34</v>
      </c>
      <c r="O1360">
        <v>1</v>
      </c>
      <c r="P1360" t="s">
        <v>165</v>
      </c>
      <c r="Q1360" t="s">
        <v>4532</v>
      </c>
      <c r="R1360" t="s">
        <v>4726</v>
      </c>
      <c r="S1360" t="s">
        <v>4717</v>
      </c>
      <c r="T1360">
        <f t="shared" si="117"/>
        <v>3</v>
      </c>
      <c r="U1360" s="21">
        <f>J1360</f>
        <v>44345</v>
      </c>
    </row>
    <row r="1361" spans="1:21" x14ac:dyDescent="0.35">
      <c r="A1361" t="s">
        <v>2693</v>
      </c>
      <c r="B1361" t="s">
        <v>2694</v>
      </c>
      <c r="C1361" t="s">
        <v>30</v>
      </c>
      <c r="D1361" t="s">
        <v>212</v>
      </c>
      <c r="E1361" s="1">
        <v>551.98500000000001</v>
      </c>
      <c r="F1361" t="s">
        <v>206</v>
      </c>
      <c r="G1361">
        <v>100</v>
      </c>
      <c r="H1361" s="1">
        <v>551.98500000000001</v>
      </c>
      <c r="I1361" s="21">
        <v>44707</v>
      </c>
      <c r="J1361" s="21">
        <v>44709</v>
      </c>
      <c r="K1361" s="21">
        <f t="shared" ref="K1361:K1370" si="124">J1361</f>
        <v>44709</v>
      </c>
      <c r="L1361" t="s">
        <v>248</v>
      </c>
      <c r="M1361" t="s">
        <v>33</v>
      </c>
      <c r="N1361" t="s">
        <v>34</v>
      </c>
      <c r="O1361">
        <v>1</v>
      </c>
      <c r="P1361" t="s">
        <v>2695</v>
      </c>
      <c r="Q1361" t="s">
        <v>4729</v>
      </c>
      <c r="R1361" t="s">
        <v>4721</v>
      </c>
      <c r="S1361" t="s">
        <v>4717</v>
      </c>
      <c r="T1361">
        <f t="shared" si="117"/>
        <v>2</v>
      </c>
      <c r="U1361" s="21">
        <f t="shared" ref="U1361:U1370" si="125">J1361+365</f>
        <v>45074</v>
      </c>
    </row>
    <row r="1362" spans="1:21" x14ac:dyDescent="0.35">
      <c r="A1362" t="s">
        <v>1503</v>
      </c>
      <c r="B1362" t="s">
        <v>1504</v>
      </c>
      <c r="C1362" t="s">
        <v>19</v>
      </c>
      <c r="D1362" t="s">
        <v>212</v>
      </c>
      <c r="E1362" s="1">
        <v>8.7360000000000007</v>
      </c>
      <c r="F1362" t="s">
        <v>206</v>
      </c>
      <c r="G1362">
        <v>100</v>
      </c>
      <c r="H1362" s="1">
        <v>8.7360000000000007</v>
      </c>
      <c r="I1362" s="21">
        <v>44705</v>
      </c>
      <c r="J1362" s="21">
        <v>44709</v>
      </c>
      <c r="K1362" s="21">
        <f t="shared" si="124"/>
        <v>44709</v>
      </c>
      <c r="L1362" t="s">
        <v>234</v>
      </c>
      <c r="M1362" t="s">
        <v>33</v>
      </c>
      <c r="N1362" t="s">
        <v>34</v>
      </c>
      <c r="O1362">
        <v>1</v>
      </c>
      <c r="P1362" t="s">
        <v>1257</v>
      </c>
      <c r="Q1362" t="s">
        <v>4729</v>
      </c>
      <c r="R1362" t="s">
        <v>4721</v>
      </c>
      <c r="S1362" t="s">
        <v>4718</v>
      </c>
      <c r="T1362">
        <f t="shared" si="117"/>
        <v>4</v>
      </c>
      <c r="U1362" s="21">
        <f t="shared" si="125"/>
        <v>45074</v>
      </c>
    </row>
    <row r="1363" spans="1:21" x14ac:dyDescent="0.35">
      <c r="A1363" t="s">
        <v>2687</v>
      </c>
      <c r="B1363" t="s">
        <v>2688</v>
      </c>
      <c r="C1363" t="s">
        <v>19</v>
      </c>
      <c r="D1363" t="s">
        <v>205</v>
      </c>
      <c r="E1363" s="1">
        <v>27.968</v>
      </c>
      <c r="F1363" t="s">
        <v>206</v>
      </c>
      <c r="G1363">
        <v>80</v>
      </c>
      <c r="H1363" s="1">
        <v>22.374400000000001</v>
      </c>
      <c r="I1363" s="21">
        <v>44705</v>
      </c>
      <c r="J1363" s="21">
        <v>44710</v>
      </c>
      <c r="K1363" s="21">
        <f t="shared" si="124"/>
        <v>44710</v>
      </c>
      <c r="L1363" t="s">
        <v>213</v>
      </c>
      <c r="M1363" t="s">
        <v>40</v>
      </c>
      <c r="N1363" t="s">
        <v>34</v>
      </c>
      <c r="O1363">
        <v>1</v>
      </c>
      <c r="P1363" t="s">
        <v>2689</v>
      </c>
      <c r="Q1363" t="s">
        <v>4574</v>
      </c>
      <c r="R1363" t="s">
        <v>4713</v>
      </c>
      <c r="S1363" t="s">
        <v>4719</v>
      </c>
      <c r="T1363">
        <f t="shared" si="117"/>
        <v>5</v>
      </c>
      <c r="U1363" s="21">
        <f t="shared" si="125"/>
        <v>45075</v>
      </c>
    </row>
    <row r="1364" spans="1:21" x14ac:dyDescent="0.35">
      <c r="A1364" t="s">
        <v>1500</v>
      </c>
      <c r="B1364" t="s">
        <v>1501</v>
      </c>
      <c r="C1364" t="s">
        <v>30</v>
      </c>
      <c r="D1364" t="s">
        <v>205</v>
      </c>
      <c r="E1364" s="1">
        <v>51.45</v>
      </c>
      <c r="F1364" t="s">
        <v>206</v>
      </c>
      <c r="G1364">
        <v>80</v>
      </c>
      <c r="H1364" s="1">
        <v>41.160000000000004</v>
      </c>
      <c r="I1364" s="21">
        <v>44703</v>
      </c>
      <c r="J1364" s="21">
        <v>44710</v>
      </c>
      <c r="K1364" s="21">
        <f t="shared" si="124"/>
        <v>44710</v>
      </c>
      <c r="L1364" t="s">
        <v>220</v>
      </c>
      <c r="M1364" t="s">
        <v>97</v>
      </c>
      <c r="N1364" t="s">
        <v>68</v>
      </c>
      <c r="O1364">
        <v>1</v>
      </c>
      <c r="P1364" t="s">
        <v>1502</v>
      </c>
      <c r="Q1364" t="s">
        <v>4518</v>
      </c>
      <c r="R1364" t="s">
        <v>4726</v>
      </c>
      <c r="S1364" t="s">
        <v>4717</v>
      </c>
      <c r="T1364">
        <f t="shared" si="117"/>
        <v>7</v>
      </c>
      <c r="U1364" s="21">
        <f t="shared" si="125"/>
        <v>45075</v>
      </c>
    </row>
    <row r="1365" spans="1:21" x14ac:dyDescent="0.35">
      <c r="A1365" t="s">
        <v>298</v>
      </c>
      <c r="B1365" t="s">
        <v>299</v>
      </c>
      <c r="C1365" t="s">
        <v>30</v>
      </c>
      <c r="D1365" t="s">
        <v>205</v>
      </c>
      <c r="E1365" s="1">
        <v>1737.1799999999901</v>
      </c>
      <c r="F1365" t="s">
        <v>206</v>
      </c>
      <c r="G1365">
        <v>80</v>
      </c>
      <c r="H1365" s="1">
        <v>1389.7439999999922</v>
      </c>
      <c r="I1365" s="21">
        <v>44703</v>
      </c>
      <c r="J1365" s="21">
        <v>44707</v>
      </c>
      <c r="K1365" s="21">
        <f t="shared" si="124"/>
        <v>44707</v>
      </c>
      <c r="L1365" t="s">
        <v>238</v>
      </c>
      <c r="M1365" t="s">
        <v>46</v>
      </c>
      <c r="N1365" t="s">
        <v>47</v>
      </c>
      <c r="O1365">
        <v>1</v>
      </c>
      <c r="P1365" t="s">
        <v>300</v>
      </c>
      <c r="Q1365" t="s">
        <v>4547</v>
      </c>
      <c r="R1365" t="s">
        <v>4710</v>
      </c>
      <c r="S1365" t="s">
        <v>4717</v>
      </c>
      <c r="T1365">
        <f t="shared" si="117"/>
        <v>4</v>
      </c>
      <c r="U1365" s="21">
        <f t="shared" si="125"/>
        <v>45072</v>
      </c>
    </row>
    <row r="1366" spans="1:21" x14ac:dyDescent="0.35">
      <c r="A1366" t="s">
        <v>3775</v>
      </c>
      <c r="B1366" t="s">
        <v>3776</v>
      </c>
      <c r="C1366" t="s">
        <v>19</v>
      </c>
      <c r="D1366" t="s">
        <v>205</v>
      </c>
      <c r="E1366" s="1">
        <v>12.84</v>
      </c>
      <c r="F1366" t="s">
        <v>206</v>
      </c>
      <c r="G1366">
        <v>80</v>
      </c>
      <c r="H1366" s="1">
        <v>10.272</v>
      </c>
      <c r="I1366" s="21">
        <v>44703</v>
      </c>
      <c r="J1366" s="21">
        <v>44709</v>
      </c>
      <c r="K1366" s="21">
        <f t="shared" si="124"/>
        <v>44709</v>
      </c>
      <c r="L1366" t="s">
        <v>234</v>
      </c>
      <c r="M1366" t="s">
        <v>33</v>
      </c>
      <c r="N1366" t="s">
        <v>34</v>
      </c>
      <c r="O1366">
        <v>1</v>
      </c>
      <c r="P1366" t="s">
        <v>3777</v>
      </c>
      <c r="Q1366" t="s">
        <v>4519</v>
      </c>
      <c r="R1366" t="s">
        <v>4726</v>
      </c>
      <c r="S1366" t="s">
        <v>4717</v>
      </c>
      <c r="T1366">
        <f t="shared" si="117"/>
        <v>6</v>
      </c>
      <c r="U1366" s="21">
        <f t="shared" si="125"/>
        <v>45074</v>
      </c>
    </row>
    <row r="1367" spans="1:21" x14ac:dyDescent="0.35">
      <c r="A1367" t="s">
        <v>295</v>
      </c>
      <c r="B1367" t="s">
        <v>296</v>
      </c>
      <c r="C1367" t="s">
        <v>30</v>
      </c>
      <c r="D1367" t="s">
        <v>205</v>
      </c>
      <c r="E1367" s="1">
        <v>11.91</v>
      </c>
      <c r="F1367" t="s">
        <v>206</v>
      </c>
      <c r="G1367">
        <v>80</v>
      </c>
      <c r="H1367" s="1">
        <v>9.5280000000000005</v>
      </c>
      <c r="I1367" s="21">
        <v>44700</v>
      </c>
      <c r="J1367" s="21">
        <v>44704</v>
      </c>
      <c r="K1367" s="21">
        <f t="shared" si="124"/>
        <v>44704</v>
      </c>
      <c r="L1367" t="s">
        <v>248</v>
      </c>
      <c r="M1367" t="s">
        <v>40</v>
      </c>
      <c r="N1367" t="s">
        <v>34</v>
      </c>
      <c r="O1367">
        <v>1</v>
      </c>
      <c r="P1367" t="s">
        <v>297</v>
      </c>
      <c r="Q1367" t="s">
        <v>4546</v>
      </c>
      <c r="R1367" t="s">
        <v>4726</v>
      </c>
      <c r="S1367" t="s">
        <v>4717</v>
      </c>
      <c r="T1367">
        <f t="shared" si="117"/>
        <v>4</v>
      </c>
      <c r="U1367" s="21">
        <f t="shared" si="125"/>
        <v>45069</v>
      </c>
    </row>
    <row r="1368" spans="1:21" x14ac:dyDescent="0.35">
      <c r="A1368" t="s">
        <v>3773</v>
      </c>
      <c r="B1368" t="s">
        <v>3774</v>
      </c>
      <c r="C1368" t="s">
        <v>30</v>
      </c>
      <c r="D1368" t="s">
        <v>212</v>
      </c>
      <c r="E1368" s="1">
        <v>17.28</v>
      </c>
      <c r="F1368" t="s">
        <v>206</v>
      </c>
      <c r="G1368">
        <v>100</v>
      </c>
      <c r="H1368" s="1">
        <v>17.28</v>
      </c>
      <c r="I1368" s="21">
        <v>44698</v>
      </c>
      <c r="J1368" s="21">
        <v>44698</v>
      </c>
      <c r="K1368" s="21">
        <f t="shared" si="124"/>
        <v>44698</v>
      </c>
      <c r="L1368" t="s">
        <v>234</v>
      </c>
      <c r="M1368" t="s">
        <v>67</v>
      </c>
      <c r="N1368" t="s">
        <v>68</v>
      </c>
      <c r="O1368">
        <v>1</v>
      </c>
      <c r="P1368" t="s">
        <v>288</v>
      </c>
      <c r="Q1368" t="s">
        <v>4517</v>
      </c>
      <c r="R1368" t="s">
        <v>4726</v>
      </c>
      <c r="S1368" t="s">
        <v>4717</v>
      </c>
      <c r="T1368">
        <f t="shared" si="117"/>
        <v>0</v>
      </c>
      <c r="U1368" s="21">
        <f t="shared" si="125"/>
        <v>45063</v>
      </c>
    </row>
    <row r="1369" spans="1:21" x14ac:dyDescent="0.35">
      <c r="A1369" t="s">
        <v>292</v>
      </c>
      <c r="B1369" t="s">
        <v>293</v>
      </c>
      <c r="C1369" t="s">
        <v>30</v>
      </c>
      <c r="D1369" t="s">
        <v>205</v>
      </c>
      <c r="E1369" s="1">
        <v>247.8</v>
      </c>
      <c r="F1369" t="s">
        <v>206</v>
      </c>
      <c r="G1369">
        <v>80</v>
      </c>
      <c r="H1369" s="1">
        <v>198.24</v>
      </c>
      <c r="I1369" s="21">
        <v>44697</v>
      </c>
      <c r="J1369" s="21">
        <v>44702</v>
      </c>
      <c r="K1369" s="21">
        <f t="shared" si="124"/>
        <v>44702</v>
      </c>
      <c r="L1369" t="s">
        <v>207</v>
      </c>
      <c r="M1369" t="s">
        <v>33</v>
      </c>
      <c r="N1369" t="s">
        <v>34</v>
      </c>
      <c r="O1369">
        <v>1</v>
      </c>
      <c r="P1369" t="s">
        <v>294</v>
      </c>
      <c r="Q1369" t="s">
        <v>4545</v>
      </c>
      <c r="R1369" t="s">
        <v>4713</v>
      </c>
      <c r="S1369" t="s">
        <v>4719</v>
      </c>
      <c r="T1369">
        <f t="shared" si="117"/>
        <v>5</v>
      </c>
      <c r="U1369" s="21">
        <f t="shared" si="125"/>
        <v>45067</v>
      </c>
    </row>
    <row r="1370" spans="1:21" x14ac:dyDescent="0.35">
      <c r="A1370" t="s">
        <v>3771</v>
      </c>
      <c r="B1370" t="s">
        <v>3772</v>
      </c>
      <c r="C1370" t="s">
        <v>19</v>
      </c>
      <c r="D1370" t="s">
        <v>212</v>
      </c>
      <c r="E1370" s="1">
        <v>8.5440000000000005</v>
      </c>
      <c r="F1370" t="s">
        <v>206</v>
      </c>
      <c r="G1370">
        <v>100</v>
      </c>
      <c r="H1370" s="1">
        <v>8.5440000000000005</v>
      </c>
      <c r="I1370" s="21">
        <v>44697</v>
      </c>
      <c r="J1370" s="21">
        <v>44704</v>
      </c>
      <c r="K1370" s="21">
        <f t="shared" si="124"/>
        <v>44704</v>
      </c>
      <c r="L1370" t="s">
        <v>220</v>
      </c>
      <c r="M1370" t="s">
        <v>33</v>
      </c>
      <c r="N1370" t="s">
        <v>34</v>
      </c>
      <c r="O1370">
        <v>1</v>
      </c>
      <c r="P1370" t="s">
        <v>1065</v>
      </c>
      <c r="Q1370" t="s">
        <v>4612</v>
      </c>
      <c r="R1370" t="s">
        <v>4725</v>
      </c>
      <c r="S1370" t="s">
        <v>4718</v>
      </c>
      <c r="T1370">
        <f t="shared" si="117"/>
        <v>7</v>
      </c>
      <c r="U1370" s="21">
        <f t="shared" si="125"/>
        <v>45069</v>
      </c>
    </row>
    <row r="1371" spans="1:21" x14ac:dyDescent="0.35">
      <c r="A1371" t="s">
        <v>159</v>
      </c>
      <c r="B1371" t="s">
        <v>160</v>
      </c>
      <c r="C1371" t="s">
        <v>19</v>
      </c>
      <c r="D1371" t="s">
        <v>21</v>
      </c>
      <c r="E1371" s="1">
        <v>570.49199999999996</v>
      </c>
      <c r="F1371" t="s">
        <v>22</v>
      </c>
      <c r="G1371">
        <v>0</v>
      </c>
      <c r="H1371" s="1">
        <v>0</v>
      </c>
      <c r="I1371" s="21">
        <v>44331</v>
      </c>
      <c r="J1371" s="21">
        <v>44334</v>
      </c>
      <c r="K1371" s="21">
        <v>44334</v>
      </c>
      <c r="L1371" t="s">
        <v>24</v>
      </c>
      <c r="M1371" t="s">
        <v>72</v>
      </c>
      <c r="N1371" t="s">
        <v>73</v>
      </c>
      <c r="O1371">
        <v>1</v>
      </c>
      <c r="P1371" t="s">
        <v>161</v>
      </c>
      <c r="Q1371" t="s">
        <v>4531</v>
      </c>
      <c r="R1371" t="s">
        <v>4726</v>
      </c>
      <c r="S1371" t="s">
        <v>4717</v>
      </c>
      <c r="T1371">
        <f t="shared" si="117"/>
        <v>3</v>
      </c>
      <c r="U1371" s="21">
        <f>J1371</f>
        <v>44334</v>
      </c>
    </row>
    <row r="1372" spans="1:21" x14ac:dyDescent="0.35">
      <c r="A1372" t="s">
        <v>3769</v>
      </c>
      <c r="B1372" t="s">
        <v>3770</v>
      </c>
      <c r="C1372" t="s">
        <v>19</v>
      </c>
      <c r="D1372" t="s">
        <v>205</v>
      </c>
      <c r="E1372" s="1">
        <v>1403.92</v>
      </c>
      <c r="F1372" t="s">
        <v>206</v>
      </c>
      <c r="G1372">
        <v>80</v>
      </c>
      <c r="H1372" s="1">
        <v>1123.1360000000002</v>
      </c>
      <c r="I1372" s="21">
        <v>44696</v>
      </c>
      <c r="J1372" s="21">
        <v>44703</v>
      </c>
      <c r="K1372" s="21">
        <f t="shared" ref="K1372:K1387" si="126">J1372</f>
        <v>44703</v>
      </c>
      <c r="L1372" t="s">
        <v>220</v>
      </c>
      <c r="M1372" t="s">
        <v>146</v>
      </c>
      <c r="N1372" t="s">
        <v>73</v>
      </c>
      <c r="O1372">
        <v>1</v>
      </c>
      <c r="P1372" t="s">
        <v>2515</v>
      </c>
      <c r="Q1372" t="s">
        <v>4729</v>
      </c>
      <c r="R1372" t="s">
        <v>4714</v>
      </c>
      <c r="S1372" t="s">
        <v>4718</v>
      </c>
      <c r="T1372">
        <f t="shared" si="117"/>
        <v>7</v>
      </c>
      <c r="U1372" s="21">
        <f t="shared" ref="U1372:U1387" si="127">J1372+365</f>
        <v>45068</v>
      </c>
    </row>
    <row r="1373" spans="1:21" x14ac:dyDescent="0.35">
      <c r="A1373" t="s">
        <v>1497</v>
      </c>
      <c r="B1373" t="s">
        <v>1498</v>
      </c>
      <c r="C1373" t="s">
        <v>30</v>
      </c>
      <c r="D1373" t="s">
        <v>205</v>
      </c>
      <c r="E1373" s="1">
        <v>35.015999999999998</v>
      </c>
      <c r="F1373" t="s">
        <v>206</v>
      </c>
      <c r="G1373">
        <v>80</v>
      </c>
      <c r="H1373" s="1">
        <v>28.012799999999999</v>
      </c>
      <c r="I1373" s="21">
        <v>44694</v>
      </c>
      <c r="J1373" s="21">
        <v>44700</v>
      </c>
      <c r="K1373" s="21">
        <f t="shared" si="126"/>
        <v>44700</v>
      </c>
      <c r="L1373" t="s">
        <v>213</v>
      </c>
      <c r="M1373" t="s">
        <v>82</v>
      </c>
      <c r="N1373" t="s">
        <v>47</v>
      </c>
      <c r="O1373">
        <v>1</v>
      </c>
      <c r="P1373" t="s">
        <v>1499</v>
      </c>
      <c r="Q1373" t="s">
        <v>4545</v>
      </c>
      <c r="R1373" t="s">
        <v>4713</v>
      </c>
      <c r="S1373" t="s">
        <v>4719</v>
      </c>
      <c r="T1373">
        <f t="shared" si="117"/>
        <v>6</v>
      </c>
      <c r="U1373" s="21">
        <f t="shared" si="127"/>
        <v>45065</v>
      </c>
    </row>
    <row r="1374" spans="1:21" x14ac:dyDescent="0.35">
      <c r="A1374" t="s">
        <v>2684</v>
      </c>
      <c r="B1374" t="s">
        <v>2685</v>
      </c>
      <c r="C1374" t="s">
        <v>19</v>
      </c>
      <c r="D1374" t="s">
        <v>212</v>
      </c>
      <c r="E1374" s="1">
        <v>114.2</v>
      </c>
      <c r="F1374" t="s">
        <v>206</v>
      </c>
      <c r="G1374">
        <v>100</v>
      </c>
      <c r="H1374" s="1">
        <v>114.2</v>
      </c>
      <c r="I1374" s="21">
        <v>44694</v>
      </c>
      <c r="J1374" s="21">
        <v>44698</v>
      </c>
      <c r="K1374" s="21">
        <f t="shared" si="126"/>
        <v>44698</v>
      </c>
      <c r="L1374" t="s">
        <v>238</v>
      </c>
      <c r="M1374" t="s">
        <v>67</v>
      </c>
      <c r="N1374" t="s">
        <v>68</v>
      </c>
      <c r="O1374">
        <v>1</v>
      </c>
      <c r="P1374" t="s">
        <v>2686</v>
      </c>
      <c r="Q1374" t="s">
        <v>4519</v>
      </c>
      <c r="R1374" t="s">
        <v>4726</v>
      </c>
      <c r="S1374" t="s">
        <v>4717</v>
      </c>
      <c r="T1374">
        <f t="shared" si="117"/>
        <v>4</v>
      </c>
      <c r="U1374" s="21">
        <f t="shared" si="127"/>
        <v>45063</v>
      </c>
    </row>
    <row r="1375" spans="1:21" x14ac:dyDescent="0.35">
      <c r="A1375" t="s">
        <v>1494</v>
      </c>
      <c r="B1375" t="s">
        <v>1495</v>
      </c>
      <c r="C1375" t="s">
        <v>19</v>
      </c>
      <c r="D1375" t="s">
        <v>212</v>
      </c>
      <c r="E1375" s="1">
        <v>91.36</v>
      </c>
      <c r="F1375" t="s">
        <v>206</v>
      </c>
      <c r="G1375">
        <v>100</v>
      </c>
      <c r="H1375" s="1">
        <v>91.36</v>
      </c>
      <c r="I1375" s="21">
        <v>44694</v>
      </c>
      <c r="J1375" s="21">
        <v>44698</v>
      </c>
      <c r="K1375" s="21">
        <f t="shared" si="126"/>
        <v>44698</v>
      </c>
      <c r="L1375" t="s">
        <v>213</v>
      </c>
      <c r="M1375" t="s">
        <v>54</v>
      </c>
      <c r="N1375" t="s">
        <v>26</v>
      </c>
      <c r="O1375">
        <v>1</v>
      </c>
      <c r="P1375" t="s">
        <v>1496</v>
      </c>
      <c r="Q1375" t="s">
        <v>4519</v>
      </c>
      <c r="R1375" t="s">
        <v>4726</v>
      </c>
      <c r="S1375" t="s">
        <v>4717</v>
      </c>
      <c r="T1375">
        <f t="shared" si="117"/>
        <v>4</v>
      </c>
      <c r="U1375" s="21">
        <f t="shared" si="127"/>
        <v>45063</v>
      </c>
    </row>
    <row r="1376" spans="1:21" x14ac:dyDescent="0.35">
      <c r="A1376" t="s">
        <v>289</v>
      </c>
      <c r="B1376" t="s">
        <v>290</v>
      </c>
      <c r="C1376" t="s">
        <v>19</v>
      </c>
      <c r="D1376" t="s">
        <v>212</v>
      </c>
      <c r="E1376" s="1">
        <v>269.36</v>
      </c>
      <c r="F1376" t="s">
        <v>206</v>
      </c>
      <c r="G1376">
        <v>100</v>
      </c>
      <c r="H1376" s="1">
        <v>269.36</v>
      </c>
      <c r="I1376" s="21">
        <v>44693</v>
      </c>
      <c r="J1376" s="21">
        <v>44698</v>
      </c>
      <c r="K1376" s="21">
        <f t="shared" si="126"/>
        <v>44698</v>
      </c>
      <c r="L1376" t="s">
        <v>213</v>
      </c>
      <c r="M1376" t="s">
        <v>97</v>
      </c>
      <c r="N1376" t="s">
        <v>68</v>
      </c>
      <c r="O1376">
        <v>1</v>
      </c>
      <c r="P1376" t="s">
        <v>291</v>
      </c>
      <c r="Q1376" t="s">
        <v>4518</v>
      </c>
      <c r="R1376" t="s">
        <v>4726</v>
      </c>
      <c r="S1376" t="s">
        <v>4717</v>
      </c>
      <c r="T1376">
        <f t="shared" si="117"/>
        <v>5</v>
      </c>
      <c r="U1376" s="21">
        <f t="shared" si="127"/>
        <v>45063</v>
      </c>
    </row>
    <row r="1377" spans="1:21" x14ac:dyDescent="0.35">
      <c r="A1377" t="s">
        <v>2682</v>
      </c>
      <c r="B1377" t="s">
        <v>2683</v>
      </c>
      <c r="C1377" t="s">
        <v>30</v>
      </c>
      <c r="D1377" t="s">
        <v>212</v>
      </c>
      <c r="E1377" s="1">
        <v>105.52</v>
      </c>
      <c r="F1377" t="s">
        <v>206</v>
      </c>
      <c r="G1377">
        <v>100</v>
      </c>
      <c r="H1377" s="1">
        <v>105.52</v>
      </c>
      <c r="I1377" s="21">
        <v>44692</v>
      </c>
      <c r="J1377" s="21">
        <v>44697</v>
      </c>
      <c r="K1377" s="21">
        <f t="shared" si="126"/>
        <v>44697</v>
      </c>
      <c r="L1377" t="s">
        <v>220</v>
      </c>
      <c r="M1377" t="s">
        <v>46</v>
      </c>
      <c r="N1377" t="s">
        <v>47</v>
      </c>
      <c r="O1377">
        <v>1</v>
      </c>
      <c r="P1377" t="s">
        <v>1487</v>
      </c>
      <c r="Q1377" t="s">
        <v>4519</v>
      </c>
      <c r="R1377" t="s">
        <v>4726</v>
      </c>
      <c r="S1377" t="s">
        <v>4717</v>
      </c>
      <c r="T1377">
        <f t="shared" si="117"/>
        <v>5</v>
      </c>
      <c r="U1377" s="21">
        <f t="shared" si="127"/>
        <v>45062</v>
      </c>
    </row>
    <row r="1378" spans="1:21" x14ac:dyDescent="0.35">
      <c r="A1378" t="s">
        <v>1491</v>
      </c>
      <c r="B1378" t="s">
        <v>1492</v>
      </c>
      <c r="C1378" t="s">
        <v>19</v>
      </c>
      <c r="D1378" t="s">
        <v>212</v>
      </c>
      <c r="E1378" s="1">
        <v>39.072000000000003</v>
      </c>
      <c r="F1378" t="s">
        <v>206</v>
      </c>
      <c r="G1378">
        <v>100</v>
      </c>
      <c r="H1378" s="1">
        <v>39.072000000000003</v>
      </c>
      <c r="I1378" s="21">
        <v>44691</v>
      </c>
      <c r="J1378" s="21">
        <v>44695</v>
      </c>
      <c r="K1378" s="21">
        <f t="shared" si="126"/>
        <v>44695</v>
      </c>
      <c r="L1378" t="s">
        <v>220</v>
      </c>
      <c r="M1378" t="s">
        <v>72</v>
      </c>
      <c r="N1378" t="s">
        <v>73</v>
      </c>
      <c r="O1378">
        <v>1</v>
      </c>
      <c r="P1378" t="s">
        <v>1493</v>
      </c>
      <c r="Q1378" t="s">
        <v>4729</v>
      </c>
      <c r="R1378" t="s">
        <v>4726</v>
      </c>
      <c r="S1378" t="s">
        <v>4717</v>
      </c>
      <c r="T1378">
        <f t="shared" si="117"/>
        <v>4</v>
      </c>
      <c r="U1378" s="21">
        <f t="shared" si="127"/>
        <v>45060</v>
      </c>
    </row>
    <row r="1379" spans="1:21" x14ac:dyDescent="0.35">
      <c r="A1379" t="s">
        <v>286</v>
      </c>
      <c r="B1379" t="s">
        <v>287</v>
      </c>
      <c r="C1379" t="s">
        <v>19</v>
      </c>
      <c r="D1379" t="s">
        <v>212</v>
      </c>
      <c r="E1379" s="1">
        <v>11.52</v>
      </c>
      <c r="F1379" t="s">
        <v>206</v>
      </c>
      <c r="G1379">
        <v>100</v>
      </c>
      <c r="H1379" s="1">
        <v>11.52</v>
      </c>
      <c r="I1379" s="21">
        <v>44690</v>
      </c>
      <c r="J1379" s="21">
        <v>44696</v>
      </c>
      <c r="K1379" s="21">
        <f t="shared" si="126"/>
        <v>44696</v>
      </c>
      <c r="L1379" t="s">
        <v>248</v>
      </c>
      <c r="M1379" t="s">
        <v>25</v>
      </c>
      <c r="N1379" t="s">
        <v>26</v>
      </c>
      <c r="O1379">
        <v>1</v>
      </c>
      <c r="P1379" t="s">
        <v>288</v>
      </c>
      <c r="Q1379" t="s">
        <v>4517</v>
      </c>
      <c r="R1379" t="s">
        <v>4726</v>
      </c>
      <c r="S1379" t="s">
        <v>4717</v>
      </c>
      <c r="T1379">
        <f t="shared" si="117"/>
        <v>6</v>
      </c>
      <c r="U1379" s="21">
        <f t="shared" si="127"/>
        <v>45061</v>
      </c>
    </row>
    <row r="1380" spans="1:21" x14ac:dyDescent="0.35">
      <c r="A1380" t="s">
        <v>1488</v>
      </c>
      <c r="B1380" t="s">
        <v>1489</v>
      </c>
      <c r="C1380" t="s">
        <v>30</v>
      </c>
      <c r="D1380" t="s">
        <v>212</v>
      </c>
      <c r="E1380" s="1">
        <v>103.92</v>
      </c>
      <c r="F1380" t="s">
        <v>206</v>
      </c>
      <c r="G1380">
        <v>100</v>
      </c>
      <c r="H1380" s="1">
        <v>103.92</v>
      </c>
      <c r="I1380" s="21">
        <v>44690</v>
      </c>
      <c r="J1380" s="21">
        <v>44694</v>
      </c>
      <c r="K1380" s="21">
        <f t="shared" si="126"/>
        <v>44694</v>
      </c>
      <c r="L1380" t="s">
        <v>207</v>
      </c>
      <c r="M1380" t="s">
        <v>25</v>
      </c>
      <c r="N1380" t="s">
        <v>26</v>
      </c>
      <c r="O1380">
        <v>1</v>
      </c>
      <c r="P1380" t="s">
        <v>1490</v>
      </c>
      <c r="Q1380" t="s">
        <v>4538</v>
      </c>
      <c r="R1380" t="s">
        <v>4713</v>
      </c>
      <c r="S1380" t="s">
        <v>4719</v>
      </c>
      <c r="T1380">
        <f t="shared" si="117"/>
        <v>4</v>
      </c>
      <c r="U1380" s="21">
        <f t="shared" si="127"/>
        <v>45059</v>
      </c>
    </row>
    <row r="1381" spans="1:21" x14ac:dyDescent="0.35">
      <c r="A1381" t="s">
        <v>3766</v>
      </c>
      <c r="B1381" t="s">
        <v>3767</v>
      </c>
      <c r="C1381" t="s">
        <v>30</v>
      </c>
      <c r="D1381" t="s">
        <v>205</v>
      </c>
      <c r="E1381" s="1">
        <v>10.368</v>
      </c>
      <c r="F1381" t="s">
        <v>206</v>
      </c>
      <c r="G1381">
        <v>80</v>
      </c>
      <c r="H1381" s="1">
        <v>8.2944000000000013</v>
      </c>
      <c r="I1381" s="21">
        <v>44690</v>
      </c>
      <c r="J1381" s="21">
        <v>44692</v>
      </c>
      <c r="K1381" s="21">
        <f t="shared" si="126"/>
        <v>44692</v>
      </c>
      <c r="L1381" t="s">
        <v>213</v>
      </c>
      <c r="M1381" t="s">
        <v>97</v>
      </c>
      <c r="N1381" t="s">
        <v>68</v>
      </c>
      <c r="O1381">
        <v>1</v>
      </c>
      <c r="P1381" t="s">
        <v>3768</v>
      </c>
      <c r="Q1381" t="s">
        <v>4519</v>
      </c>
      <c r="R1381" t="s">
        <v>4726</v>
      </c>
      <c r="S1381" t="s">
        <v>4717</v>
      </c>
      <c r="T1381">
        <f t="shared" si="117"/>
        <v>2</v>
      </c>
      <c r="U1381" s="21">
        <f t="shared" si="127"/>
        <v>45057</v>
      </c>
    </row>
    <row r="1382" spans="1:21" x14ac:dyDescent="0.35">
      <c r="A1382" t="s">
        <v>283</v>
      </c>
      <c r="B1382" t="s">
        <v>284</v>
      </c>
      <c r="C1382" t="s">
        <v>19</v>
      </c>
      <c r="D1382" t="s">
        <v>212</v>
      </c>
      <c r="E1382" s="1">
        <v>6.4560000000000004</v>
      </c>
      <c r="F1382" t="s">
        <v>206</v>
      </c>
      <c r="G1382">
        <v>100</v>
      </c>
      <c r="H1382" s="1">
        <v>6.4560000000000004</v>
      </c>
      <c r="I1382" s="21">
        <v>44689</v>
      </c>
      <c r="J1382" s="21">
        <v>44694</v>
      </c>
      <c r="K1382" s="21">
        <f t="shared" si="126"/>
        <v>44694</v>
      </c>
      <c r="L1382" t="s">
        <v>234</v>
      </c>
      <c r="M1382" t="s">
        <v>46</v>
      </c>
      <c r="N1382" t="s">
        <v>47</v>
      </c>
      <c r="O1382">
        <v>1</v>
      </c>
      <c r="P1382" t="s">
        <v>285</v>
      </c>
      <c r="Q1382" t="s">
        <v>4526</v>
      </c>
      <c r="R1382" t="s">
        <v>4726</v>
      </c>
      <c r="S1382" t="s">
        <v>4717</v>
      </c>
      <c r="T1382">
        <f t="shared" si="117"/>
        <v>5</v>
      </c>
      <c r="U1382" s="21">
        <f t="shared" si="127"/>
        <v>45059</v>
      </c>
    </row>
    <row r="1383" spans="1:21" x14ac:dyDescent="0.35">
      <c r="A1383" t="s">
        <v>2680</v>
      </c>
      <c r="B1383" t="s">
        <v>2681</v>
      </c>
      <c r="C1383" t="s">
        <v>30</v>
      </c>
      <c r="D1383" t="s">
        <v>205</v>
      </c>
      <c r="E1383" s="1">
        <v>15</v>
      </c>
      <c r="F1383" t="s">
        <v>206</v>
      </c>
      <c r="G1383">
        <v>80</v>
      </c>
      <c r="H1383" s="1">
        <v>12</v>
      </c>
      <c r="I1383" s="21">
        <v>44686</v>
      </c>
      <c r="J1383" s="21">
        <v>44691</v>
      </c>
      <c r="K1383" s="21">
        <f t="shared" si="126"/>
        <v>44691</v>
      </c>
      <c r="L1383" t="s">
        <v>238</v>
      </c>
      <c r="M1383" t="s">
        <v>72</v>
      </c>
      <c r="N1383" t="s">
        <v>73</v>
      </c>
      <c r="O1383">
        <v>1</v>
      </c>
      <c r="P1383" t="s">
        <v>1406</v>
      </c>
      <c r="Q1383" t="s">
        <v>4518</v>
      </c>
      <c r="R1383" t="s">
        <v>4726</v>
      </c>
      <c r="S1383" t="s">
        <v>4717</v>
      </c>
      <c r="T1383">
        <f t="shared" si="117"/>
        <v>5</v>
      </c>
      <c r="U1383" s="21">
        <f t="shared" si="127"/>
        <v>45056</v>
      </c>
    </row>
    <row r="1384" spans="1:21" x14ac:dyDescent="0.35">
      <c r="A1384" t="s">
        <v>277</v>
      </c>
      <c r="B1384" t="s">
        <v>278</v>
      </c>
      <c r="C1384" t="s">
        <v>19</v>
      </c>
      <c r="D1384" t="s">
        <v>212</v>
      </c>
      <c r="E1384" s="1">
        <v>14.015999999999901</v>
      </c>
      <c r="F1384" t="s">
        <v>206</v>
      </c>
      <c r="G1384">
        <v>100</v>
      </c>
      <c r="H1384" s="1">
        <v>14.015999999999901</v>
      </c>
      <c r="I1384" s="21">
        <v>44686</v>
      </c>
      <c r="J1384" s="21">
        <v>44690</v>
      </c>
      <c r="K1384" s="21">
        <f t="shared" si="126"/>
        <v>44690</v>
      </c>
      <c r="L1384" t="s">
        <v>220</v>
      </c>
      <c r="M1384" t="s">
        <v>46</v>
      </c>
      <c r="N1384" t="s">
        <v>47</v>
      </c>
      <c r="O1384">
        <v>1</v>
      </c>
      <c r="P1384" t="s">
        <v>279</v>
      </c>
      <c r="Q1384" t="s">
        <v>4543</v>
      </c>
      <c r="R1384" t="s">
        <v>4727</v>
      </c>
      <c r="S1384" t="s">
        <v>4719</v>
      </c>
      <c r="T1384">
        <f t="shared" si="117"/>
        <v>4</v>
      </c>
      <c r="U1384" s="21">
        <f t="shared" si="127"/>
        <v>45055</v>
      </c>
    </row>
    <row r="1385" spans="1:21" x14ac:dyDescent="0.35">
      <c r="A1385" t="s">
        <v>280</v>
      </c>
      <c r="B1385" t="s">
        <v>281</v>
      </c>
      <c r="C1385" t="s">
        <v>19</v>
      </c>
      <c r="D1385" t="s">
        <v>205</v>
      </c>
      <c r="E1385" s="1">
        <v>35.167999999999999</v>
      </c>
      <c r="F1385" t="s">
        <v>206</v>
      </c>
      <c r="G1385">
        <v>80</v>
      </c>
      <c r="H1385" s="1">
        <v>28.134399999999999</v>
      </c>
      <c r="I1385" s="21">
        <v>44686</v>
      </c>
      <c r="J1385" s="21">
        <v>44687</v>
      </c>
      <c r="K1385" s="21">
        <f t="shared" si="126"/>
        <v>44687</v>
      </c>
      <c r="L1385" t="s">
        <v>207</v>
      </c>
      <c r="M1385" t="s">
        <v>46</v>
      </c>
      <c r="N1385" t="s">
        <v>47</v>
      </c>
      <c r="O1385">
        <v>1</v>
      </c>
      <c r="P1385" t="s">
        <v>282</v>
      </c>
      <c r="Q1385" t="s">
        <v>4544</v>
      </c>
      <c r="R1385" t="s">
        <v>4709</v>
      </c>
      <c r="S1385" t="s">
        <v>4717</v>
      </c>
      <c r="T1385">
        <f t="shared" si="117"/>
        <v>1</v>
      </c>
      <c r="U1385" s="21">
        <f t="shared" si="127"/>
        <v>45052</v>
      </c>
    </row>
    <row r="1386" spans="1:21" x14ac:dyDescent="0.35">
      <c r="A1386" t="s">
        <v>1485</v>
      </c>
      <c r="B1386" t="s">
        <v>1486</v>
      </c>
      <c r="C1386" t="s">
        <v>19</v>
      </c>
      <c r="D1386" t="s">
        <v>205</v>
      </c>
      <c r="E1386" s="1">
        <v>42.207999999999998</v>
      </c>
      <c r="F1386" t="s">
        <v>206</v>
      </c>
      <c r="G1386">
        <v>80</v>
      </c>
      <c r="H1386" s="1">
        <v>33.766399999999997</v>
      </c>
      <c r="I1386" s="21">
        <v>44686</v>
      </c>
      <c r="J1386" s="21">
        <v>44693</v>
      </c>
      <c r="K1386" s="21">
        <f t="shared" si="126"/>
        <v>44693</v>
      </c>
      <c r="L1386" t="s">
        <v>234</v>
      </c>
      <c r="M1386" t="s">
        <v>46</v>
      </c>
      <c r="N1386" t="s">
        <v>47</v>
      </c>
      <c r="O1386">
        <v>1</v>
      </c>
      <c r="P1386" t="s">
        <v>1487</v>
      </c>
      <c r="Q1386" t="s">
        <v>4519</v>
      </c>
      <c r="R1386" t="s">
        <v>4726</v>
      </c>
      <c r="S1386" t="s">
        <v>4717</v>
      </c>
      <c r="T1386">
        <f t="shared" si="117"/>
        <v>7</v>
      </c>
      <c r="U1386" s="21">
        <f t="shared" si="127"/>
        <v>45058</v>
      </c>
    </row>
    <row r="1387" spans="1:21" x14ac:dyDescent="0.35">
      <c r="A1387" t="s">
        <v>274</v>
      </c>
      <c r="B1387" t="s">
        <v>275</v>
      </c>
      <c r="C1387" t="s">
        <v>30</v>
      </c>
      <c r="D1387" t="s">
        <v>205</v>
      </c>
      <c r="E1387" s="1">
        <v>36.738</v>
      </c>
      <c r="F1387" t="s">
        <v>206</v>
      </c>
      <c r="G1387">
        <v>80</v>
      </c>
      <c r="H1387" s="1">
        <v>29.3904</v>
      </c>
      <c r="I1387" s="21">
        <v>44685</v>
      </c>
      <c r="J1387" s="21">
        <v>44690</v>
      </c>
      <c r="K1387" s="21">
        <f t="shared" si="126"/>
        <v>44690</v>
      </c>
      <c r="L1387" t="s">
        <v>220</v>
      </c>
      <c r="M1387" t="s">
        <v>67</v>
      </c>
      <c r="N1387" t="s">
        <v>68</v>
      </c>
      <c r="O1387">
        <v>1</v>
      </c>
      <c r="P1387" t="s">
        <v>276</v>
      </c>
      <c r="Q1387" t="s">
        <v>4542</v>
      </c>
      <c r="R1387" t="s">
        <v>4713</v>
      </c>
      <c r="S1387" t="s">
        <v>4719</v>
      </c>
      <c r="T1387">
        <f t="shared" si="117"/>
        <v>5</v>
      </c>
      <c r="U1387" s="21">
        <f t="shared" si="127"/>
        <v>45055</v>
      </c>
    </row>
    <row r="1388" spans="1:21" x14ac:dyDescent="0.35">
      <c r="A1388" t="s">
        <v>156</v>
      </c>
      <c r="B1388" t="s">
        <v>157</v>
      </c>
      <c r="C1388" t="s">
        <v>30</v>
      </c>
      <c r="D1388" t="s">
        <v>21</v>
      </c>
      <c r="E1388" s="1">
        <v>460.84399999999994</v>
      </c>
      <c r="F1388" t="s">
        <v>22</v>
      </c>
      <c r="G1388">
        <v>0</v>
      </c>
      <c r="H1388" s="1">
        <v>0</v>
      </c>
      <c r="I1388" s="21">
        <v>44320</v>
      </c>
      <c r="J1388" s="21">
        <v>44323</v>
      </c>
      <c r="K1388" s="21">
        <v>44323</v>
      </c>
      <c r="L1388" t="s">
        <v>45</v>
      </c>
      <c r="M1388" t="s">
        <v>97</v>
      </c>
      <c r="N1388" t="s">
        <v>68</v>
      </c>
      <c r="O1388">
        <v>1</v>
      </c>
      <c r="P1388" t="s">
        <v>158</v>
      </c>
      <c r="Q1388" t="s">
        <v>4520</v>
      </c>
      <c r="R1388" t="s">
        <v>4726</v>
      </c>
      <c r="S1388" t="s">
        <v>4717</v>
      </c>
      <c r="T1388">
        <f t="shared" si="117"/>
        <v>3</v>
      </c>
      <c r="U1388" s="21">
        <f>J1388</f>
        <v>44323</v>
      </c>
    </row>
    <row r="1389" spans="1:21" x14ac:dyDescent="0.35">
      <c r="A1389" t="s">
        <v>3764</v>
      </c>
      <c r="B1389" t="s">
        <v>3765</v>
      </c>
      <c r="C1389" t="s">
        <v>19</v>
      </c>
      <c r="D1389" t="s">
        <v>205</v>
      </c>
      <c r="E1389" s="1">
        <v>179.939999999999</v>
      </c>
      <c r="F1389" t="s">
        <v>206</v>
      </c>
      <c r="G1389">
        <v>80</v>
      </c>
      <c r="H1389" s="1">
        <v>143.9519999999992</v>
      </c>
      <c r="I1389" s="21">
        <v>44685</v>
      </c>
      <c r="J1389" s="21">
        <v>44688</v>
      </c>
      <c r="K1389" s="21">
        <f t="shared" ref="K1389:K1393" si="128">J1389</f>
        <v>44688</v>
      </c>
      <c r="L1389" t="s">
        <v>234</v>
      </c>
      <c r="M1389" t="s">
        <v>97</v>
      </c>
      <c r="N1389" t="s">
        <v>68</v>
      </c>
      <c r="O1389">
        <v>1</v>
      </c>
      <c r="P1389" t="s">
        <v>976</v>
      </c>
      <c r="Q1389" t="s">
        <v>4530</v>
      </c>
      <c r="R1389" t="s">
        <v>4711</v>
      </c>
      <c r="S1389" t="s">
        <v>4719</v>
      </c>
      <c r="T1389">
        <f t="shared" si="117"/>
        <v>3</v>
      </c>
      <c r="U1389" s="21">
        <f t="shared" ref="U1389:U1393" si="129">J1389+365</f>
        <v>45053</v>
      </c>
    </row>
    <row r="1390" spans="1:21" x14ac:dyDescent="0.35">
      <c r="A1390" t="s">
        <v>2677</v>
      </c>
      <c r="B1390" t="s">
        <v>2678</v>
      </c>
      <c r="C1390" t="s">
        <v>19</v>
      </c>
      <c r="D1390" t="s">
        <v>205</v>
      </c>
      <c r="E1390" s="1">
        <v>575.91999999999996</v>
      </c>
      <c r="F1390" t="s">
        <v>206</v>
      </c>
      <c r="G1390">
        <v>80</v>
      </c>
      <c r="H1390" s="1">
        <v>460.73599999999999</v>
      </c>
      <c r="I1390" s="21">
        <v>44683</v>
      </c>
      <c r="J1390" s="21">
        <v>44689</v>
      </c>
      <c r="K1390" s="21">
        <f t="shared" si="128"/>
        <v>44689</v>
      </c>
      <c r="L1390" t="s">
        <v>213</v>
      </c>
      <c r="M1390" t="s">
        <v>25</v>
      </c>
      <c r="N1390" t="s">
        <v>26</v>
      </c>
      <c r="O1390">
        <v>1</v>
      </c>
      <c r="P1390" t="s">
        <v>2679</v>
      </c>
      <c r="Q1390" t="s">
        <v>4515</v>
      </c>
      <c r="R1390" t="s">
        <v>4711</v>
      </c>
      <c r="S1390" t="s">
        <v>4719</v>
      </c>
      <c r="T1390">
        <f t="shared" si="117"/>
        <v>6</v>
      </c>
      <c r="U1390" s="21">
        <f t="shared" si="129"/>
        <v>45054</v>
      </c>
    </row>
    <row r="1391" spans="1:21" x14ac:dyDescent="0.35">
      <c r="A1391" t="s">
        <v>2671</v>
      </c>
      <c r="B1391" t="s">
        <v>2672</v>
      </c>
      <c r="C1391" t="s">
        <v>19</v>
      </c>
      <c r="D1391" t="s">
        <v>212</v>
      </c>
      <c r="E1391" s="1">
        <v>5.04</v>
      </c>
      <c r="F1391" t="s">
        <v>206</v>
      </c>
      <c r="G1391">
        <v>100</v>
      </c>
      <c r="H1391" s="1">
        <v>5.04</v>
      </c>
      <c r="I1391" s="21">
        <v>44682</v>
      </c>
      <c r="J1391" s="21">
        <v>44687</v>
      </c>
      <c r="K1391" s="21">
        <f t="shared" si="128"/>
        <v>44687</v>
      </c>
      <c r="L1391" t="s">
        <v>207</v>
      </c>
      <c r="M1391" t="s">
        <v>40</v>
      </c>
      <c r="N1391" t="s">
        <v>34</v>
      </c>
      <c r="O1391">
        <v>1</v>
      </c>
      <c r="P1391" t="s">
        <v>2673</v>
      </c>
      <c r="Q1391" t="s">
        <v>4517</v>
      </c>
      <c r="R1391" t="s">
        <v>4726</v>
      </c>
      <c r="S1391" t="s">
        <v>4717</v>
      </c>
      <c r="T1391">
        <f t="shared" si="117"/>
        <v>5</v>
      </c>
      <c r="U1391" s="21">
        <f t="shared" si="129"/>
        <v>45052</v>
      </c>
    </row>
    <row r="1392" spans="1:21" x14ac:dyDescent="0.35">
      <c r="A1392" t="s">
        <v>2674</v>
      </c>
      <c r="B1392" t="s">
        <v>2675</v>
      </c>
      <c r="C1392" t="s">
        <v>19</v>
      </c>
      <c r="D1392" t="s">
        <v>205</v>
      </c>
      <c r="E1392" s="1">
        <v>438.33600000000001</v>
      </c>
      <c r="F1392" t="s">
        <v>206</v>
      </c>
      <c r="G1392">
        <v>80</v>
      </c>
      <c r="H1392" s="1">
        <v>350.66880000000003</v>
      </c>
      <c r="I1392" s="21">
        <v>44682</v>
      </c>
      <c r="J1392" s="21">
        <v>44684</v>
      </c>
      <c r="K1392" s="21">
        <f t="shared" si="128"/>
        <v>44684</v>
      </c>
      <c r="L1392" t="s">
        <v>238</v>
      </c>
      <c r="M1392" t="s">
        <v>97</v>
      </c>
      <c r="N1392" t="s">
        <v>68</v>
      </c>
      <c r="O1392">
        <v>1</v>
      </c>
      <c r="P1392" t="s">
        <v>2676</v>
      </c>
      <c r="Q1392" t="s">
        <v>4667</v>
      </c>
      <c r="R1392" t="s">
        <v>4711</v>
      </c>
      <c r="S1392" t="s">
        <v>4719</v>
      </c>
      <c r="T1392">
        <f t="shared" si="117"/>
        <v>2</v>
      </c>
      <c r="U1392" s="21">
        <f t="shared" si="129"/>
        <v>45049</v>
      </c>
    </row>
    <row r="1393" spans="1:21" x14ac:dyDescent="0.35">
      <c r="A1393" t="s">
        <v>1483</v>
      </c>
      <c r="B1393" t="s">
        <v>1484</v>
      </c>
      <c r="C1393" t="s">
        <v>30</v>
      </c>
      <c r="D1393" t="s">
        <v>205</v>
      </c>
      <c r="E1393" s="1">
        <v>669.08</v>
      </c>
      <c r="F1393" t="s">
        <v>206</v>
      </c>
      <c r="G1393">
        <v>80</v>
      </c>
      <c r="H1393" s="1">
        <v>535.26400000000001</v>
      </c>
      <c r="I1393" s="21">
        <v>44681</v>
      </c>
      <c r="J1393" s="21">
        <v>44686</v>
      </c>
      <c r="K1393" s="21">
        <f t="shared" si="128"/>
        <v>44686</v>
      </c>
      <c r="L1393" t="s">
        <v>220</v>
      </c>
      <c r="M1393" t="s">
        <v>72</v>
      </c>
      <c r="N1393" t="s">
        <v>73</v>
      </c>
      <c r="O1393">
        <v>1</v>
      </c>
      <c r="P1393" t="s">
        <v>1292</v>
      </c>
      <c r="Q1393" t="s">
        <v>4729</v>
      </c>
      <c r="R1393" t="s">
        <v>4777</v>
      </c>
      <c r="S1393" t="s">
        <v>4718</v>
      </c>
      <c r="T1393">
        <f t="shared" si="117"/>
        <v>5</v>
      </c>
      <c r="U1393" s="21">
        <f t="shared" si="129"/>
        <v>45051</v>
      </c>
    </row>
    <row r="1394" spans="1:21" x14ac:dyDescent="0.35">
      <c r="A1394" t="s">
        <v>2539</v>
      </c>
      <c r="B1394" t="s">
        <v>2540</v>
      </c>
      <c r="C1394" t="s">
        <v>19</v>
      </c>
      <c r="D1394" t="s">
        <v>21</v>
      </c>
      <c r="E1394" s="1">
        <v>3999.7019999999998</v>
      </c>
      <c r="F1394" t="s">
        <v>22</v>
      </c>
      <c r="G1394">
        <v>0</v>
      </c>
      <c r="H1394" s="1">
        <v>0</v>
      </c>
      <c r="I1394" s="21">
        <v>44315</v>
      </c>
      <c r="J1394" s="21">
        <v>44318</v>
      </c>
      <c r="K1394" s="21">
        <v>44318</v>
      </c>
      <c r="L1394" t="s">
        <v>45</v>
      </c>
      <c r="M1394" t="s">
        <v>46</v>
      </c>
      <c r="N1394" t="s">
        <v>47</v>
      </c>
      <c r="O1394">
        <v>1</v>
      </c>
      <c r="P1394" t="s">
        <v>2541</v>
      </c>
      <c r="Q1394" t="s">
        <v>4587</v>
      </c>
      <c r="R1394" t="s">
        <v>4713</v>
      </c>
      <c r="S1394" t="s">
        <v>4719</v>
      </c>
      <c r="T1394">
        <f t="shared" si="117"/>
        <v>3</v>
      </c>
      <c r="U1394" s="21">
        <f>J1394</f>
        <v>44318</v>
      </c>
    </row>
    <row r="1395" spans="1:21" x14ac:dyDescent="0.35">
      <c r="A1395" t="s">
        <v>3762</v>
      </c>
      <c r="B1395" t="s">
        <v>3763</v>
      </c>
      <c r="C1395" t="s">
        <v>19</v>
      </c>
      <c r="D1395" t="s">
        <v>212</v>
      </c>
      <c r="E1395" s="1">
        <v>15.552</v>
      </c>
      <c r="F1395" t="s">
        <v>206</v>
      </c>
      <c r="G1395">
        <v>100</v>
      </c>
      <c r="H1395" s="1">
        <v>15.552</v>
      </c>
      <c r="I1395" s="21">
        <v>44678</v>
      </c>
      <c r="J1395" s="21">
        <v>44682</v>
      </c>
      <c r="K1395" s="21">
        <f t="shared" ref="K1395:K1406" si="130">J1395</f>
        <v>44682</v>
      </c>
      <c r="L1395" t="s">
        <v>213</v>
      </c>
      <c r="M1395" t="s">
        <v>82</v>
      </c>
      <c r="N1395" t="s">
        <v>47</v>
      </c>
      <c r="O1395">
        <v>1</v>
      </c>
      <c r="P1395" t="s">
        <v>934</v>
      </c>
      <c r="Q1395" t="s">
        <v>4519</v>
      </c>
      <c r="R1395" t="s">
        <v>4726</v>
      </c>
      <c r="S1395" t="s">
        <v>4717</v>
      </c>
      <c r="T1395">
        <f t="shared" si="117"/>
        <v>4</v>
      </c>
      <c r="U1395" s="21">
        <f t="shared" ref="U1395:U1406" si="131">J1395+365</f>
        <v>45047</v>
      </c>
    </row>
    <row r="1396" spans="1:21" x14ac:dyDescent="0.35">
      <c r="A1396" t="s">
        <v>3756</v>
      </c>
      <c r="B1396" t="s">
        <v>3757</v>
      </c>
      <c r="C1396" t="s">
        <v>30</v>
      </c>
      <c r="D1396" t="s">
        <v>205</v>
      </c>
      <c r="E1396" s="1">
        <v>5.9039999999999999</v>
      </c>
      <c r="F1396" t="s">
        <v>206</v>
      </c>
      <c r="G1396">
        <v>80</v>
      </c>
      <c r="H1396" s="1">
        <v>4.7232000000000003</v>
      </c>
      <c r="I1396" s="21">
        <v>44677</v>
      </c>
      <c r="J1396" s="21">
        <v>44680</v>
      </c>
      <c r="K1396" s="21">
        <f t="shared" si="130"/>
        <v>44680</v>
      </c>
      <c r="L1396" t="s">
        <v>248</v>
      </c>
      <c r="M1396" t="s">
        <v>82</v>
      </c>
      <c r="N1396" t="s">
        <v>47</v>
      </c>
      <c r="O1396">
        <v>1</v>
      </c>
      <c r="P1396" t="s">
        <v>3758</v>
      </c>
      <c r="Q1396" t="s">
        <v>4517</v>
      </c>
      <c r="R1396" t="s">
        <v>4726</v>
      </c>
      <c r="S1396" t="s">
        <v>4717</v>
      </c>
      <c r="T1396">
        <f t="shared" si="117"/>
        <v>3</v>
      </c>
      <c r="U1396" s="21">
        <f t="shared" si="131"/>
        <v>45045</v>
      </c>
    </row>
    <row r="1397" spans="1:21" x14ac:dyDescent="0.35">
      <c r="A1397" t="s">
        <v>3759</v>
      </c>
      <c r="B1397" t="s">
        <v>3760</v>
      </c>
      <c r="C1397" t="s">
        <v>30</v>
      </c>
      <c r="D1397" t="s">
        <v>205</v>
      </c>
      <c r="E1397" s="1">
        <v>51.015999999999998</v>
      </c>
      <c r="F1397" t="s">
        <v>206</v>
      </c>
      <c r="G1397">
        <v>80</v>
      </c>
      <c r="H1397" s="1">
        <v>40.812800000000003</v>
      </c>
      <c r="I1397" s="21">
        <v>44677</v>
      </c>
      <c r="J1397" s="21">
        <v>44684</v>
      </c>
      <c r="K1397" s="21">
        <f t="shared" si="130"/>
        <v>44684</v>
      </c>
      <c r="L1397" t="s">
        <v>238</v>
      </c>
      <c r="M1397" t="s">
        <v>67</v>
      </c>
      <c r="N1397" t="s">
        <v>68</v>
      </c>
      <c r="O1397">
        <v>1</v>
      </c>
      <c r="P1397" t="s">
        <v>3761</v>
      </c>
      <c r="Q1397" t="s">
        <v>4640</v>
      </c>
      <c r="R1397" t="s">
        <v>4726</v>
      </c>
      <c r="S1397" t="s">
        <v>4717</v>
      </c>
      <c r="T1397">
        <f t="shared" si="117"/>
        <v>7</v>
      </c>
      <c r="U1397" s="21">
        <f t="shared" si="131"/>
        <v>45049</v>
      </c>
    </row>
    <row r="1398" spans="1:21" x14ac:dyDescent="0.35">
      <c r="A1398" t="s">
        <v>271</v>
      </c>
      <c r="B1398" t="s">
        <v>272</v>
      </c>
      <c r="C1398" t="s">
        <v>19</v>
      </c>
      <c r="D1398" t="s">
        <v>205</v>
      </c>
      <c r="E1398" s="1">
        <v>4.32</v>
      </c>
      <c r="F1398" t="s">
        <v>206</v>
      </c>
      <c r="G1398">
        <v>80</v>
      </c>
      <c r="H1398" s="1">
        <v>3.4560000000000004</v>
      </c>
      <c r="I1398" s="21">
        <v>44677</v>
      </c>
      <c r="J1398" s="21">
        <v>44680</v>
      </c>
      <c r="K1398" s="21">
        <f t="shared" si="130"/>
        <v>44680</v>
      </c>
      <c r="L1398" t="s">
        <v>238</v>
      </c>
      <c r="M1398" t="s">
        <v>146</v>
      </c>
      <c r="N1398" t="s">
        <v>73</v>
      </c>
      <c r="O1398">
        <v>1</v>
      </c>
      <c r="P1398" t="s">
        <v>273</v>
      </c>
      <c r="Q1398" t="s">
        <v>4515</v>
      </c>
      <c r="R1398" t="s">
        <v>4726</v>
      </c>
      <c r="S1398" t="s">
        <v>4717</v>
      </c>
      <c r="T1398">
        <f t="shared" si="117"/>
        <v>3</v>
      </c>
      <c r="U1398" s="21">
        <f t="shared" si="131"/>
        <v>45045</v>
      </c>
    </row>
    <row r="1399" spans="1:21" x14ac:dyDescent="0.35">
      <c r="A1399" t="s">
        <v>3753</v>
      </c>
      <c r="B1399" t="s">
        <v>3754</v>
      </c>
      <c r="C1399" t="s">
        <v>30</v>
      </c>
      <c r="D1399" t="s">
        <v>205</v>
      </c>
      <c r="E1399" s="1">
        <v>12.096</v>
      </c>
      <c r="F1399" t="s">
        <v>206</v>
      </c>
      <c r="G1399">
        <v>80</v>
      </c>
      <c r="H1399" s="1">
        <v>9.6768000000000001</v>
      </c>
      <c r="I1399" s="21">
        <v>44676</v>
      </c>
      <c r="J1399" s="21">
        <v>44680</v>
      </c>
      <c r="K1399" s="21">
        <f t="shared" si="130"/>
        <v>44680</v>
      </c>
      <c r="L1399" t="s">
        <v>213</v>
      </c>
      <c r="M1399" t="s">
        <v>40</v>
      </c>
      <c r="N1399" t="s">
        <v>34</v>
      </c>
      <c r="O1399">
        <v>1</v>
      </c>
      <c r="P1399" t="s">
        <v>3755</v>
      </c>
      <c r="Q1399" t="s">
        <v>4729</v>
      </c>
      <c r="R1399" t="s">
        <v>4726</v>
      </c>
      <c r="S1399" t="s">
        <v>4717</v>
      </c>
      <c r="T1399">
        <f t="shared" si="117"/>
        <v>4</v>
      </c>
      <c r="U1399" s="21">
        <f t="shared" si="131"/>
        <v>45045</v>
      </c>
    </row>
    <row r="1400" spans="1:21" x14ac:dyDescent="0.35">
      <c r="A1400" t="s">
        <v>1480</v>
      </c>
      <c r="B1400" t="s">
        <v>1481</v>
      </c>
      <c r="C1400" t="s">
        <v>30</v>
      </c>
      <c r="D1400" t="s">
        <v>205</v>
      </c>
      <c r="E1400" s="1">
        <v>151.91999999999999</v>
      </c>
      <c r="F1400" t="s">
        <v>206</v>
      </c>
      <c r="G1400">
        <v>80</v>
      </c>
      <c r="H1400" s="1">
        <v>121.536</v>
      </c>
      <c r="I1400" s="21">
        <v>44672</v>
      </c>
      <c r="J1400" s="21">
        <v>44676</v>
      </c>
      <c r="K1400" s="21">
        <f t="shared" si="130"/>
        <v>44676</v>
      </c>
      <c r="L1400" t="s">
        <v>220</v>
      </c>
      <c r="M1400" t="s">
        <v>54</v>
      </c>
      <c r="N1400" t="s">
        <v>26</v>
      </c>
      <c r="O1400">
        <v>1</v>
      </c>
      <c r="P1400" t="s">
        <v>1482</v>
      </c>
      <c r="Q1400" t="s">
        <v>4516</v>
      </c>
      <c r="R1400" t="s">
        <v>4726</v>
      </c>
      <c r="S1400" t="s">
        <v>4717</v>
      </c>
      <c r="T1400">
        <f t="shared" si="117"/>
        <v>4</v>
      </c>
      <c r="U1400" s="21">
        <f t="shared" si="131"/>
        <v>45041</v>
      </c>
    </row>
    <row r="1401" spans="1:21" x14ac:dyDescent="0.35">
      <c r="A1401" t="s">
        <v>1477</v>
      </c>
      <c r="B1401" t="s">
        <v>1478</v>
      </c>
      <c r="C1401" t="s">
        <v>30</v>
      </c>
      <c r="D1401" t="s">
        <v>212</v>
      </c>
      <c r="E1401" s="1">
        <v>539.91999999999996</v>
      </c>
      <c r="F1401" t="s">
        <v>206</v>
      </c>
      <c r="G1401">
        <v>100</v>
      </c>
      <c r="H1401" s="1">
        <v>539.91999999999996</v>
      </c>
      <c r="I1401" s="21">
        <v>44672</v>
      </c>
      <c r="J1401" s="21">
        <v>44677</v>
      </c>
      <c r="K1401" s="21">
        <f t="shared" si="130"/>
        <v>44677</v>
      </c>
      <c r="L1401" t="s">
        <v>234</v>
      </c>
      <c r="M1401" t="s">
        <v>40</v>
      </c>
      <c r="N1401" t="s">
        <v>34</v>
      </c>
      <c r="O1401">
        <v>1</v>
      </c>
      <c r="P1401" t="s">
        <v>1479</v>
      </c>
      <c r="Q1401" t="s">
        <v>4513</v>
      </c>
      <c r="R1401" t="s">
        <v>4711</v>
      </c>
      <c r="S1401" t="s">
        <v>4719</v>
      </c>
      <c r="T1401">
        <f t="shared" si="117"/>
        <v>5</v>
      </c>
      <c r="U1401" s="21">
        <f t="shared" si="131"/>
        <v>45042</v>
      </c>
    </row>
    <row r="1402" spans="1:21" x14ac:dyDescent="0.35">
      <c r="A1402" t="s">
        <v>2668</v>
      </c>
      <c r="B1402" t="s">
        <v>2669</v>
      </c>
      <c r="C1402" t="s">
        <v>19</v>
      </c>
      <c r="D1402" t="s">
        <v>205</v>
      </c>
      <c r="E1402" s="1">
        <v>16.23</v>
      </c>
      <c r="F1402" t="s">
        <v>206</v>
      </c>
      <c r="G1402">
        <v>80</v>
      </c>
      <c r="H1402" s="1">
        <v>12.984000000000002</v>
      </c>
      <c r="I1402" s="21">
        <v>44670</v>
      </c>
      <c r="J1402" s="21">
        <v>44671</v>
      </c>
      <c r="K1402" s="21">
        <f t="shared" si="130"/>
        <v>44671</v>
      </c>
      <c r="L1402" t="s">
        <v>238</v>
      </c>
      <c r="M1402" t="s">
        <v>72</v>
      </c>
      <c r="N1402" t="s">
        <v>73</v>
      </c>
      <c r="O1402">
        <v>1</v>
      </c>
      <c r="P1402" t="s">
        <v>2670</v>
      </c>
      <c r="Q1402" t="s">
        <v>4729</v>
      </c>
      <c r="R1402" t="s">
        <v>4512</v>
      </c>
      <c r="S1402" t="s">
        <v>4717</v>
      </c>
      <c r="T1402">
        <f t="shared" si="117"/>
        <v>1</v>
      </c>
      <c r="U1402" s="21">
        <f t="shared" si="131"/>
        <v>45036</v>
      </c>
    </row>
    <row r="1403" spans="1:21" x14ac:dyDescent="0.35">
      <c r="A1403" t="s">
        <v>1474</v>
      </c>
      <c r="B1403" t="s">
        <v>1475</v>
      </c>
      <c r="C1403" t="s">
        <v>30</v>
      </c>
      <c r="D1403" t="s">
        <v>212</v>
      </c>
      <c r="E1403" s="1">
        <v>1502.376</v>
      </c>
      <c r="F1403" t="s">
        <v>206</v>
      </c>
      <c r="G1403">
        <v>100</v>
      </c>
      <c r="H1403" s="1">
        <v>1502.376</v>
      </c>
      <c r="I1403" s="21">
        <v>44670</v>
      </c>
      <c r="J1403" s="21">
        <v>44675</v>
      </c>
      <c r="K1403" s="21">
        <f t="shared" si="130"/>
        <v>44675</v>
      </c>
      <c r="L1403" t="s">
        <v>248</v>
      </c>
      <c r="M1403" t="s">
        <v>40</v>
      </c>
      <c r="N1403" t="s">
        <v>34</v>
      </c>
      <c r="O1403">
        <v>1</v>
      </c>
      <c r="P1403" t="s">
        <v>1476</v>
      </c>
      <c r="Q1403" t="s">
        <v>4565</v>
      </c>
      <c r="R1403" t="s">
        <v>4711</v>
      </c>
      <c r="S1403" t="s">
        <v>4719</v>
      </c>
      <c r="T1403">
        <f t="shared" si="117"/>
        <v>5</v>
      </c>
      <c r="U1403" s="21">
        <f t="shared" si="131"/>
        <v>45040</v>
      </c>
    </row>
    <row r="1404" spans="1:21" x14ac:dyDescent="0.35">
      <c r="A1404" t="s">
        <v>3750</v>
      </c>
      <c r="B1404" t="s">
        <v>3751</v>
      </c>
      <c r="C1404" t="s">
        <v>19</v>
      </c>
      <c r="D1404" t="s">
        <v>205</v>
      </c>
      <c r="E1404" s="1">
        <v>23.472000000000001</v>
      </c>
      <c r="F1404" t="s">
        <v>206</v>
      </c>
      <c r="G1404">
        <v>80</v>
      </c>
      <c r="H1404" s="1">
        <v>18.777600000000003</v>
      </c>
      <c r="I1404" s="21">
        <v>44670</v>
      </c>
      <c r="J1404" s="21">
        <v>44672</v>
      </c>
      <c r="K1404" s="21">
        <f t="shared" si="130"/>
        <v>44672</v>
      </c>
      <c r="L1404" t="s">
        <v>248</v>
      </c>
      <c r="M1404" t="s">
        <v>33</v>
      </c>
      <c r="N1404" t="s">
        <v>34</v>
      </c>
      <c r="O1404">
        <v>1</v>
      </c>
      <c r="P1404" t="s">
        <v>3752</v>
      </c>
      <c r="Q1404" t="s">
        <v>4729</v>
      </c>
      <c r="R1404" t="s">
        <v>4512</v>
      </c>
      <c r="S1404" t="s">
        <v>4717</v>
      </c>
      <c r="T1404">
        <f t="shared" si="117"/>
        <v>2</v>
      </c>
      <c r="U1404" s="21">
        <f t="shared" si="131"/>
        <v>45037</v>
      </c>
    </row>
    <row r="1405" spans="1:21" x14ac:dyDescent="0.35">
      <c r="A1405" t="s">
        <v>2666</v>
      </c>
      <c r="B1405" t="s">
        <v>2667</v>
      </c>
      <c r="C1405" t="s">
        <v>30</v>
      </c>
      <c r="D1405" t="s">
        <v>212</v>
      </c>
      <c r="E1405" s="1">
        <v>137.54</v>
      </c>
      <c r="F1405" t="s">
        <v>206</v>
      </c>
      <c r="G1405">
        <v>100</v>
      </c>
      <c r="H1405" s="1">
        <v>137.54</v>
      </c>
      <c r="I1405" s="21">
        <v>44668</v>
      </c>
      <c r="J1405" s="21">
        <v>44673</v>
      </c>
      <c r="K1405" s="21">
        <f t="shared" si="130"/>
        <v>44673</v>
      </c>
      <c r="L1405" t="s">
        <v>207</v>
      </c>
      <c r="M1405" t="s">
        <v>25</v>
      </c>
      <c r="N1405" t="s">
        <v>26</v>
      </c>
      <c r="O1405">
        <v>1</v>
      </c>
      <c r="P1405" t="s">
        <v>985</v>
      </c>
      <c r="Q1405" t="s">
        <v>4553</v>
      </c>
      <c r="R1405" t="s">
        <v>4722</v>
      </c>
      <c r="S1405" t="s">
        <v>4718</v>
      </c>
      <c r="T1405">
        <f t="shared" si="117"/>
        <v>5</v>
      </c>
      <c r="U1405" s="21">
        <f t="shared" si="131"/>
        <v>45038</v>
      </c>
    </row>
    <row r="1406" spans="1:21" x14ac:dyDescent="0.35">
      <c r="A1406" t="s">
        <v>1471</v>
      </c>
      <c r="B1406" t="s">
        <v>1472</v>
      </c>
      <c r="C1406" t="s">
        <v>19</v>
      </c>
      <c r="D1406" t="s">
        <v>205</v>
      </c>
      <c r="E1406" s="1">
        <v>94.99</v>
      </c>
      <c r="F1406" t="s">
        <v>206</v>
      </c>
      <c r="G1406">
        <v>80</v>
      </c>
      <c r="H1406" s="1">
        <v>75.992000000000004</v>
      </c>
      <c r="I1406" s="21">
        <v>44668</v>
      </c>
      <c r="J1406" s="21">
        <v>44673</v>
      </c>
      <c r="K1406" s="21">
        <f t="shared" si="130"/>
        <v>44673</v>
      </c>
      <c r="L1406" t="s">
        <v>213</v>
      </c>
      <c r="M1406" t="s">
        <v>146</v>
      </c>
      <c r="N1406" t="s">
        <v>73</v>
      </c>
      <c r="O1406">
        <v>1</v>
      </c>
      <c r="P1406" t="s">
        <v>1473</v>
      </c>
      <c r="Q1406" t="s">
        <v>4587</v>
      </c>
      <c r="R1406" t="s">
        <v>4713</v>
      </c>
      <c r="S1406" t="s">
        <v>4719</v>
      </c>
      <c r="T1406">
        <f t="shared" si="117"/>
        <v>5</v>
      </c>
      <c r="U1406" s="21">
        <f t="shared" si="131"/>
        <v>45038</v>
      </c>
    </row>
    <row r="1407" spans="1:21" x14ac:dyDescent="0.35">
      <c r="A1407" t="s">
        <v>2536</v>
      </c>
      <c r="B1407" t="s">
        <v>2537</v>
      </c>
      <c r="C1407" t="s">
        <v>30</v>
      </c>
      <c r="D1407" t="s">
        <v>21</v>
      </c>
      <c r="E1407" s="1">
        <v>2298.8999999999996</v>
      </c>
      <c r="F1407" t="s">
        <v>22</v>
      </c>
      <c r="G1407">
        <v>0</v>
      </c>
      <c r="H1407" s="1">
        <v>0</v>
      </c>
      <c r="I1407" s="21">
        <v>44303</v>
      </c>
      <c r="J1407" s="21">
        <v>44305</v>
      </c>
      <c r="K1407" s="21">
        <v>44305</v>
      </c>
      <c r="L1407" t="s">
        <v>45</v>
      </c>
      <c r="M1407" t="s">
        <v>40</v>
      </c>
      <c r="N1407" t="s">
        <v>34</v>
      </c>
      <c r="O1407">
        <v>1</v>
      </c>
      <c r="P1407" t="s">
        <v>2538</v>
      </c>
      <c r="Q1407" t="s">
        <v>4662</v>
      </c>
      <c r="R1407" t="s">
        <v>4711</v>
      </c>
      <c r="S1407" t="s">
        <v>4719</v>
      </c>
      <c r="T1407">
        <f t="shared" si="117"/>
        <v>2</v>
      </c>
      <c r="U1407" s="21">
        <f>J1407</f>
        <v>44305</v>
      </c>
    </row>
    <row r="1408" spans="1:21" x14ac:dyDescent="0.35">
      <c r="A1408" t="s">
        <v>3747</v>
      </c>
      <c r="B1408" t="s">
        <v>3748</v>
      </c>
      <c r="C1408" t="s">
        <v>30</v>
      </c>
      <c r="D1408" t="s">
        <v>212</v>
      </c>
      <c r="E1408" s="1">
        <v>1025.8800000000001</v>
      </c>
      <c r="F1408" t="s">
        <v>206</v>
      </c>
      <c r="G1408">
        <v>100</v>
      </c>
      <c r="H1408" s="1">
        <v>1025.8800000000001</v>
      </c>
      <c r="I1408" s="21">
        <v>44666</v>
      </c>
      <c r="J1408" s="21">
        <v>44670</v>
      </c>
      <c r="K1408" s="21">
        <f t="shared" ref="K1408:K1411" si="132">J1408</f>
        <v>44670</v>
      </c>
      <c r="L1408" t="s">
        <v>234</v>
      </c>
      <c r="M1408" t="s">
        <v>146</v>
      </c>
      <c r="N1408" t="s">
        <v>73</v>
      </c>
      <c r="O1408">
        <v>1</v>
      </c>
      <c r="P1408" t="s">
        <v>3749</v>
      </c>
      <c r="Q1408" t="s">
        <v>4658</v>
      </c>
      <c r="R1408" t="s">
        <v>4723</v>
      </c>
      <c r="S1408" t="s">
        <v>4718</v>
      </c>
      <c r="T1408">
        <f t="shared" si="117"/>
        <v>4</v>
      </c>
      <c r="U1408" s="21">
        <f t="shared" ref="U1408:U1411" si="133">J1408+365</f>
        <v>45035</v>
      </c>
    </row>
    <row r="1409" spans="1:21" x14ac:dyDescent="0.35">
      <c r="A1409" t="s">
        <v>1469</v>
      </c>
      <c r="B1409" t="s">
        <v>1470</v>
      </c>
      <c r="C1409" t="s">
        <v>19</v>
      </c>
      <c r="D1409" t="s">
        <v>205</v>
      </c>
      <c r="E1409" s="1">
        <v>14.479999999999899</v>
      </c>
      <c r="F1409" t="s">
        <v>206</v>
      </c>
      <c r="G1409">
        <v>80</v>
      </c>
      <c r="H1409" s="1">
        <v>11.58399999999992</v>
      </c>
      <c r="I1409" s="21">
        <v>44665</v>
      </c>
      <c r="J1409" s="21">
        <v>44670</v>
      </c>
      <c r="K1409" s="21">
        <f t="shared" si="132"/>
        <v>44670</v>
      </c>
      <c r="L1409" t="s">
        <v>213</v>
      </c>
      <c r="M1409" t="s">
        <v>46</v>
      </c>
      <c r="N1409" t="s">
        <v>47</v>
      </c>
      <c r="O1409">
        <v>1</v>
      </c>
      <c r="P1409" t="s">
        <v>840</v>
      </c>
      <c r="Q1409" t="s">
        <v>4528</v>
      </c>
      <c r="R1409" t="s">
        <v>4721</v>
      </c>
      <c r="S1409" t="s">
        <v>4717</v>
      </c>
      <c r="T1409">
        <f t="shared" si="117"/>
        <v>5</v>
      </c>
      <c r="U1409" s="21">
        <f t="shared" si="133"/>
        <v>45035</v>
      </c>
    </row>
    <row r="1410" spans="1:21" x14ac:dyDescent="0.35">
      <c r="A1410" t="s">
        <v>268</v>
      </c>
      <c r="B1410" t="s">
        <v>269</v>
      </c>
      <c r="C1410" t="s">
        <v>30</v>
      </c>
      <c r="D1410" t="s">
        <v>212</v>
      </c>
      <c r="E1410" s="1">
        <v>657.93</v>
      </c>
      <c r="F1410" t="s">
        <v>206</v>
      </c>
      <c r="G1410">
        <v>100</v>
      </c>
      <c r="H1410" s="1">
        <v>657.93</v>
      </c>
      <c r="I1410" s="21">
        <v>44665</v>
      </c>
      <c r="J1410" s="21">
        <v>44672</v>
      </c>
      <c r="K1410" s="21">
        <f t="shared" si="132"/>
        <v>44672</v>
      </c>
      <c r="L1410" t="s">
        <v>207</v>
      </c>
      <c r="M1410" t="s">
        <v>97</v>
      </c>
      <c r="N1410" t="s">
        <v>68</v>
      </c>
      <c r="O1410">
        <v>1</v>
      </c>
      <c r="P1410" t="s">
        <v>270</v>
      </c>
      <c r="Q1410" t="s">
        <v>4729</v>
      </c>
      <c r="R1410" t="s">
        <v>4714</v>
      </c>
      <c r="S1410" t="s">
        <v>4718</v>
      </c>
      <c r="T1410">
        <f t="shared" ref="T1410:T1473" si="134">J1410-I1410</f>
        <v>7</v>
      </c>
      <c r="U1410" s="21">
        <f t="shared" si="133"/>
        <v>45037</v>
      </c>
    </row>
    <row r="1411" spans="1:21" x14ac:dyDescent="0.35">
      <c r="A1411" t="s">
        <v>3745</v>
      </c>
      <c r="B1411" t="s">
        <v>3746</v>
      </c>
      <c r="C1411" t="s">
        <v>30</v>
      </c>
      <c r="D1411" t="s">
        <v>212</v>
      </c>
      <c r="E1411" s="1">
        <v>213.08</v>
      </c>
      <c r="F1411" t="s">
        <v>206</v>
      </c>
      <c r="G1411">
        <v>100</v>
      </c>
      <c r="H1411" s="1">
        <v>213.08</v>
      </c>
      <c r="I1411" s="21">
        <v>44665</v>
      </c>
      <c r="J1411" s="21">
        <v>44667</v>
      </c>
      <c r="K1411" s="21">
        <f t="shared" si="132"/>
        <v>44667</v>
      </c>
      <c r="L1411" t="s">
        <v>234</v>
      </c>
      <c r="M1411" t="s">
        <v>33</v>
      </c>
      <c r="N1411" t="s">
        <v>34</v>
      </c>
      <c r="O1411">
        <v>1</v>
      </c>
      <c r="P1411" t="s">
        <v>2608</v>
      </c>
      <c r="Q1411" t="s">
        <v>4648</v>
      </c>
      <c r="R1411" t="s">
        <v>4726</v>
      </c>
      <c r="S1411" t="s">
        <v>4717</v>
      </c>
      <c r="T1411">
        <f t="shared" si="134"/>
        <v>2</v>
      </c>
      <c r="U1411" s="21">
        <f t="shared" si="133"/>
        <v>45032</v>
      </c>
    </row>
    <row r="1412" spans="1:21" x14ac:dyDescent="0.35">
      <c r="A1412" t="s">
        <v>1366</v>
      </c>
      <c r="B1412" t="s">
        <v>1367</v>
      </c>
      <c r="C1412" t="s">
        <v>19</v>
      </c>
      <c r="D1412" t="s">
        <v>21</v>
      </c>
      <c r="E1412" s="1">
        <v>85.92</v>
      </c>
      <c r="F1412" t="s">
        <v>22</v>
      </c>
      <c r="G1412">
        <v>0</v>
      </c>
      <c r="H1412" s="1">
        <v>0</v>
      </c>
      <c r="I1412" s="21">
        <v>44300</v>
      </c>
      <c r="J1412" s="21">
        <v>44301</v>
      </c>
      <c r="K1412" s="21">
        <v>44301</v>
      </c>
      <c r="L1412" t="s">
        <v>53</v>
      </c>
      <c r="M1412" t="s">
        <v>146</v>
      </c>
      <c r="N1412" t="s">
        <v>73</v>
      </c>
      <c r="O1412">
        <v>1</v>
      </c>
      <c r="P1412" t="s">
        <v>1368</v>
      </c>
      <c r="Q1412" t="s">
        <v>4519</v>
      </c>
      <c r="R1412" t="s">
        <v>4726</v>
      </c>
      <c r="S1412" t="s">
        <v>4717</v>
      </c>
      <c r="T1412">
        <f t="shared" si="134"/>
        <v>1</v>
      </c>
      <c r="U1412" s="21">
        <f>J1412</f>
        <v>44301</v>
      </c>
    </row>
    <row r="1413" spans="1:21" x14ac:dyDescent="0.35">
      <c r="A1413" t="s">
        <v>265</v>
      </c>
      <c r="B1413" t="s">
        <v>266</v>
      </c>
      <c r="C1413" t="s">
        <v>19</v>
      </c>
      <c r="D1413" t="s">
        <v>212</v>
      </c>
      <c r="E1413" s="1">
        <v>5.22</v>
      </c>
      <c r="F1413" t="s">
        <v>206</v>
      </c>
      <c r="G1413">
        <v>100</v>
      </c>
      <c r="H1413" s="1">
        <v>5.22</v>
      </c>
      <c r="I1413" s="21">
        <v>44664</v>
      </c>
      <c r="J1413" s="21">
        <v>44669</v>
      </c>
      <c r="K1413" s="21">
        <f t="shared" ref="K1413:K1418" si="135">J1413</f>
        <v>44669</v>
      </c>
      <c r="L1413" t="s">
        <v>220</v>
      </c>
      <c r="M1413" t="s">
        <v>72</v>
      </c>
      <c r="N1413" t="s">
        <v>73</v>
      </c>
      <c r="O1413">
        <v>1</v>
      </c>
      <c r="P1413" t="s">
        <v>267</v>
      </c>
      <c r="Q1413" t="s">
        <v>4729</v>
      </c>
      <c r="R1413" t="s">
        <v>4721</v>
      </c>
      <c r="S1413" t="s">
        <v>4717</v>
      </c>
      <c r="T1413">
        <f t="shared" si="134"/>
        <v>5</v>
      </c>
      <c r="U1413" s="21">
        <f t="shared" ref="U1413:U1418" si="136">J1413+365</f>
        <v>45034</v>
      </c>
    </row>
    <row r="1414" spans="1:21" x14ac:dyDescent="0.35">
      <c r="A1414" t="s">
        <v>1466</v>
      </c>
      <c r="B1414" t="s">
        <v>1467</v>
      </c>
      <c r="C1414" t="s">
        <v>19</v>
      </c>
      <c r="D1414" t="s">
        <v>205</v>
      </c>
      <c r="E1414" s="1">
        <v>124.41</v>
      </c>
      <c r="F1414" t="s">
        <v>206</v>
      </c>
      <c r="G1414">
        <v>80</v>
      </c>
      <c r="H1414" s="1">
        <v>99.528000000000006</v>
      </c>
      <c r="I1414" s="21">
        <v>44662</v>
      </c>
      <c r="J1414" s="21">
        <v>44667</v>
      </c>
      <c r="K1414" s="21">
        <f t="shared" si="135"/>
        <v>44667</v>
      </c>
      <c r="L1414" t="s">
        <v>213</v>
      </c>
      <c r="M1414" t="s">
        <v>146</v>
      </c>
      <c r="N1414" t="s">
        <v>73</v>
      </c>
      <c r="O1414">
        <v>1</v>
      </c>
      <c r="P1414" t="s">
        <v>1468</v>
      </c>
      <c r="Q1414" t="s">
        <v>4533</v>
      </c>
      <c r="R1414" t="s">
        <v>4721</v>
      </c>
      <c r="S1414" t="s">
        <v>4718</v>
      </c>
      <c r="T1414">
        <f t="shared" si="134"/>
        <v>5</v>
      </c>
      <c r="U1414" s="21">
        <f t="shared" si="136"/>
        <v>45032</v>
      </c>
    </row>
    <row r="1415" spans="1:21" x14ac:dyDescent="0.35">
      <c r="A1415" t="s">
        <v>262</v>
      </c>
      <c r="B1415" t="s">
        <v>263</v>
      </c>
      <c r="C1415" t="s">
        <v>30</v>
      </c>
      <c r="D1415" t="s">
        <v>205</v>
      </c>
      <c r="E1415" s="1">
        <v>169.45</v>
      </c>
      <c r="F1415" t="s">
        <v>206</v>
      </c>
      <c r="G1415">
        <v>80</v>
      </c>
      <c r="H1415" s="1">
        <v>135.56</v>
      </c>
      <c r="I1415" s="21">
        <v>44661</v>
      </c>
      <c r="J1415" s="21">
        <v>44666</v>
      </c>
      <c r="K1415" s="21">
        <f t="shared" si="135"/>
        <v>44666</v>
      </c>
      <c r="L1415" t="s">
        <v>248</v>
      </c>
      <c r="M1415" t="s">
        <v>97</v>
      </c>
      <c r="N1415" t="s">
        <v>68</v>
      </c>
      <c r="O1415">
        <v>1</v>
      </c>
      <c r="P1415" t="s">
        <v>264</v>
      </c>
      <c r="Q1415" t="s">
        <v>4729</v>
      </c>
      <c r="R1415" t="s">
        <v>4709</v>
      </c>
      <c r="S1415" t="s">
        <v>4717</v>
      </c>
      <c r="T1415">
        <f t="shared" si="134"/>
        <v>5</v>
      </c>
      <c r="U1415" s="21">
        <f t="shared" si="136"/>
        <v>45031</v>
      </c>
    </row>
    <row r="1416" spans="1:21" x14ac:dyDescent="0.35">
      <c r="A1416" t="s">
        <v>2664</v>
      </c>
      <c r="B1416" t="s">
        <v>2665</v>
      </c>
      <c r="C1416" t="s">
        <v>19</v>
      </c>
      <c r="D1416" t="s">
        <v>212</v>
      </c>
      <c r="E1416" s="1">
        <v>479.9</v>
      </c>
      <c r="F1416" t="s">
        <v>206</v>
      </c>
      <c r="G1416">
        <v>100</v>
      </c>
      <c r="H1416" s="1">
        <v>479.9</v>
      </c>
      <c r="I1416" s="21">
        <v>44661</v>
      </c>
      <c r="J1416" s="21">
        <v>44666</v>
      </c>
      <c r="K1416" s="21">
        <f t="shared" si="135"/>
        <v>44666</v>
      </c>
      <c r="L1416" t="s">
        <v>207</v>
      </c>
      <c r="M1416" t="s">
        <v>25</v>
      </c>
      <c r="N1416" t="s">
        <v>26</v>
      </c>
      <c r="O1416">
        <v>1</v>
      </c>
      <c r="P1416" t="s">
        <v>1675</v>
      </c>
      <c r="Q1416" t="s">
        <v>4567</v>
      </c>
      <c r="R1416" t="s">
        <v>4714</v>
      </c>
      <c r="S1416" t="s">
        <v>4718</v>
      </c>
      <c r="T1416">
        <f t="shared" si="134"/>
        <v>5</v>
      </c>
      <c r="U1416" s="21">
        <f t="shared" si="136"/>
        <v>45031</v>
      </c>
    </row>
    <row r="1417" spans="1:21" x14ac:dyDescent="0.35">
      <c r="A1417" t="s">
        <v>3743</v>
      </c>
      <c r="B1417" t="s">
        <v>3744</v>
      </c>
      <c r="C1417" t="s">
        <v>19</v>
      </c>
      <c r="D1417" t="s">
        <v>205</v>
      </c>
      <c r="E1417" s="1">
        <v>29.12</v>
      </c>
      <c r="F1417" t="s">
        <v>206</v>
      </c>
      <c r="G1417">
        <v>80</v>
      </c>
      <c r="H1417" s="1">
        <v>23.296000000000003</v>
      </c>
      <c r="I1417" s="21">
        <v>44661</v>
      </c>
      <c r="J1417" s="21">
        <v>44666</v>
      </c>
      <c r="K1417" s="21">
        <f t="shared" si="135"/>
        <v>44666</v>
      </c>
      <c r="L1417" t="s">
        <v>248</v>
      </c>
      <c r="M1417" t="s">
        <v>54</v>
      </c>
      <c r="N1417" t="s">
        <v>26</v>
      </c>
      <c r="O1417">
        <v>1</v>
      </c>
      <c r="P1417" t="s">
        <v>3064</v>
      </c>
      <c r="Q1417" t="s">
        <v>4515</v>
      </c>
      <c r="R1417" t="s">
        <v>4726</v>
      </c>
      <c r="S1417" t="s">
        <v>4717</v>
      </c>
      <c r="T1417">
        <f t="shared" si="134"/>
        <v>5</v>
      </c>
      <c r="U1417" s="21">
        <f t="shared" si="136"/>
        <v>45031</v>
      </c>
    </row>
    <row r="1418" spans="1:21" x14ac:dyDescent="0.35">
      <c r="A1418" t="s">
        <v>2662</v>
      </c>
      <c r="B1418" t="s">
        <v>2663</v>
      </c>
      <c r="C1418" t="s">
        <v>30</v>
      </c>
      <c r="D1418" t="s">
        <v>205</v>
      </c>
      <c r="E1418" s="1">
        <v>127.98399999999999</v>
      </c>
      <c r="F1418" t="s">
        <v>206</v>
      </c>
      <c r="G1418">
        <v>80</v>
      </c>
      <c r="H1418" s="1">
        <v>102.38720000000001</v>
      </c>
      <c r="I1418" s="21">
        <v>44659</v>
      </c>
      <c r="J1418" s="21">
        <v>44661</v>
      </c>
      <c r="K1418" s="21">
        <f t="shared" si="135"/>
        <v>44661</v>
      </c>
      <c r="L1418" t="s">
        <v>248</v>
      </c>
      <c r="M1418" t="s">
        <v>146</v>
      </c>
      <c r="N1418" t="s">
        <v>73</v>
      </c>
      <c r="O1418">
        <v>1</v>
      </c>
      <c r="P1418" t="s">
        <v>1678</v>
      </c>
      <c r="Q1418" t="s">
        <v>4513</v>
      </c>
      <c r="R1418" t="s">
        <v>4713</v>
      </c>
      <c r="S1418" t="s">
        <v>4719</v>
      </c>
      <c r="T1418">
        <f t="shared" si="134"/>
        <v>2</v>
      </c>
      <c r="U1418" s="21">
        <f t="shared" si="136"/>
        <v>45026</v>
      </c>
    </row>
    <row r="1419" spans="1:21" x14ac:dyDescent="0.35">
      <c r="A1419" t="s">
        <v>3668</v>
      </c>
      <c r="B1419" t="s">
        <v>3669</v>
      </c>
      <c r="C1419" t="s">
        <v>30</v>
      </c>
      <c r="D1419" t="s">
        <v>21</v>
      </c>
      <c r="E1419" s="1">
        <v>48.5</v>
      </c>
      <c r="F1419" t="s">
        <v>22</v>
      </c>
      <c r="G1419">
        <v>0</v>
      </c>
      <c r="H1419" s="1">
        <v>0</v>
      </c>
      <c r="I1419" s="21">
        <v>44294</v>
      </c>
      <c r="J1419" s="21">
        <v>44297</v>
      </c>
      <c r="K1419" s="21">
        <v>44297</v>
      </c>
      <c r="L1419" t="s">
        <v>45</v>
      </c>
      <c r="M1419" t="s">
        <v>97</v>
      </c>
      <c r="N1419" t="s">
        <v>68</v>
      </c>
      <c r="O1419">
        <v>1</v>
      </c>
      <c r="P1419" t="s">
        <v>920</v>
      </c>
      <c r="Q1419" t="s">
        <v>4519</v>
      </c>
      <c r="R1419" t="s">
        <v>4726</v>
      </c>
      <c r="S1419" t="s">
        <v>4717</v>
      </c>
      <c r="T1419">
        <f t="shared" si="134"/>
        <v>3</v>
      </c>
      <c r="U1419" s="21">
        <f>J1419</f>
        <v>44297</v>
      </c>
    </row>
    <row r="1420" spans="1:21" x14ac:dyDescent="0.35">
      <c r="A1420" t="s">
        <v>259</v>
      </c>
      <c r="B1420" t="s">
        <v>260</v>
      </c>
      <c r="C1420" t="s">
        <v>30</v>
      </c>
      <c r="D1420" t="s">
        <v>205</v>
      </c>
      <c r="E1420" s="1">
        <v>30.48</v>
      </c>
      <c r="F1420" t="s">
        <v>206</v>
      </c>
      <c r="G1420">
        <v>80</v>
      </c>
      <c r="H1420" s="1">
        <v>24.384</v>
      </c>
      <c r="I1420" s="21">
        <v>44658</v>
      </c>
      <c r="J1420" s="21">
        <v>44662</v>
      </c>
      <c r="K1420" s="21">
        <f t="shared" ref="K1420:K1441" si="137">J1420</f>
        <v>44662</v>
      </c>
      <c r="L1420" t="s">
        <v>220</v>
      </c>
      <c r="M1420" t="s">
        <v>72</v>
      </c>
      <c r="N1420" t="s">
        <v>73</v>
      </c>
      <c r="O1420">
        <v>1</v>
      </c>
      <c r="P1420" t="s">
        <v>261</v>
      </c>
      <c r="Q1420" t="s">
        <v>4729</v>
      </c>
      <c r="R1420" t="s">
        <v>4726</v>
      </c>
      <c r="S1420" t="s">
        <v>4717</v>
      </c>
      <c r="T1420">
        <f t="shared" si="134"/>
        <v>4</v>
      </c>
      <c r="U1420" s="21">
        <f t="shared" ref="U1420:U1441" si="138">J1420+365</f>
        <v>45027</v>
      </c>
    </row>
    <row r="1421" spans="1:21" x14ac:dyDescent="0.35">
      <c r="A1421" t="s">
        <v>3740</v>
      </c>
      <c r="B1421" t="s">
        <v>3741</v>
      </c>
      <c r="C1421" t="s">
        <v>19</v>
      </c>
      <c r="D1421" t="s">
        <v>212</v>
      </c>
      <c r="E1421" s="1">
        <v>53.2</v>
      </c>
      <c r="F1421" t="s">
        <v>206</v>
      </c>
      <c r="G1421">
        <v>100</v>
      </c>
      <c r="H1421" s="1">
        <v>53.2</v>
      </c>
      <c r="I1421" s="21">
        <v>44657</v>
      </c>
      <c r="J1421" s="21">
        <v>44663</v>
      </c>
      <c r="K1421" s="21">
        <f t="shared" si="137"/>
        <v>44663</v>
      </c>
      <c r="L1421" t="s">
        <v>207</v>
      </c>
      <c r="M1421" t="s">
        <v>72</v>
      </c>
      <c r="N1421" t="s">
        <v>73</v>
      </c>
      <c r="O1421">
        <v>1</v>
      </c>
      <c r="P1421" t="s">
        <v>3742</v>
      </c>
      <c r="Q1421" t="s">
        <v>4533</v>
      </c>
      <c r="R1421" t="s">
        <v>4724</v>
      </c>
      <c r="S1421" t="s">
        <v>4718</v>
      </c>
      <c r="T1421">
        <f t="shared" si="134"/>
        <v>6</v>
      </c>
      <c r="U1421" s="21">
        <f t="shared" si="138"/>
        <v>45028</v>
      </c>
    </row>
    <row r="1422" spans="1:21" x14ac:dyDescent="0.35">
      <c r="A1422" t="s">
        <v>1463</v>
      </c>
      <c r="B1422" t="s">
        <v>1464</v>
      </c>
      <c r="C1422" t="s">
        <v>19</v>
      </c>
      <c r="D1422" t="s">
        <v>212</v>
      </c>
      <c r="E1422" s="1">
        <v>69.263999999999996</v>
      </c>
      <c r="F1422" t="s">
        <v>206</v>
      </c>
      <c r="G1422">
        <v>100</v>
      </c>
      <c r="H1422" s="1">
        <v>69.263999999999996</v>
      </c>
      <c r="I1422" s="21">
        <v>44657</v>
      </c>
      <c r="J1422" s="21">
        <v>44662</v>
      </c>
      <c r="K1422" s="21">
        <f t="shared" si="137"/>
        <v>44662</v>
      </c>
      <c r="L1422" t="s">
        <v>238</v>
      </c>
      <c r="M1422" t="s">
        <v>33</v>
      </c>
      <c r="N1422" t="s">
        <v>34</v>
      </c>
      <c r="O1422">
        <v>1</v>
      </c>
      <c r="P1422" t="s">
        <v>1465</v>
      </c>
      <c r="Q1422" t="s">
        <v>4581</v>
      </c>
      <c r="R1422" t="s">
        <v>4721</v>
      </c>
      <c r="S1422" t="s">
        <v>4717</v>
      </c>
      <c r="T1422">
        <f t="shared" si="134"/>
        <v>5</v>
      </c>
      <c r="U1422" s="21">
        <f t="shared" si="138"/>
        <v>45027</v>
      </c>
    </row>
    <row r="1423" spans="1:21" x14ac:dyDescent="0.35">
      <c r="A1423" t="s">
        <v>256</v>
      </c>
      <c r="B1423" t="s">
        <v>257</v>
      </c>
      <c r="C1423" t="s">
        <v>30</v>
      </c>
      <c r="D1423" t="s">
        <v>205</v>
      </c>
      <c r="E1423" s="1">
        <v>62.24</v>
      </c>
      <c r="F1423" t="s">
        <v>206</v>
      </c>
      <c r="G1423">
        <v>80</v>
      </c>
      <c r="H1423" s="1">
        <v>49.792000000000002</v>
      </c>
      <c r="I1423" s="21">
        <v>44657</v>
      </c>
      <c r="J1423" s="21">
        <v>44659</v>
      </c>
      <c r="K1423" s="21">
        <f t="shared" si="137"/>
        <v>44659</v>
      </c>
      <c r="L1423" t="s">
        <v>213</v>
      </c>
      <c r="M1423" t="s">
        <v>67</v>
      </c>
      <c r="N1423" t="s">
        <v>68</v>
      </c>
      <c r="O1423">
        <v>1</v>
      </c>
      <c r="P1423" t="s">
        <v>258</v>
      </c>
      <c r="Q1423" t="s">
        <v>4541</v>
      </c>
      <c r="R1423" t="s">
        <v>4726</v>
      </c>
      <c r="S1423" t="s">
        <v>4717</v>
      </c>
      <c r="T1423">
        <f t="shared" si="134"/>
        <v>2</v>
      </c>
      <c r="U1423" s="21">
        <f t="shared" si="138"/>
        <v>45024</v>
      </c>
    </row>
    <row r="1424" spans="1:21" x14ac:dyDescent="0.35">
      <c r="A1424" t="s">
        <v>3737</v>
      </c>
      <c r="B1424" t="s">
        <v>3738</v>
      </c>
      <c r="C1424" t="s">
        <v>30</v>
      </c>
      <c r="D1424" t="s">
        <v>212</v>
      </c>
      <c r="E1424" s="1">
        <v>601.53599999999994</v>
      </c>
      <c r="F1424" t="s">
        <v>206</v>
      </c>
      <c r="G1424">
        <v>100</v>
      </c>
      <c r="H1424" s="1">
        <v>601.53599999999994</v>
      </c>
      <c r="I1424" s="21">
        <v>44654</v>
      </c>
      <c r="J1424" s="21">
        <v>44659</v>
      </c>
      <c r="K1424" s="21">
        <f t="shared" si="137"/>
        <v>44659</v>
      </c>
      <c r="L1424" t="s">
        <v>238</v>
      </c>
      <c r="M1424" t="s">
        <v>25</v>
      </c>
      <c r="N1424" t="s">
        <v>26</v>
      </c>
      <c r="O1424">
        <v>1</v>
      </c>
      <c r="P1424" t="s">
        <v>3739</v>
      </c>
      <c r="Q1424" t="s">
        <v>4696</v>
      </c>
      <c r="R1424" t="s">
        <v>4711</v>
      </c>
      <c r="S1424" t="s">
        <v>4719</v>
      </c>
      <c r="T1424">
        <f t="shared" si="134"/>
        <v>5</v>
      </c>
      <c r="U1424" s="21">
        <f t="shared" si="138"/>
        <v>45024</v>
      </c>
    </row>
    <row r="1425" spans="1:21" x14ac:dyDescent="0.35">
      <c r="A1425" t="s">
        <v>2659</v>
      </c>
      <c r="B1425" t="s">
        <v>2660</v>
      </c>
      <c r="C1425" t="s">
        <v>19</v>
      </c>
      <c r="D1425" t="s">
        <v>212</v>
      </c>
      <c r="E1425" s="1">
        <v>39.880000000000003</v>
      </c>
      <c r="F1425" t="s">
        <v>206</v>
      </c>
      <c r="G1425">
        <v>100</v>
      </c>
      <c r="H1425" s="1">
        <v>39.880000000000003</v>
      </c>
      <c r="I1425" s="21">
        <v>44654</v>
      </c>
      <c r="J1425" s="21">
        <v>44661</v>
      </c>
      <c r="K1425" s="21">
        <f t="shared" si="137"/>
        <v>44661</v>
      </c>
      <c r="L1425" t="s">
        <v>234</v>
      </c>
      <c r="M1425" t="s">
        <v>54</v>
      </c>
      <c r="N1425" t="s">
        <v>26</v>
      </c>
      <c r="O1425">
        <v>1</v>
      </c>
      <c r="P1425" t="s">
        <v>2661</v>
      </c>
      <c r="Q1425" t="s">
        <v>4651</v>
      </c>
      <c r="R1425" t="s">
        <v>4725</v>
      </c>
      <c r="S1425" t="s">
        <v>4718</v>
      </c>
      <c r="T1425">
        <f t="shared" si="134"/>
        <v>7</v>
      </c>
      <c r="U1425" s="21">
        <f t="shared" si="138"/>
        <v>45026</v>
      </c>
    </row>
    <row r="1426" spans="1:21" x14ac:dyDescent="0.35">
      <c r="A1426" t="s">
        <v>3735</v>
      </c>
      <c r="B1426" t="s">
        <v>3736</v>
      </c>
      <c r="C1426" t="s">
        <v>30</v>
      </c>
      <c r="D1426" t="s">
        <v>212</v>
      </c>
      <c r="E1426" s="1">
        <v>10.99</v>
      </c>
      <c r="F1426" t="s">
        <v>206</v>
      </c>
      <c r="G1426">
        <v>100</v>
      </c>
      <c r="H1426" s="1">
        <v>10.99</v>
      </c>
      <c r="I1426" s="21">
        <v>44654</v>
      </c>
      <c r="J1426" s="21">
        <v>44659</v>
      </c>
      <c r="K1426" s="21">
        <f t="shared" si="137"/>
        <v>44659</v>
      </c>
      <c r="L1426" t="s">
        <v>220</v>
      </c>
      <c r="M1426" t="s">
        <v>33</v>
      </c>
      <c r="N1426" t="s">
        <v>34</v>
      </c>
      <c r="O1426">
        <v>1</v>
      </c>
      <c r="P1426" t="s">
        <v>3626</v>
      </c>
      <c r="Q1426" t="s">
        <v>4540</v>
      </c>
      <c r="R1426" t="s">
        <v>4713</v>
      </c>
      <c r="S1426" t="s">
        <v>4719</v>
      </c>
      <c r="T1426">
        <f t="shared" si="134"/>
        <v>5</v>
      </c>
      <c r="U1426" s="21">
        <f t="shared" si="138"/>
        <v>45024</v>
      </c>
    </row>
    <row r="1427" spans="1:21" x14ac:dyDescent="0.35">
      <c r="A1427" t="s">
        <v>2656</v>
      </c>
      <c r="B1427" t="s">
        <v>2657</v>
      </c>
      <c r="C1427" t="s">
        <v>30</v>
      </c>
      <c r="D1427" t="s">
        <v>212</v>
      </c>
      <c r="E1427" s="1">
        <v>629.06399999999996</v>
      </c>
      <c r="F1427" t="s">
        <v>206</v>
      </c>
      <c r="G1427">
        <v>100</v>
      </c>
      <c r="H1427" s="1">
        <v>629.06399999999996</v>
      </c>
      <c r="I1427" s="21">
        <v>44652</v>
      </c>
      <c r="J1427" s="21">
        <v>44656</v>
      </c>
      <c r="K1427" s="21">
        <f t="shared" si="137"/>
        <v>44656</v>
      </c>
      <c r="L1427" t="s">
        <v>234</v>
      </c>
      <c r="M1427" t="s">
        <v>72</v>
      </c>
      <c r="N1427" t="s">
        <v>73</v>
      </c>
      <c r="O1427">
        <v>1</v>
      </c>
      <c r="P1427" t="s">
        <v>2658</v>
      </c>
      <c r="Q1427" t="s">
        <v>4620</v>
      </c>
      <c r="R1427" t="s">
        <v>4712</v>
      </c>
      <c r="S1427" t="s">
        <v>4718</v>
      </c>
      <c r="T1427">
        <f t="shared" si="134"/>
        <v>4</v>
      </c>
      <c r="U1427" s="21">
        <f t="shared" si="138"/>
        <v>45021</v>
      </c>
    </row>
    <row r="1428" spans="1:21" x14ac:dyDescent="0.35">
      <c r="A1428" t="s">
        <v>1460</v>
      </c>
      <c r="B1428" t="s">
        <v>1461</v>
      </c>
      <c r="C1428" t="s">
        <v>30</v>
      </c>
      <c r="D1428" t="s">
        <v>205</v>
      </c>
      <c r="E1428" s="1">
        <v>11.96</v>
      </c>
      <c r="F1428" t="s">
        <v>206</v>
      </c>
      <c r="G1428">
        <v>80</v>
      </c>
      <c r="H1428" s="1">
        <v>9.5680000000000014</v>
      </c>
      <c r="I1428" s="21">
        <v>44651</v>
      </c>
      <c r="J1428" s="21">
        <v>44655</v>
      </c>
      <c r="K1428" s="21">
        <f t="shared" si="137"/>
        <v>44655</v>
      </c>
      <c r="L1428" t="s">
        <v>234</v>
      </c>
      <c r="M1428" t="s">
        <v>25</v>
      </c>
      <c r="N1428" t="s">
        <v>26</v>
      </c>
      <c r="O1428">
        <v>1</v>
      </c>
      <c r="P1428" t="s">
        <v>1462</v>
      </c>
      <c r="Q1428" t="s">
        <v>4519</v>
      </c>
      <c r="R1428" t="s">
        <v>4726</v>
      </c>
      <c r="S1428" t="s">
        <v>4717</v>
      </c>
      <c r="T1428">
        <f t="shared" si="134"/>
        <v>4</v>
      </c>
      <c r="U1428" s="21">
        <f t="shared" si="138"/>
        <v>45020</v>
      </c>
    </row>
    <row r="1429" spans="1:21" x14ac:dyDescent="0.35">
      <c r="A1429" t="s">
        <v>1455</v>
      </c>
      <c r="B1429" t="s">
        <v>1456</v>
      </c>
      <c r="C1429" t="s">
        <v>30</v>
      </c>
      <c r="D1429" t="s">
        <v>212</v>
      </c>
      <c r="E1429" s="1">
        <v>573.72799999999995</v>
      </c>
      <c r="F1429" t="s">
        <v>206</v>
      </c>
      <c r="G1429">
        <v>100</v>
      </c>
      <c r="H1429" s="1">
        <v>573.72799999999995</v>
      </c>
      <c r="I1429" s="21">
        <v>44650</v>
      </c>
      <c r="J1429" s="21">
        <v>44655</v>
      </c>
      <c r="K1429" s="21">
        <f t="shared" si="137"/>
        <v>44655</v>
      </c>
      <c r="L1429" t="s">
        <v>248</v>
      </c>
      <c r="M1429" t="s">
        <v>46</v>
      </c>
      <c r="N1429" t="s">
        <v>47</v>
      </c>
      <c r="O1429">
        <v>1</v>
      </c>
      <c r="P1429" t="s">
        <v>1457</v>
      </c>
      <c r="Q1429" t="s">
        <v>4620</v>
      </c>
      <c r="R1429" t="s">
        <v>4712</v>
      </c>
      <c r="S1429" t="s">
        <v>4718</v>
      </c>
      <c r="T1429">
        <f t="shared" si="134"/>
        <v>5</v>
      </c>
      <c r="U1429" s="21">
        <f t="shared" si="138"/>
        <v>45020</v>
      </c>
    </row>
    <row r="1430" spans="1:21" x14ac:dyDescent="0.35">
      <c r="A1430" t="s">
        <v>253</v>
      </c>
      <c r="B1430" t="s">
        <v>254</v>
      </c>
      <c r="C1430" t="s">
        <v>30</v>
      </c>
      <c r="D1430" t="s">
        <v>205</v>
      </c>
      <c r="E1430" s="1">
        <v>58.415999999999997</v>
      </c>
      <c r="F1430" t="s">
        <v>206</v>
      </c>
      <c r="G1430">
        <v>80</v>
      </c>
      <c r="H1430" s="1">
        <v>46.732799999999997</v>
      </c>
      <c r="I1430" s="21">
        <v>44650</v>
      </c>
      <c r="J1430" s="21">
        <v>44656</v>
      </c>
      <c r="K1430" s="21">
        <f t="shared" si="137"/>
        <v>44656</v>
      </c>
      <c r="L1430" t="s">
        <v>207</v>
      </c>
      <c r="M1430" t="s">
        <v>40</v>
      </c>
      <c r="N1430" t="s">
        <v>34</v>
      </c>
      <c r="O1430">
        <v>1</v>
      </c>
      <c r="P1430" t="s">
        <v>255</v>
      </c>
      <c r="Q1430" t="s">
        <v>4540</v>
      </c>
      <c r="R1430" t="s">
        <v>4713</v>
      </c>
      <c r="S1430" t="s">
        <v>4719</v>
      </c>
      <c r="T1430">
        <f t="shared" si="134"/>
        <v>6</v>
      </c>
      <c r="U1430" s="21">
        <f t="shared" si="138"/>
        <v>45021</v>
      </c>
    </row>
    <row r="1431" spans="1:21" x14ac:dyDescent="0.35">
      <c r="A1431" t="s">
        <v>1458</v>
      </c>
      <c r="B1431" t="s">
        <v>1459</v>
      </c>
      <c r="C1431" t="s">
        <v>19</v>
      </c>
      <c r="D1431" t="s">
        <v>205</v>
      </c>
      <c r="E1431" s="1">
        <v>666.34400000000005</v>
      </c>
      <c r="F1431" t="s">
        <v>206</v>
      </c>
      <c r="G1431">
        <v>80</v>
      </c>
      <c r="H1431" s="1">
        <v>533.07520000000011</v>
      </c>
      <c r="I1431" s="21">
        <v>44650</v>
      </c>
      <c r="J1431" s="21">
        <v>44656</v>
      </c>
      <c r="K1431" s="21">
        <f t="shared" si="137"/>
        <v>44656</v>
      </c>
      <c r="L1431" t="s">
        <v>220</v>
      </c>
      <c r="M1431" t="s">
        <v>97</v>
      </c>
      <c r="N1431" t="s">
        <v>68</v>
      </c>
      <c r="O1431">
        <v>1</v>
      </c>
      <c r="P1431" t="s">
        <v>694</v>
      </c>
      <c r="Q1431" t="s">
        <v>4729</v>
      </c>
      <c r="R1431" t="s">
        <v>4711</v>
      </c>
      <c r="S1431" t="s">
        <v>4719</v>
      </c>
      <c r="T1431">
        <f t="shared" si="134"/>
        <v>6</v>
      </c>
      <c r="U1431" s="21">
        <f t="shared" si="138"/>
        <v>45021</v>
      </c>
    </row>
    <row r="1432" spans="1:21" x14ac:dyDescent="0.35">
      <c r="A1432" t="s">
        <v>2653</v>
      </c>
      <c r="B1432" t="s">
        <v>2654</v>
      </c>
      <c r="C1432" t="s">
        <v>30</v>
      </c>
      <c r="D1432" t="s">
        <v>212</v>
      </c>
      <c r="E1432" s="1">
        <v>1.23399999999999</v>
      </c>
      <c r="F1432" t="s">
        <v>206</v>
      </c>
      <c r="G1432">
        <v>100</v>
      </c>
      <c r="H1432" s="1">
        <v>1.23399999999999</v>
      </c>
      <c r="I1432" s="21">
        <v>44650</v>
      </c>
      <c r="J1432" s="21">
        <v>44652</v>
      </c>
      <c r="K1432" s="21">
        <f t="shared" si="137"/>
        <v>44652</v>
      </c>
      <c r="L1432" t="s">
        <v>234</v>
      </c>
      <c r="M1432" t="s">
        <v>54</v>
      </c>
      <c r="N1432" t="s">
        <v>26</v>
      </c>
      <c r="O1432">
        <v>1</v>
      </c>
      <c r="P1432" t="s">
        <v>2655</v>
      </c>
      <c r="Q1432" t="s">
        <v>4666</v>
      </c>
      <c r="R1432" t="s">
        <v>4726</v>
      </c>
      <c r="S1432" t="s">
        <v>4717</v>
      </c>
      <c r="T1432">
        <f t="shared" si="134"/>
        <v>2</v>
      </c>
      <c r="U1432" s="21">
        <f t="shared" si="138"/>
        <v>45017</v>
      </c>
    </row>
    <row r="1433" spans="1:21" x14ac:dyDescent="0.35">
      <c r="A1433" t="s">
        <v>1452</v>
      </c>
      <c r="B1433" t="s">
        <v>1453</v>
      </c>
      <c r="C1433" t="s">
        <v>19</v>
      </c>
      <c r="D1433" t="s">
        <v>212</v>
      </c>
      <c r="E1433" s="1">
        <v>51.56</v>
      </c>
      <c r="F1433" t="s">
        <v>206</v>
      </c>
      <c r="G1433">
        <v>100</v>
      </c>
      <c r="H1433" s="1">
        <v>51.56</v>
      </c>
      <c r="I1433" s="21">
        <v>44649</v>
      </c>
      <c r="J1433" s="21">
        <v>44651</v>
      </c>
      <c r="K1433" s="21">
        <f t="shared" si="137"/>
        <v>44651</v>
      </c>
      <c r="L1433" t="s">
        <v>213</v>
      </c>
      <c r="M1433" t="s">
        <v>54</v>
      </c>
      <c r="N1433" t="s">
        <v>26</v>
      </c>
      <c r="O1433">
        <v>1</v>
      </c>
      <c r="P1433" t="s">
        <v>1454</v>
      </c>
      <c r="Q1433" t="s">
        <v>4571</v>
      </c>
      <c r="R1433" t="s">
        <v>4713</v>
      </c>
      <c r="S1433" t="s">
        <v>4719</v>
      </c>
      <c r="T1433">
        <f t="shared" si="134"/>
        <v>2</v>
      </c>
      <c r="U1433" s="21">
        <f t="shared" si="138"/>
        <v>45016</v>
      </c>
    </row>
    <row r="1434" spans="1:21" x14ac:dyDescent="0.35">
      <c r="A1434" t="s">
        <v>250</v>
      </c>
      <c r="B1434" t="s">
        <v>251</v>
      </c>
      <c r="C1434" t="s">
        <v>19</v>
      </c>
      <c r="D1434" t="s">
        <v>205</v>
      </c>
      <c r="E1434" s="1">
        <v>273.56799999999998</v>
      </c>
      <c r="F1434" t="s">
        <v>206</v>
      </c>
      <c r="G1434">
        <v>80</v>
      </c>
      <c r="H1434" s="1">
        <v>218.8544</v>
      </c>
      <c r="I1434" s="21">
        <v>44648</v>
      </c>
      <c r="J1434" s="21">
        <v>44655</v>
      </c>
      <c r="K1434" s="21">
        <f t="shared" si="137"/>
        <v>44655</v>
      </c>
      <c r="L1434" t="s">
        <v>220</v>
      </c>
      <c r="M1434" t="s">
        <v>33</v>
      </c>
      <c r="N1434" t="s">
        <v>34</v>
      </c>
      <c r="O1434">
        <v>1</v>
      </c>
      <c r="P1434" t="s">
        <v>252</v>
      </c>
      <c r="Q1434" t="s">
        <v>4729</v>
      </c>
      <c r="R1434" t="s">
        <v>4714</v>
      </c>
      <c r="S1434" t="s">
        <v>4718</v>
      </c>
      <c r="T1434">
        <f t="shared" si="134"/>
        <v>7</v>
      </c>
      <c r="U1434" s="21">
        <f t="shared" si="138"/>
        <v>45020</v>
      </c>
    </row>
    <row r="1435" spans="1:21" x14ac:dyDescent="0.35">
      <c r="A1435" t="s">
        <v>246</v>
      </c>
      <c r="B1435" t="s">
        <v>247</v>
      </c>
      <c r="C1435" t="s">
        <v>19</v>
      </c>
      <c r="D1435" t="s">
        <v>205</v>
      </c>
      <c r="E1435" s="1">
        <v>69.52</v>
      </c>
      <c r="F1435" t="s">
        <v>206</v>
      </c>
      <c r="G1435">
        <v>80</v>
      </c>
      <c r="H1435" s="1">
        <v>55.616</v>
      </c>
      <c r="I1435" s="21">
        <v>44647</v>
      </c>
      <c r="J1435" s="21">
        <v>44651</v>
      </c>
      <c r="K1435" s="21">
        <f t="shared" si="137"/>
        <v>44651</v>
      </c>
      <c r="L1435" t="s">
        <v>248</v>
      </c>
      <c r="M1435" t="s">
        <v>67</v>
      </c>
      <c r="N1435" t="s">
        <v>68</v>
      </c>
      <c r="O1435">
        <v>1</v>
      </c>
      <c r="P1435" t="s">
        <v>249</v>
      </c>
      <c r="Q1435" t="s">
        <v>4729</v>
      </c>
      <c r="R1435" t="s">
        <v>4709</v>
      </c>
      <c r="S1435" t="s">
        <v>4717</v>
      </c>
      <c r="T1435">
        <f t="shared" si="134"/>
        <v>4</v>
      </c>
      <c r="U1435" s="21">
        <f t="shared" si="138"/>
        <v>45016</v>
      </c>
    </row>
    <row r="1436" spans="1:21" x14ac:dyDescent="0.35">
      <c r="A1436" t="s">
        <v>3732</v>
      </c>
      <c r="B1436" t="s">
        <v>3733</v>
      </c>
      <c r="C1436" t="s">
        <v>19</v>
      </c>
      <c r="D1436" t="s">
        <v>205</v>
      </c>
      <c r="E1436" s="1">
        <v>15.696</v>
      </c>
      <c r="F1436" t="s">
        <v>206</v>
      </c>
      <c r="G1436">
        <v>80</v>
      </c>
      <c r="H1436" s="1">
        <v>12.556800000000001</v>
      </c>
      <c r="I1436" s="21">
        <v>44647</v>
      </c>
      <c r="J1436" s="21">
        <v>44652</v>
      </c>
      <c r="K1436" s="21">
        <f t="shared" si="137"/>
        <v>44652</v>
      </c>
      <c r="L1436" t="s">
        <v>220</v>
      </c>
      <c r="M1436" t="s">
        <v>72</v>
      </c>
      <c r="N1436" t="s">
        <v>73</v>
      </c>
      <c r="O1436">
        <v>1</v>
      </c>
      <c r="P1436" t="s">
        <v>3734</v>
      </c>
      <c r="Q1436" t="s">
        <v>4541</v>
      </c>
      <c r="R1436" t="s">
        <v>4726</v>
      </c>
      <c r="S1436" t="s">
        <v>4717</v>
      </c>
      <c r="T1436">
        <f t="shared" si="134"/>
        <v>5</v>
      </c>
      <c r="U1436" s="21">
        <f t="shared" si="138"/>
        <v>45017</v>
      </c>
    </row>
    <row r="1437" spans="1:21" x14ac:dyDescent="0.35">
      <c r="A1437" t="s">
        <v>243</v>
      </c>
      <c r="B1437" t="s">
        <v>244</v>
      </c>
      <c r="C1437" t="s">
        <v>30</v>
      </c>
      <c r="D1437" t="s">
        <v>212</v>
      </c>
      <c r="E1437" s="1">
        <v>7.8559999999999999</v>
      </c>
      <c r="F1437" t="s">
        <v>206</v>
      </c>
      <c r="G1437">
        <v>100</v>
      </c>
      <c r="H1437" s="1">
        <v>7.8559999999999999</v>
      </c>
      <c r="I1437" s="21">
        <v>44645</v>
      </c>
      <c r="J1437" s="21">
        <v>44651</v>
      </c>
      <c r="K1437" s="21">
        <f t="shared" si="137"/>
        <v>44651</v>
      </c>
      <c r="L1437" t="s">
        <v>238</v>
      </c>
      <c r="M1437" t="s">
        <v>54</v>
      </c>
      <c r="N1437" t="s">
        <v>26</v>
      </c>
      <c r="O1437">
        <v>1</v>
      </c>
      <c r="P1437" t="s">
        <v>245</v>
      </c>
      <c r="Q1437" t="s">
        <v>4526</v>
      </c>
      <c r="R1437" t="s">
        <v>4726</v>
      </c>
      <c r="S1437" t="s">
        <v>4717</v>
      </c>
      <c r="T1437">
        <f t="shared" si="134"/>
        <v>6</v>
      </c>
      <c r="U1437" s="21">
        <f t="shared" si="138"/>
        <v>45016</v>
      </c>
    </row>
    <row r="1438" spans="1:21" x14ac:dyDescent="0.35">
      <c r="A1438" t="s">
        <v>240</v>
      </c>
      <c r="B1438" t="s">
        <v>241</v>
      </c>
      <c r="C1438" t="s">
        <v>19</v>
      </c>
      <c r="D1438" t="s">
        <v>212</v>
      </c>
      <c r="E1438" s="1">
        <v>783.96</v>
      </c>
      <c r="F1438" t="s">
        <v>206</v>
      </c>
      <c r="G1438">
        <v>100</v>
      </c>
      <c r="H1438" s="1">
        <v>783.96</v>
      </c>
      <c r="I1438" s="21">
        <v>44645</v>
      </c>
      <c r="J1438" s="21">
        <v>44648</v>
      </c>
      <c r="K1438" s="21">
        <f t="shared" si="137"/>
        <v>44648</v>
      </c>
      <c r="L1438" t="s">
        <v>234</v>
      </c>
      <c r="M1438" t="s">
        <v>146</v>
      </c>
      <c r="N1438" t="s">
        <v>73</v>
      </c>
      <c r="O1438">
        <v>1</v>
      </c>
      <c r="P1438" t="s">
        <v>242</v>
      </c>
      <c r="Q1438" t="s">
        <v>4530</v>
      </c>
      <c r="R1438" t="s">
        <v>4711</v>
      </c>
      <c r="S1438" t="s">
        <v>4719</v>
      </c>
      <c r="T1438">
        <f t="shared" si="134"/>
        <v>3</v>
      </c>
      <c r="U1438" s="21">
        <f t="shared" si="138"/>
        <v>45013</v>
      </c>
    </row>
    <row r="1439" spans="1:21" x14ac:dyDescent="0.35">
      <c r="A1439" t="s">
        <v>2650</v>
      </c>
      <c r="B1439" t="s">
        <v>2651</v>
      </c>
      <c r="C1439" t="s">
        <v>30</v>
      </c>
      <c r="D1439" t="s">
        <v>212</v>
      </c>
      <c r="E1439" s="1">
        <v>48.896000000000001</v>
      </c>
      <c r="F1439" t="s">
        <v>206</v>
      </c>
      <c r="G1439">
        <v>100</v>
      </c>
      <c r="H1439" s="1">
        <v>48.896000000000001</v>
      </c>
      <c r="I1439" s="21">
        <v>44645</v>
      </c>
      <c r="J1439" s="21">
        <v>44648</v>
      </c>
      <c r="K1439" s="21">
        <f t="shared" si="137"/>
        <v>44648</v>
      </c>
      <c r="L1439" t="s">
        <v>220</v>
      </c>
      <c r="M1439" t="s">
        <v>146</v>
      </c>
      <c r="N1439" t="s">
        <v>73</v>
      </c>
      <c r="O1439">
        <v>1</v>
      </c>
      <c r="P1439" t="s">
        <v>2652</v>
      </c>
      <c r="Q1439" t="s">
        <v>4729</v>
      </c>
      <c r="R1439" t="s">
        <v>4726</v>
      </c>
      <c r="S1439" t="s">
        <v>4717</v>
      </c>
      <c r="T1439">
        <f t="shared" si="134"/>
        <v>3</v>
      </c>
      <c r="U1439" s="21">
        <f t="shared" si="138"/>
        <v>45013</v>
      </c>
    </row>
    <row r="1440" spans="1:21" x14ac:dyDescent="0.35">
      <c r="A1440" t="s">
        <v>1447</v>
      </c>
      <c r="B1440" t="s">
        <v>1448</v>
      </c>
      <c r="C1440" t="s">
        <v>19</v>
      </c>
      <c r="D1440" t="s">
        <v>212</v>
      </c>
      <c r="E1440" s="1">
        <v>1983.9680000000001</v>
      </c>
      <c r="F1440" t="s">
        <v>206</v>
      </c>
      <c r="G1440">
        <v>100</v>
      </c>
      <c r="H1440" s="1">
        <v>1983.9680000000001</v>
      </c>
      <c r="I1440" s="21">
        <v>44644</v>
      </c>
      <c r="J1440" s="21">
        <v>44650</v>
      </c>
      <c r="K1440" s="21">
        <f t="shared" si="137"/>
        <v>44650</v>
      </c>
      <c r="L1440" t="s">
        <v>207</v>
      </c>
      <c r="M1440" t="s">
        <v>146</v>
      </c>
      <c r="N1440" t="s">
        <v>73</v>
      </c>
      <c r="O1440">
        <v>1</v>
      </c>
      <c r="P1440" t="s">
        <v>1449</v>
      </c>
      <c r="Q1440" t="s">
        <v>4729</v>
      </c>
      <c r="R1440" t="s">
        <v>4711</v>
      </c>
      <c r="S1440" t="s">
        <v>4719</v>
      </c>
      <c r="T1440">
        <f t="shared" si="134"/>
        <v>6</v>
      </c>
      <c r="U1440" s="21">
        <f t="shared" si="138"/>
        <v>45015</v>
      </c>
    </row>
    <row r="1441" spans="1:21" x14ac:dyDescent="0.35">
      <c r="A1441" t="s">
        <v>1450</v>
      </c>
      <c r="B1441" t="s">
        <v>1451</v>
      </c>
      <c r="C1441" t="s">
        <v>19</v>
      </c>
      <c r="D1441" t="s">
        <v>212</v>
      </c>
      <c r="E1441" s="1">
        <v>50.231999999999999</v>
      </c>
      <c r="F1441" t="s">
        <v>206</v>
      </c>
      <c r="G1441">
        <v>100</v>
      </c>
      <c r="H1441" s="1">
        <v>50.231999999999999</v>
      </c>
      <c r="I1441" s="21">
        <v>44644</v>
      </c>
      <c r="J1441" s="21">
        <v>44651</v>
      </c>
      <c r="K1441" s="21">
        <f t="shared" si="137"/>
        <v>44651</v>
      </c>
      <c r="L1441" t="s">
        <v>238</v>
      </c>
      <c r="M1441" t="s">
        <v>33</v>
      </c>
      <c r="N1441" t="s">
        <v>34</v>
      </c>
      <c r="O1441">
        <v>1</v>
      </c>
      <c r="P1441" t="s">
        <v>466</v>
      </c>
      <c r="Q1441" t="s">
        <v>4729</v>
      </c>
      <c r="R1441" t="s">
        <v>4711</v>
      </c>
      <c r="S1441" t="s">
        <v>4719</v>
      </c>
      <c r="T1441">
        <f t="shared" si="134"/>
        <v>7</v>
      </c>
      <c r="U1441" s="21">
        <f t="shared" si="138"/>
        <v>45016</v>
      </c>
    </row>
    <row r="1442" spans="1:21" x14ac:dyDescent="0.35">
      <c r="A1442" t="s">
        <v>3666</v>
      </c>
      <c r="B1442" t="s">
        <v>3667</v>
      </c>
      <c r="C1442" t="s">
        <v>30</v>
      </c>
      <c r="D1442" t="s">
        <v>21</v>
      </c>
      <c r="E1442" s="1">
        <v>59.480000000000004</v>
      </c>
      <c r="F1442" t="s">
        <v>22</v>
      </c>
      <c r="G1442">
        <v>0</v>
      </c>
      <c r="H1442" s="1">
        <v>0</v>
      </c>
      <c r="I1442" s="21">
        <v>44279</v>
      </c>
      <c r="J1442" s="21">
        <v>44282</v>
      </c>
      <c r="K1442" s="21">
        <v>44282</v>
      </c>
      <c r="L1442" t="s">
        <v>39</v>
      </c>
      <c r="M1442" t="s">
        <v>146</v>
      </c>
      <c r="N1442" t="s">
        <v>73</v>
      </c>
      <c r="O1442">
        <v>1</v>
      </c>
      <c r="P1442" t="s">
        <v>196</v>
      </c>
      <c r="Q1442" t="s">
        <v>4729</v>
      </c>
      <c r="R1442" t="s">
        <v>4726</v>
      </c>
      <c r="S1442" t="s">
        <v>4717</v>
      </c>
      <c r="T1442">
        <f t="shared" si="134"/>
        <v>3</v>
      </c>
      <c r="U1442" s="21">
        <f t="shared" ref="U1442:U1443" si="139">J1442</f>
        <v>44282</v>
      </c>
    </row>
    <row r="1443" spans="1:21" x14ac:dyDescent="0.35">
      <c r="A1443" t="s">
        <v>1363</v>
      </c>
      <c r="B1443" t="s">
        <v>1364</v>
      </c>
      <c r="C1443" t="s">
        <v>30</v>
      </c>
      <c r="D1443" t="s">
        <v>21</v>
      </c>
      <c r="E1443" s="1">
        <v>432.69</v>
      </c>
      <c r="F1443" t="s">
        <v>22</v>
      </c>
      <c r="G1443">
        <v>0</v>
      </c>
      <c r="H1443" s="1">
        <v>0</v>
      </c>
      <c r="I1443" s="21">
        <v>44279</v>
      </c>
      <c r="J1443" s="21">
        <v>44281</v>
      </c>
      <c r="K1443" s="21">
        <v>44281</v>
      </c>
      <c r="L1443" t="s">
        <v>45</v>
      </c>
      <c r="M1443" t="s">
        <v>97</v>
      </c>
      <c r="N1443" t="s">
        <v>68</v>
      </c>
      <c r="O1443">
        <v>1</v>
      </c>
      <c r="P1443" t="s">
        <v>1365</v>
      </c>
      <c r="Q1443" t="s">
        <v>4729</v>
      </c>
      <c r="R1443" t="s">
        <v>4726</v>
      </c>
      <c r="S1443" t="s">
        <v>4717</v>
      </c>
      <c r="T1443">
        <f t="shared" si="134"/>
        <v>2</v>
      </c>
      <c r="U1443" s="21">
        <f t="shared" si="139"/>
        <v>44281</v>
      </c>
    </row>
    <row r="1444" spans="1:21" x14ac:dyDescent="0.35">
      <c r="A1444" t="s">
        <v>3729</v>
      </c>
      <c r="B1444" t="s">
        <v>3730</v>
      </c>
      <c r="C1444" t="s">
        <v>19</v>
      </c>
      <c r="D1444" t="s">
        <v>205</v>
      </c>
      <c r="E1444" s="1">
        <v>539.96400000000006</v>
      </c>
      <c r="F1444" t="s">
        <v>206</v>
      </c>
      <c r="G1444">
        <v>80</v>
      </c>
      <c r="H1444" s="1">
        <v>431.97120000000007</v>
      </c>
      <c r="I1444" s="21">
        <v>44643</v>
      </c>
      <c r="J1444" s="21">
        <v>44645</v>
      </c>
      <c r="K1444" s="21">
        <f t="shared" ref="K1444:K1447" si="140">J1444</f>
        <v>44645</v>
      </c>
      <c r="L1444" t="s">
        <v>220</v>
      </c>
      <c r="M1444" t="s">
        <v>40</v>
      </c>
      <c r="N1444" t="s">
        <v>34</v>
      </c>
      <c r="O1444">
        <v>1</v>
      </c>
      <c r="P1444" t="s">
        <v>3731</v>
      </c>
      <c r="Q1444" t="s">
        <v>4729</v>
      </c>
      <c r="R1444" t="s">
        <v>4711</v>
      </c>
      <c r="S1444" t="s">
        <v>4719</v>
      </c>
      <c r="T1444">
        <f t="shared" si="134"/>
        <v>2</v>
      </c>
      <c r="U1444" s="21">
        <f t="shared" ref="U1444:U1447" si="141">J1444+365</f>
        <v>45010</v>
      </c>
    </row>
    <row r="1445" spans="1:21" x14ac:dyDescent="0.35">
      <c r="A1445" t="s">
        <v>1444</v>
      </c>
      <c r="B1445" t="s">
        <v>1445</v>
      </c>
      <c r="C1445" t="s">
        <v>30</v>
      </c>
      <c r="D1445" t="s">
        <v>212</v>
      </c>
      <c r="E1445" s="1">
        <v>89.34</v>
      </c>
      <c r="F1445" t="s">
        <v>206</v>
      </c>
      <c r="G1445">
        <v>100</v>
      </c>
      <c r="H1445" s="1">
        <v>89.34</v>
      </c>
      <c r="I1445" s="21">
        <v>44643</v>
      </c>
      <c r="J1445" s="21">
        <v>44648</v>
      </c>
      <c r="K1445" s="21">
        <f t="shared" si="140"/>
        <v>44648</v>
      </c>
      <c r="L1445" t="s">
        <v>213</v>
      </c>
      <c r="M1445" t="s">
        <v>40</v>
      </c>
      <c r="N1445" t="s">
        <v>34</v>
      </c>
      <c r="O1445">
        <v>1</v>
      </c>
      <c r="P1445" t="s">
        <v>1446</v>
      </c>
      <c r="Q1445" t="s">
        <v>4729</v>
      </c>
      <c r="R1445" t="s">
        <v>4725</v>
      </c>
      <c r="S1445" t="s">
        <v>4718</v>
      </c>
      <c r="T1445">
        <f t="shared" si="134"/>
        <v>5</v>
      </c>
      <c r="U1445" s="21">
        <f t="shared" si="141"/>
        <v>45013</v>
      </c>
    </row>
    <row r="1446" spans="1:21" x14ac:dyDescent="0.35">
      <c r="A1446" t="s">
        <v>3727</v>
      </c>
      <c r="B1446" t="s">
        <v>3728</v>
      </c>
      <c r="C1446" t="s">
        <v>19</v>
      </c>
      <c r="D1446" t="s">
        <v>212</v>
      </c>
      <c r="E1446" s="1">
        <v>34.86</v>
      </c>
      <c r="F1446" t="s">
        <v>206</v>
      </c>
      <c r="G1446">
        <v>100</v>
      </c>
      <c r="H1446" s="1">
        <v>34.86</v>
      </c>
      <c r="I1446" s="21">
        <v>44641</v>
      </c>
      <c r="J1446" s="21">
        <v>44643</v>
      </c>
      <c r="K1446" s="21">
        <f t="shared" si="140"/>
        <v>44643</v>
      </c>
      <c r="L1446" t="s">
        <v>238</v>
      </c>
      <c r="M1446" t="s">
        <v>72</v>
      </c>
      <c r="N1446" t="s">
        <v>73</v>
      </c>
      <c r="O1446">
        <v>1</v>
      </c>
      <c r="P1446" t="s">
        <v>2032</v>
      </c>
      <c r="Q1446" t="s">
        <v>4517</v>
      </c>
      <c r="R1446" t="s">
        <v>4726</v>
      </c>
      <c r="S1446" t="s">
        <v>4717</v>
      </c>
      <c r="T1446">
        <f t="shared" si="134"/>
        <v>2</v>
      </c>
      <c r="U1446" s="21">
        <f t="shared" si="141"/>
        <v>45008</v>
      </c>
    </row>
    <row r="1447" spans="1:21" x14ac:dyDescent="0.35">
      <c r="A1447" t="s">
        <v>1441</v>
      </c>
      <c r="B1447" t="s">
        <v>1442</v>
      </c>
      <c r="C1447" t="s">
        <v>30</v>
      </c>
      <c r="D1447" t="s">
        <v>212</v>
      </c>
      <c r="E1447" s="1">
        <v>76.12</v>
      </c>
      <c r="F1447" t="s">
        <v>206</v>
      </c>
      <c r="G1447">
        <v>100</v>
      </c>
      <c r="H1447" s="1">
        <v>76.12</v>
      </c>
      <c r="I1447" s="21">
        <v>44641</v>
      </c>
      <c r="J1447" s="21">
        <v>44644</v>
      </c>
      <c r="K1447" s="21">
        <f t="shared" si="140"/>
        <v>44644</v>
      </c>
      <c r="L1447" t="s">
        <v>207</v>
      </c>
      <c r="M1447" t="s">
        <v>46</v>
      </c>
      <c r="N1447" t="s">
        <v>47</v>
      </c>
      <c r="O1447">
        <v>1</v>
      </c>
      <c r="P1447" t="s">
        <v>1443</v>
      </c>
      <c r="Q1447" t="s">
        <v>4560</v>
      </c>
      <c r="R1447" t="s">
        <v>4721</v>
      </c>
      <c r="S1447" t="s">
        <v>4717</v>
      </c>
      <c r="T1447">
        <f t="shared" si="134"/>
        <v>3</v>
      </c>
      <c r="U1447" s="21">
        <f t="shared" si="141"/>
        <v>45009</v>
      </c>
    </row>
    <row r="1448" spans="1:21" x14ac:dyDescent="0.35">
      <c r="A1448" t="s">
        <v>152</v>
      </c>
      <c r="B1448" t="s">
        <v>153</v>
      </c>
      <c r="C1448" t="s">
        <v>19</v>
      </c>
      <c r="D1448" t="s">
        <v>21</v>
      </c>
      <c r="E1448" s="1">
        <v>1445.674</v>
      </c>
      <c r="F1448" t="s">
        <v>22</v>
      </c>
      <c r="G1448">
        <v>0</v>
      </c>
      <c r="H1448" s="1">
        <v>0</v>
      </c>
      <c r="I1448" s="21">
        <v>44276</v>
      </c>
      <c r="J1448" s="21">
        <v>44279</v>
      </c>
      <c r="K1448" s="21">
        <v>44279</v>
      </c>
      <c r="L1448" t="s">
        <v>63</v>
      </c>
      <c r="M1448" t="s">
        <v>146</v>
      </c>
      <c r="N1448" t="s">
        <v>73</v>
      </c>
      <c r="O1448">
        <v>1</v>
      </c>
      <c r="P1448" t="s">
        <v>155</v>
      </c>
      <c r="Q1448" t="s">
        <v>4515</v>
      </c>
      <c r="R1448" t="s">
        <v>4726</v>
      </c>
      <c r="S1448" t="s">
        <v>4717</v>
      </c>
      <c r="T1448">
        <f t="shared" si="134"/>
        <v>3</v>
      </c>
      <c r="U1448" s="21">
        <f t="shared" ref="U1448:U1449" si="142">J1448</f>
        <v>44279</v>
      </c>
    </row>
    <row r="1449" spans="1:21" x14ac:dyDescent="0.35">
      <c r="A1449" t="s">
        <v>2533</v>
      </c>
      <c r="B1449" t="s">
        <v>2534</v>
      </c>
      <c r="C1449" t="s">
        <v>19</v>
      </c>
      <c r="D1449" t="s">
        <v>21</v>
      </c>
      <c r="E1449" s="1">
        <v>4607.2699999999995</v>
      </c>
      <c r="F1449" t="s">
        <v>22</v>
      </c>
      <c r="G1449">
        <v>0</v>
      </c>
      <c r="H1449" s="1">
        <v>0</v>
      </c>
      <c r="I1449" s="21">
        <v>44275</v>
      </c>
      <c r="J1449" s="21">
        <v>44276</v>
      </c>
      <c r="K1449" s="21">
        <v>44276</v>
      </c>
      <c r="L1449" t="s">
        <v>39</v>
      </c>
      <c r="M1449" t="s">
        <v>33</v>
      </c>
      <c r="N1449" t="s">
        <v>34</v>
      </c>
      <c r="O1449">
        <v>1</v>
      </c>
      <c r="P1449" t="s">
        <v>2535</v>
      </c>
      <c r="Q1449" t="s">
        <v>4729</v>
      </c>
      <c r="R1449" t="s">
        <v>4777</v>
      </c>
      <c r="S1449" t="s">
        <v>4718</v>
      </c>
      <c r="T1449">
        <f t="shared" si="134"/>
        <v>1</v>
      </c>
      <c r="U1449" s="21">
        <f t="shared" si="142"/>
        <v>44276</v>
      </c>
    </row>
    <row r="1450" spans="1:21" x14ac:dyDescent="0.35">
      <c r="A1450" t="s">
        <v>3722</v>
      </c>
      <c r="B1450" t="s">
        <v>3723</v>
      </c>
      <c r="C1450" t="s">
        <v>30</v>
      </c>
      <c r="D1450" t="s">
        <v>205</v>
      </c>
      <c r="E1450" s="1">
        <v>1.98</v>
      </c>
      <c r="F1450" t="s">
        <v>206</v>
      </c>
      <c r="G1450">
        <v>80</v>
      </c>
      <c r="H1450" s="1">
        <v>1.5840000000000001</v>
      </c>
      <c r="I1450" s="21">
        <v>44640</v>
      </c>
      <c r="J1450" s="21">
        <v>44646</v>
      </c>
      <c r="K1450" s="21">
        <f t="shared" ref="K1450:K1453" si="143">J1450</f>
        <v>44646</v>
      </c>
      <c r="L1450" t="s">
        <v>248</v>
      </c>
      <c r="M1450" t="s">
        <v>54</v>
      </c>
      <c r="N1450" t="s">
        <v>26</v>
      </c>
      <c r="O1450">
        <v>1</v>
      </c>
      <c r="P1450" t="s">
        <v>3724</v>
      </c>
      <c r="Q1450" t="s">
        <v>4574</v>
      </c>
      <c r="R1450" t="s">
        <v>4721</v>
      </c>
      <c r="S1450" t="s">
        <v>4718</v>
      </c>
      <c r="T1450">
        <f t="shared" si="134"/>
        <v>6</v>
      </c>
      <c r="U1450" s="21">
        <f t="shared" ref="U1450:U1453" si="144">J1450+365</f>
        <v>45011</v>
      </c>
    </row>
    <row r="1451" spans="1:21" x14ac:dyDescent="0.35">
      <c r="A1451" t="s">
        <v>3725</v>
      </c>
      <c r="B1451" t="s">
        <v>3726</v>
      </c>
      <c r="C1451" t="s">
        <v>19</v>
      </c>
      <c r="D1451" t="s">
        <v>212</v>
      </c>
      <c r="E1451" s="1">
        <v>251.91</v>
      </c>
      <c r="F1451" t="s">
        <v>206</v>
      </c>
      <c r="G1451">
        <v>100</v>
      </c>
      <c r="H1451" s="1">
        <v>251.91</v>
      </c>
      <c r="I1451" s="21">
        <v>44640</v>
      </c>
      <c r="J1451" s="21">
        <v>44647</v>
      </c>
      <c r="K1451" s="21">
        <f t="shared" si="143"/>
        <v>44647</v>
      </c>
      <c r="L1451" t="s">
        <v>238</v>
      </c>
      <c r="M1451" t="s">
        <v>54</v>
      </c>
      <c r="N1451" t="s">
        <v>26</v>
      </c>
      <c r="O1451">
        <v>1</v>
      </c>
      <c r="P1451" t="s">
        <v>3331</v>
      </c>
      <c r="Q1451" t="s">
        <v>4729</v>
      </c>
      <c r="R1451" t="s">
        <v>4713</v>
      </c>
      <c r="S1451" t="s">
        <v>4719</v>
      </c>
      <c r="T1451">
        <f t="shared" si="134"/>
        <v>7</v>
      </c>
      <c r="U1451" s="21">
        <f t="shared" si="144"/>
        <v>45012</v>
      </c>
    </row>
    <row r="1452" spans="1:21" x14ac:dyDescent="0.35">
      <c r="A1452" t="s">
        <v>1439</v>
      </c>
      <c r="B1452" t="s">
        <v>1440</v>
      </c>
      <c r="C1452" t="s">
        <v>30</v>
      </c>
      <c r="D1452" t="s">
        <v>205</v>
      </c>
      <c r="E1452" s="1">
        <v>146.352</v>
      </c>
      <c r="F1452" t="s">
        <v>206</v>
      </c>
      <c r="G1452">
        <v>80</v>
      </c>
      <c r="H1452" s="1">
        <v>117.08160000000001</v>
      </c>
      <c r="I1452" s="21">
        <v>44640</v>
      </c>
      <c r="J1452" s="21">
        <v>44641</v>
      </c>
      <c r="K1452" s="21">
        <f t="shared" si="143"/>
        <v>44641</v>
      </c>
      <c r="L1452" t="s">
        <v>213</v>
      </c>
      <c r="M1452" t="s">
        <v>146</v>
      </c>
      <c r="N1452" t="s">
        <v>73</v>
      </c>
      <c r="O1452">
        <v>1</v>
      </c>
      <c r="P1452" t="s">
        <v>364</v>
      </c>
      <c r="Q1452" t="s">
        <v>4525</v>
      </c>
      <c r="R1452" t="s">
        <v>4714</v>
      </c>
      <c r="S1452" t="s">
        <v>4718</v>
      </c>
      <c r="T1452">
        <f t="shared" si="134"/>
        <v>1</v>
      </c>
      <c r="U1452" s="21">
        <f t="shared" si="144"/>
        <v>45006</v>
      </c>
    </row>
    <row r="1453" spans="1:21" x14ac:dyDescent="0.35">
      <c r="A1453" t="s">
        <v>2647</v>
      </c>
      <c r="B1453" t="s">
        <v>2648</v>
      </c>
      <c r="C1453" t="s">
        <v>19</v>
      </c>
      <c r="D1453" t="s">
        <v>205</v>
      </c>
      <c r="E1453" s="1">
        <v>75.879999999999896</v>
      </c>
      <c r="F1453" t="s">
        <v>206</v>
      </c>
      <c r="G1453">
        <v>80</v>
      </c>
      <c r="H1453" s="1">
        <v>60.703999999999922</v>
      </c>
      <c r="I1453" s="21">
        <v>44640</v>
      </c>
      <c r="J1453" s="21">
        <v>44645</v>
      </c>
      <c r="K1453" s="21">
        <f t="shared" si="143"/>
        <v>44645</v>
      </c>
      <c r="L1453" t="s">
        <v>207</v>
      </c>
      <c r="M1453" t="s">
        <v>67</v>
      </c>
      <c r="N1453" t="s">
        <v>68</v>
      </c>
      <c r="O1453">
        <v>1</v>
      </c>
      <c r="P1453" t="s">
        <v>2649</v>
      </c>
      <c r="Q1453" t="s">
        <v>4729</v>
      </c>
      <c r="R1453" t="s">
        <v>4726</v>
      </c>
      <c r="S1453" t="s">
        <v>4717</v>
      </c>
      <c r="T1453">
        <f t="shared" si="134"/>
        <v>5</v>
      </c>
      <c r="U1453" s="21">
        <f t="shared" si="144"/>
        <v>45010</v>
      </c>
    </row>
    <row r="1454" spans="1:21" x14ac:dyDescent="0.35">
      <c r="A1454" t="s">
        <v>148</v>
      </c>
      <c r="B1454" t="s">
        <v>149</v>
      </c>
      <c r="C1454" t="s">
        <v>30</v>
      </c>
      <c r="D1454" t="s">
        <v>21</v>
      </c>
      <c r="E1454" s="1">
        <v>449.0496</v>
      </c>
      <c r="F1454" t="s">
        <v>22</v>
      </c>
      <c r="G1454">
        <v>0</v>
      </c>
      <c r="H1454" s="1">
        <v>0</v>
      </c>
      <c r="I1454" s="21">
        <v>44275</v>
      </c>
      <c r="J1454" s="21">
        <v>44278</v>
      </c>
      <c r="K1454" s="21">
        <v>44278</v>
      </c>
      <c r="L1454" t="s">
        <v>24</v>
      </c>
      <c r="M1454" t="s">
        <v>97</v>
      </c>
      <c r="N1454" t="s">
        <v>68</v>
      </c>
      <c r="O1454">
        <v>1</v>
      </c>
      <c r="P1454" t="s">
        <v>151</v>
      </c>
      <c r="Q1454" t="s">
        <v>4519</v>
      </c>
      <c r="R1454" t="s">
        <v>4726</v>
      </c>
      <c r="S1454" t="s">
        <v>4717</v>
      </c>
      <c r="T1454">
        <f t="shared" si="134"/>
        <v>3</v>
      </c>
      <c r="U1454" s="21">
        <f>J1454</f>
        <v>44278</v>
      </c>
    </row>
    <row r="1455" spans="1:21" x14ac:dyDescent="0.35">
      <c r="A1455" t="s">
        <v>2642</v>
      </c>
      <c r="B1455" t="s">
        <v>2643</v>
      </c>
      <c r="C1455" t="s">
        <v>19</v>
      </c>
      <c r="D1455" t="s">
        <v>205</v>
      </c>
      <c r="E1455" s="1">
        <v>11.952</v>
      </c>
      <c r="F1455" t="s">
        <v>206</v>
      </c>
      <c r="G1455">
        <v>80</v>
      </c>
      <c r="H1455" s="1">
        <v>9.5616000000000003</v>
      </c>
      <c r="I1455" s="21">
        <v>44637</v>
      </c>
      <c r="J1455" s="21">
        <v>44641</v>
      </c>
      <c r="K1455" s="21">
        <f t="shared" ref="K1455:K1464" si="145">J1455</f>
        <v>44641</v>
      </c>
      <c r="L1455" t="s">
        <v>207</v>
      </c>
      <c r="M1455" t="s">
        <v>40</v>
      </c>
      <c r="N1455" t="s">
        <v>34</v>
      </c>
      <c r="O1455">
        <v>1</v>
      </c>
      <c r="P1455" t="s">
        <v>1202</v>
      </c>
      <c r="Q1455" t="s">
        <v>4729</v>
      </c>
      <c r="R1455" t="s">
        <v>4726</v>
      </c>
      <c r="S1455" t="s">
        <v>4717</v>
      </c>
      <c r="T1455">
        <f t="shared" si="134"/>
        <v>4</v>
      </c>
      <c r="U1455" s="21">
        <f t="shared" ref="U1455:U1464" si="146">J1455+365</f>
        <v>45006</v>
      </c>
    </row>
    <row r="1456" spans="1:21" x14ac:dyDescent="0.35">
      <c r="A1456" t="s">
        <v>3720</v>
      </c>
      <c r="B1456" t="s">
        <v>3721</v>
      </c>
      <c r="C1456" t="s">
        <v>19</v>
      </c>
      <c r="D1456" t="s">
        <v>212</v>
      </c>
      <c r="E1456" s="1">
        <v>194.7</v>
      </c>
      <c r="F1456" t="s">
        <v>206</v>
      </c>
      <c r="G1456">
        <v>100</v>
      </c>
      <c r="H1456" s="1">
        <v>194.7</v>
      </c>
      <c r="I1456" s="21">
        <v>44637</v>
      </c>
      <c r="J1456" s="21">
        <v>44644</v>
      </c>
      <c r="K1456" s="21">
        <f t="shared" si="145"/>
        <v>44644</v>
      </c>
      <c r="L1456" t="s">
        <v>207</v>
      </c>
      <c r="M1456" t="s">
        <v>146</v>
      </c>
      <c r="N1456" t="s">
        <v>73</v>
      </c>
      <c r="O1456">
        <v>1</v>
      </c>
      <c r="P1456" t="s">
        <v>3072</v>
      </c>
      <c r="Q1456" t="s">
        <v>4533</v>
      </c>
      <c r="R1456" t="s">
        <v>4709</v>
      </c>
      <c r="S1456" t="s">
        <v>4717</v>
      </c>
      <c r="T1456">
        <f t="shared" si="134"/>
        <v>7</v>
      </c>
      <c r="U1456" s="21">
        <f t="shared" si="146"/>
        <v>45009</v>
      </c>
    </row>
    <row r="1457" spans="1:21" x14ac:dyDescent="0.35">
      <c r="A1457" t="s">
        <v>2644</v>
      </c>
      <c r="B1457" t="s">
        <v>2645</v>
      </c>
      <c r="C1457" t="s">
        <v>30</v>
      </c>
      <c r="D1457" t="s">
        <v>212</v>
      </c>
      <c r="E1457" s="1">
        <v>605.34</v>
      </c>
      <c r="F1457" t="s">
        <v>206</v>
      </c>
      <c r="G1457">
        <v>100</v>
      </c>
      <c r="H1457" s="1">
        <v>605.34</v>
      </c>
      <c r="I1457" s="21">
        <v>44637</v>
      </c>
      <c r="J1457" s="21">
        <v>44639</v>
      </c>
      <c r="K1457" s="21">
        <f t="shared" si="145"/>
        <v>44639</v>
      </c>
      <c r="L1457" t="s">
        <v>220</v>
      </c>
      <c r="M1457" t="s">
        <v>40</v>
      </c>
      <c r="N1457" t="s">
        <v>34</v>
      </c>
      <c r="O1457">
        <v>1</v>
      </c>
      <c r="P1457" t="s">
        <v>2646</v>
      </c>
      <c r="Q1457" t="s">
        <v>4729</v>
      </c>
      <c r="R1457" t="s">
        <v>4714</v>
      </c>
      <c r="S1457" t="s">
        <v>4718</v>
      </c>
      <c r="T1457">
        <f t="shared" si="134"/>
        <v>2</v>
      </c>
      <c r="U1457" s="21">
        <f t="shared" si="146"/>
        <v>45004</v>
      </c>
    </row>
    <row r="1458" spans="1:21" x14ac:dyDescent="0.35">
      <c r="A1458" t="s">
        <v>1437</v>
      </c>
      <c r="B1458" t="s">
        <v>1438</v>
      </c>
      <c r="C1458" t="s">
        <v>19</v>
      </c>
      <c r="D1458" t="s">
        <v>205</v>
      </c>
      <c r="E1458" s="1">
        <v>10.368</v>
      </c>
      <c r="F1458" t="s">
        <v>206</v>
      </c>
      <c r="G1458">
        <v>80</v>
      </c>
      <c r="H1458" s="1">
        <v>8.2944000000000013</v>
      </c>
      <c r="I1458" s="21">
        <v>44637</v>
      </c>
      <c r="J1458" s="21">
        <v>44641</v>
      </c>
      <c r="K1458" s="21">
        <f t="shared" si="145"/>
        <v>44641</v>
      </c>
      <c r="L1458" t="s">
        <v>220</v>
      </c>
      <c r="M1458" t="s">
        <v>146</v>
      </c>
      <c r="N1458" t="s">
        <v>73</v>
      </c>
      <c r="O1458">
        <v>1</v>
      </c>
      <c r="P1458" t="s">
        <v>1368</v>
      </c>
      <c r="Q1458" t="s">
        <v>4519</v>
      </c>
      <c r="R1458" t="s">
        <v>4726</v>
      </c>
      <c r="S1458" t="s">
        <v>4717</v>
      </c>
      <c r="T1458">
        <f t="shared" si="134"/>
        <v>4</v>
      </c>
      <c r="U1458" s="21">
        <f t="shared" si="146"/>
        <v>45006</v>
      </c>
    </row>
    <row r="1459" spans="1:21" x14ac:dyDescent="0.35">
      <c r="A1459" t="s">
        <v>2639</v>
      </c>
      <c r="B1459" t="s">
        <v>2640</v>
      </c>
      <c r="C1459" t="s">
        <v>19</v>
      </c>
      <c r="D1459" t="s">
        <v>205</v>
      </c>
      <c r="E1459" s="1">
        <v>10.048</v>
      </c>
      <c r="F1459" t="s">
        <v>206</v>
      </c>
      <c r="G1459">
        <v>80</v>
      </c>
      <c r="H1459" s="1">
        <v>8.0384000000000011</v>
      </c>
      <c r="I1459" s="21">
        <v>44636</v>
      </c>
      <c r="J1459" s="21">
        <v>44642</v>
      </c>
      <c r="K1459" s="21">
        <f t="shared" si="145"/>
        <v>44642</v>
      </c>
      <c r="L1459" t="s">
        <v>207</v>
      </c>
      <c r="M1459" t="s">
        <v>40</v>
      </c>
      <c r="N1459" t="s">
        <v>34</v>
      </c>
      <c r="O1459">
        <v>1</v>
      </c>
      <c r="P1459" t="s">
        <v>2641</v>
      </c>
      <c r="Q1459" t="s">
        <v>4615</v>
      </c>
      <c r="R1459" t="s">
        <v>4726</v>
      </c>
      <c r="S1459" t="s">
        <v>4717</v>
      </c>
      <c r="T1459">
        <f t="shared" si="134"/>
        <v>6</v>
      </c>
      <c r="U1459" s="21">
        <f t="shared" si="146"/>
        <v>45007</v>
      </c>
    </row>
    <row r="1460" spans="1:21" x14ac:dyDescent="0.35">
      <c r="A1460" t="s">
        <v>3718</v>
      </c>
      <c r="B1460" t="s">
        <v>3719</v>
      </c>
      <c r="C1460" t="s">
        <v>19</v>
      </c>
      <c r="D1460" t="s">
        <v>205</v>
      </c>
      <c r="E1460" s="1">
        <v>2.9460000000000002</v>
      </c>
      <c r="F1460" t="s">
        <v>206</v>
      </c>
      <c r="G1460">
        <v>80</v>
      </c>
      <c r="H1460" s="1">
        <v>2.3568000000000002</v>
      </c>
      <c r="I1460" s="21">
        <v>44635</v>
      </c>
      <c r="J1460" s="21">
        <v>44640</v>
      </c>
      <c r="K1460" s="21">
        <f t="shared" si="145"/>
        <v>44640</v>
      </c>
      <c r="L1460" t="s">
        <v>234</v>
      </c>
      <c r="M1460" t="s">
        <v>40</v>
      </c>
      <c r="N1460" t="s">
        <v>34</v>
      </c>
      <c r="O1460">
        <v>1</v>
      </c>
      <c r="P1460" t="s">
        <v>143</v>
      </c>
      <c r="Q1460" t="s">
        <v>4729</v>
      </c>
      <c r="R1460" t="s">
        <v>4726</v>
      </c>
      <c r="S1460" t="s">
        <v>4717</v>
      </c>
      <c r="T1460">
        <f t="shared" si="134"/>
        <v>5</v>
      </c>
      <c r="U1460" s="21">
        <f t="shared" si="146"/>
        <v>45005</v>
      </c>
    </row>
    <row r="1461" spans="1:21" x14ac:dyDescent="0.35">
      <c r="A1461" t="s">
        <v>2636</v>
      </c>
      <c r="B1461" t="s">
        <v>2637</v>
      </c>
      <c r="C1461" t="s">
        <v>30</v>
      </c>
      <c r="D1461" t="s">
        <v>212</v>
      </c>
      <c r="E1461" s="1">
        <v>144.6</v>
      </c>
      <c r="F1461" t="s">
        <v>206</v>
      </c>
      <c r="G1461">
        <v>100</v>
      </c>
      <c r="H1461" s="1">
        <v>144.6</v>
      </c>
      <c r="I1461" s="21">
        <v>44634</v>
      </c>
      <c r="J1461" s="21">
        <v>44636</v>
      </c>
      <c r="K1461" s="21">
        <f t="shared" si="145"/>
        <v>44636</v>
      </c>
      <c r="L1461" t="s">
        <v>207</v>
      </c>
      <c r="M1461" t="s">
        <v>146</v>
      </c>
      <c r="N1461" t="s">
        <v>73</v>
      </c>
      <c r="O1461">
        <v>1</v>
      </c>
      <c r="P1461" t="s">
        <v>2638</v>
      </c>
      <c r="Q1461" t="s">
        <v>4531</v>
      </c>
      <c r="R1461" t="s">
        <v>4726</v>
      </c>
      <c r="S1461" t="s">
        <v>4717</v>
      </c>
      <c r="T1461">
        <f t="shared" si="134"/>
        <v>2</v>
      </c>
      <c r="U1461" s="21">
        <f t="shared" si="146"/>
        <v>45001</v>
      </c>
    </row>
    <row r="1462" spans="1:21" x14ac:dyDescent="0.35">
      <c r="A1462" t="s">
        <v>1434</v>
      </c>
      <c r="B1462" t="s">
        <v>1435</v>
      </c>
      <c r="C1462" t="s">
        <v>19</v>
      </c>
      <c r="D1462" t="s">
        <v>212</v>
      </c>
      <c r="E1462" s="1">
        <v>107.44</v>
      </c>
      <c r="F1462" t="s">
        <v>206</v>
      </c>
      <c r="G1462">
        <v>100</v>
      </c>
      <c r="H1462" s="1">
        <v>107.44</v>
      </c>
      <c r="I1462" s="21">
        <v>44633</v>
      </c>
      <c r="J1462" s="21">
        <v>44639</v>
      </c>
      <c r="K1462" s="21">
        <f t="shared" si="145"/>
        <v>44639</v>
      </c>
      <c r="L1462" t="s">
        <v>207</v>
      </c>
      <c r="M1462" t="s">
        <v>67</v>
      </c>
      <c r="N1462" t="s">
        <v>68</v>
      </c>
      <c r="O1462">
        <v>1</v>
      </c>
      <c r="P1462" t="s">
        <v>1436</v>
      </c>
      <c r="Q1462" t="s">
        <v>4560</v>
      </c>
      <c r="R1462" t="s">
        <v>4709</v>
      </c>
      <c r="S1462" t="s">
        <v>4717</v>
      </c>
      <c r="T1462">
        <f t="shared" si="134"/>
        <v>6</v>
      </c>
      <c r="U1462" s="21">
        <f t="shared" si="146"/>
        <v>45004</v>
      </c>
    </row>
    <row r="1463" spans="1:21" x14ac:dyDescent="0.35">
      <c r="A1463" t="s">
        <v>3715</v>
      </c>
      <c r="B1463" t="s">
        <v>3716</v>
      </c>
      <c r="C1463" t="s">
        <v>30</v>
      </c>
      <c r="D1463" t="s">
        <v>205</v>
      </c>
      <c r="E1463" s="1">
        <v>95.647999999999996</v>
      </c>
      <c r="F1463" t="s">
        <v>206</v>
      </c>
      <c r="G1463">
        <v>80</v>
      </c>
      <c r="H1463" s="1">
        <v>76.5184</v>
      </c>
      <c r="I1463" s="21">
        <v>44631</v>
      </c>
      <c r="J1463" s="21">
        <v>44631</v>
      </c>
      <c r="K1463" s="21">
        <f t="shared" si="145"/>
        <v>44631</v>
      </c>
      <c r="L1463" t="s">
        <v>238</v>
      </c>
      <c r="M1463" t="s">
        <v>72</v>
      </c>
      <c r="N1463" t="s">
        <v>73</v>
      </c>
      <c r="O1463">
        <v>1</v>
      </c>
      <c r="P1463" t="s">
        <v>3717</v>
      </c>
      <c r="Q1463" t="s">
        <v>4528</v>
      </c>
      <c r="R1463" t="s">
        <v>4726</v>
      </c>
      <c r="S1463" t="s">
        <v>4717</v>
      </c>
      <c r="T1463">
        <f t="shared" si="134"/>
        <v>0</v>
      </c>
      <c r="U1463" s="21">
        <f t="shared" si="146"/>
        <v>44996</v>
      </c>
    </row>
    <row r="1464" spans="1:21" x14ac:dyDescent="0.35">
      <c r="A1464" t="s">
        <v>1431</v>
      </c>
      <c r="B1464" t="s">
        <v>1432</v>
      </c>
      <c r="C1464" t="s">
        <v>19</v>
      </c>
      <c r="D1464" t="s">
        <v>212</v>
      </c>
      <c r="E1464" s="1">
        <v>9.09</v>
      </c>
      <c r="F1464" t="s">
        <v>206</v>
      </c>
      <c r="G1464">
        <v>100</v>
      </c>
      <c r="H1464" s="1">
        <v>9.09</v>
      </c>
      <c r="I1464" s="21">
        <v>44631</v>
      </c>
      <c r="J1464" s="21">
        <v>44631</v>
      </c>
      <c r="K1464" s="21">
        <f t="shared" si="145"/>
        <v>44631</v>
      </c>
      <c r="L1464" t="s">
        <v>220</v>
      </c>
      <c r="M1464" t="s">
        <v>46</v>
      </c>
      <c r="N1464" t="s">
        <v>47</v>
      </c>
      <c r="O1464">
        <v>1</v>
      </c>
      <c r="P1464" t="s">
        <v>1433</v>
      </c>
      <c r="Q1464" t="s">
        <v>4778</v>
      </c>
      <c r="R1464" t="s">
        <v>4713</v>
      </c>
      <c r="S1464" t="s">
        <v>4719</v>
      </c>
      <c r="T1464">
        <f t="shared" si="134"/>
        <v>0</v>
      </c>
      <c r="U1464" s="21">
        <f t="shared" si="146"/>
        <v>44996</v>
      </c>
    </row>
    <row r="1465" spans="1:21" x14ac:dyDescent="0.35">
      <c r="A1465" t="s">
        <v>3664</v>
      </c>
      <c r="B1465" t="s">
        <v>3665</v>
      </c>
      <c r="C1465" t="s">
        <v>30</v>
      </c>
      <c r="D1465" t="s">
        <v>21</v>
      </c>
      <c r="E1465" s="1">
        <v>473.4</v>
      </c>
      <c r="F1465" t="s">
        <v>22</v>
      </c>
      <c r="G1465">
        <v>0</v>
      </c>
      <c r="H1465" s="1">
        <v>0</v>
      </c>
      <c r="I1465" s="21">
        <v>44265</v>
      </c>
      <c r="J1465" s="21">
        <v>44268</v>
      </c>
      <c r="K1465" s="21">
        <v>44268</v>
      </c>
      <c r="L1465" t="s">
        <v>24</v>
      </c>
      <c r="M1465" t="s">
        <v>67</v>
      </c>
      <c r="N1465" t="s">
        <v>68</v>
      </c>
      <c r="O1465">
        <v>1</v>
      </c>
      <c r="P1465" t="s">
        <v>2073</v>
      </c>
      <c r="Q1465" t="s">
        <v>4574</v>
      </c>
      <c r="R1465" t="s">
        <v>4713</v>
      </c>
      <c r="S1465" t="s">
        <v>4719</v>
      </c>
      <c r="T1465">
        <f t="shared" si="134"/>
        <v>3</v>
      </c>
      <c r="U1465" s="21">
        <f>J1465</f>
        <v>44268</v>
      </c>
    </row>
    <row r="1466" spans="1:21" x14ac:dyDescent="0.35">
      <c r="A1466" t="s">
        <v>1428</v>
      </c>
      <c r="B1466" t="s">
        <v>1429</v>
      </c>
      <c r="C1466" t="s">
        <v>30</v>
      </c>
      <c r="D1466" t="s">
        <v>205</v>
      </c>
      <c r="E1466" s="1">
        <v>48.94</v>
      </c>
      <c r="F1466" t="s">
        <v>206</v>
      </c>
      <c r="G1466">
        <v>80</v>
      </c>
      <c r="H1466" s="1">
        <v>39.152000000000001</v>
      </c>
      <c r="I1466" s="21">
        <v>44630</v>
      </c>
      <c r="J1466" s="21">
        <v>44632</v>
      </c>
      <c r="K1466" s="21">
        <f t="shared" ref="K1466:K1469" si="147">J1466</f>
        <v>44632</v>
      </c>
      <c r="L1466" t="s">
        <v>207</v>
      </c>
      <c r="M1466" t="s">
        <v>67</v>
      </c>
      <c r="N1466" t="s">
        <v>68</v>
      </c>
      <c r="O1466">
        <v>1</v>
      </c>
      <c r="P1466" t="s">
        <v>1430</v>
      </c>
      <c r="Q1466" t="s">
        <v>4729</v>
      </c>
      <c r="R1466" t="s">
        <v>4726</v>
      </c>
      <c r="S1466" t="s">
        <v>4717</v>
      </c>
      <c r="T1466">
        <f t="shared" si="134"/>
        <v>2</v>
      </c>
      <c r="U1466" s="21">
        <f t="shared" ref="U1466:U1469" si="148">J1466+365</f>
        <v>44997</v>
      </c>
    </row>
    <row r="1467" spans="1:21" x14ac:dyDescent="0.35">
      <c r="A1467" t="s">
        <v>2633</v>
      </c>
      <c r="B1467" t="s">
        <v>2634</v>
      </c>
      <c r="C1467" t="s">
        <v>30</v>
      </c>
      <c r="D1467" t="s">
        <v>205</v>
      </c>
      <c r="E1467" s="1">
        <v>337.08800000000002</v>
      </c>
      <c r="F1467" t="s">
        <v>206</v>
      </c>
      <c r="G1467">
        <v>80</v>
      </c>
      <c r="H1467" s="1">
        <v>269.67040000000003</v>
      </c>
      <c r="I1467" s="21">
        <v>44629</v>
      </c>
      <c r="J1467" s="21">
        <v>44634</v>
      </c>
      <c r="K1467" s="21">
        <f t="shared" si="147"/>
        <v>44634</v>
      </c>
      <c r="L1467" t="s">
        <v>234</v>
      </c>
      <c r="M1467" t="s">
        <v>46</v>
      </c>
      <c r="N1467" t="s">
        <v>47</v>
      </c>
      <c r="O1467">
        <v>1</v>
      </c>
      <c r="P1467" t="s">
        <v>2635</v>
      </c>
      <c r="Q1467" t="s">
        <v>4548</v>
      </c>
      <c r="R1467" t="s">
        <v>4721</v>
      </c>
      <c r="S1467" t="s">
        <v>4718</v>
      </c>
      <c r="T1467">
        <f t="shared" si="134"/>
        <v>5</v>
      </c>
      <c r="U1467" s="21">
        <f t="shared" si="148"/>
        <v>44999</v>
      </c>
    </row>
    <row r="1468" spans="1:21" x14ac:dyDescent="0.35">
      <c r="A1468" t="s">
        <v>236</v>
      </c>
      <c r="B1468" t="s">
        <v>237</v>
      </c>
      <c r="C1468" t="s">
        <v>30</v>
      </c>
      <c r="D1468" t="s">
        <v>205</v>
      </c>
      <c r="E1468" s="1">
        <v>67.175999999999902</v>
      </c>
      <c r="F1468" t="s">
        <v>206</v>
      </c>
      <c r="G1468">
        <v>80</v>
      </c>
      <c r="H1468" s="1">
        <v>53.740799999999922</v>
      </c>
      <c r="I1468" s="21">
        <v>44629</v>
      </c>
      <c r="J1468" s="21">
        <v>44633</v>
      </c>
      <c r="K1468" s="21">
        <f t="shared" si="147"/>
        <v>44633</v>
      </c>
      <c r="L1468" t="s">
        <v>238</v>
      </c>
      <c r="M1468" t="s">
        <v>54</v>
      </c>
      <c r="N1468" t="s">
        <v>26</v>
      </c>
      <c r="O1468">
        <v>1</v>
      </c>
      <c r="P1468" t="s">
        <v>239</v>
      </c>
      <c r="Q1468" t="s">
        <v>4729</v>
      </c>
      <c r="R1468" t="s">
        <v>4712</v>
      </c>
      <c r="S1468" t="s">
        <v>4718</v>
      </c>
      <c r="T1468">
        <f t="shared" si="134"/>
        <v>4</v>
      </c>
      <c r="U1468" s="21">
        <f t="shared" si="148"/>
        <v>44998</v>
      </c>
    </row>
    <row r="1469" spans="1:21" x14ac:dyDescent="0.35">
      <c r="A1469" t="s">
        <v>232</v>
      </c>
      <c r="B1469" t="s">
        <v>233</v>
      </c>
      <c r="C1469" t="s">
        <v>30</v>
      </c>
      <c r="D1469" t="s">
        <v>205</v>
      </c>
      <c r="E1469" s="1">
        <v>1801.6320000000001</v>
      </c>
      <c r="F1469" t="s">
        <v>206</v>
      </c>
      <c r="G1469">
        <v>80</v>
      </c>
      <c r="H1469" s="1">
        <v>1441.3056000000001</v>
      </c>
      <c r="I1469" s="21">
        <v>44629</v>
      </c>
      <c r="J1469" s="21">
        <v>44631</v>
      </c>
      <c r="K1469" s="21">
        <f t="shared" si="147"/>
        <v>44631</v>
      </c>
      <c r="L1469" t="s">
        <v>234</v>
      </c>
      <c r="M1469" t="s">
        <v>25</v>
      </c>
      <c r="N1469" t="s">
        <v>26</v>
      </c>
      <c r="O1469">
        <v>1</v>
      </c>
      <c r="P1469" t="s">
        <v>235</v>
      </c>
      <c r="Q1469" t="s">
        <v>4729</v>
      </c>
      <c r="R1469" t="s">
        <v>4721</v>
      </c>
      <c r="S1469" t="s">
        <v>4717</v>
      </c>
      <c r="T1469">
        <f t="shared" si="134"/>
        <v>2</v>
      </c>
      <c r="U1469" s="21">
        <f t="shared" si="148"/>
        <v>44996</v>
      </c>
    </row>
    <row r="1470" spans="1:21" x14ac:dyDescent="0.35">
      <c r="A1470" t="s">
        <v>3662</v>
      </c>
      <c r="B1470" t="s">
        <v>3663</v>
      </c>
      <c r="C1470" t="s">
        <v>30</v>
      </c>
      <c r="D1470" t="s">
        <v>21</v>
      </c>
      <c r="E1470" s="1">
        <v>807.54</v>
      </c>
      <c r="F1470" t="s">
        <v>22</v>
      </c>
      <c r="G1470">
        <v>0</v>
      </c>
      <c r="H1470" s="1">
        <v>0</v>
      </c>
      <c r="I1470" s="21">
        <v>44263</v>
      </c>
      <c r="J1470" s="21">
        <v>44266</v>
      </c>
      <c r="K1470" s="21">
        <v>44266</v>
      </c>
      <c r="L1470" t="s">
        <v>24</v>
      </c>
      <c r="M1470" t="s">
        <v>33</v>
      </c>
      <c r="N1470" t="s">
        <v>34</v>
      </c>
      <c r="O1470">
        <v>1</v>
      </c>
      <c r="P1470" t="s">
        <v>1834</v>
      </c>
      <c r="Q1470" t="s">
        <v>4613</v>
      </c>
      <c r="R1470" t="s">
        <v>4713</v>
      </c>
      <c r="S1470" t="s">
        <v>4719</v>
      </c>
      <c r="T1470">
        <f t="shared" si="134"/>
        <v>3</v>
      </c>
      <c r="U1470" s="21">
        <f>J1470</f>
        <v>44266</v>
      </c>
    </row>
    <row r="1471" spans="1:21" x14ac:dyDescent="0.35">
      <c r="A1471" t="s">
        <v>1426</v>
      </c>
      <c r="B1471" t="s">
        <v>1427</v>
      </c>
      <c r="C1471" t="s">
        <v>19</v>
      </c>
      <c r="D1471" t="s">
        <v>205</v>
      </c>
      <c r="E1471" s="1">
        <v>46.26</v>
      </c>
      <c r="F1471" t="s">
        <v>206</v>
      </c>
      <c r="G1471">
        <v>80</v>
      </c>
      <c r="H1471" s="1">
        <v>37.008000000000003</v>
      </c>
      <c r="I1471" s="21">
        <v>44626</v>
      </c>
      <c r="J1471" s="21">
        <v>44631</v>
      </c>
      <c r="K1471" s="21">
        <f t="shared" ref="K1471:K1476" si="149">J1471</f>
        <v>44631</v>
      </c>
      <c r="L1471" t="s">
        <v>238</v>
      </c>
      <c r="M1471" t="s">
        <v>67</v>
      </c>
      <c r="N1471" t="s">
        <v>68</v>
      </c>
      <c r="O1471">
        <v>1</v>
      </c>
      <c r="P1471" t="s">
        <v>1038</v>
      </c>
      <c r="Q1471" t="s">
        <v>4608</v>
      </c>
      <c r="R1471" t="s">
        <v>4709</v>
      </c>
      <c r="S1471" t="s">
        <v>4717</v>
      </c>
      <c r="T1471">
        <f t="shared" si="134"/>
        <v>5</v>
      </c>
      <c r="U1471" s="21">
        <f t="shared" ref="U1471:U1476" si="150">J1471+365</f>
        <v>44996</v>
      </c>
    </row>
    <row r="1472" spans="1:21" x14ac:dyDescent="0.35">
      <c r="A1472" t="s">
        <v>2630</v>
      </c>
      <c r="B1472" t="s">
        <v>2631</v>
      </c>
      <c r="C1472" t="s">
        <v>19</v>
      </c>
      <c r="D1472" t="s">
        <v>212</v>
      </c>
      <c r="E1472" s="1">
        <v>204.6</v>
      </c>
      <c r="F1472" t="s">
        <v>206</v>
      </c>
      <c r="G1472">
        <v>100</v>
      </c>
      <c r="H1472" s="1">
        <v>204.6</v>
      </c>
      <c r="I1472" s="21">
        <v>44626</v>
      </c>
      <c r="J1472" s="21">
        <v>44630</v>
      </c>
      <c r="K1472" s="21">
        <f t="shared" si="149"/>
        <v>44630</v>
      </c>
      <c r="L1472" t="s">
        <v>220</v>
      </c>
      <c r="M1472" t="s">
        <v>97</v>
      </c>
      <c r="N1472" t="s">
        <v>68</v>
      </c>
      <c r="O1472">
        <v>1</v>
      </c>
      <c r="P1472" t="s">
        <v>2632</v>
      </c>
      <c r="Q1472" t="s">
        <v>4651</v>
      </c>
      <c r="R1472" t="s">
        <v>4725</v>
      </c>
      <c r="S1472" t="s">
        <v>4718</v>
      </c>
      <c r="T1472">
        <f t="shared" si="134"/>
        <v>4</v>
      </c>
      <c r="U1472" s="21">
        <f t="shared" si="150"/>
        <v>44995</v>
      </c>
    </row>
    <row r="1473" spans="1:21" x14ac:dyDescent="0.35">
      <c r="A1473" t="s">
        <v>1423</v>
      </c>
      <c r="B1473" t="s">
        <v>1424</v>
      </c>
      <c r="C1473" t="s">
        <v>30</v>
      </c>
      <c r="D1473" t="s">
        <v>205</v>
      </c>
      <c r="E1473" s="1">
        <v>603.91999999999996</v>
      </c>
      <c r="F1473" t="s">
        <v>206</v>
      </c>
      <c r="G1473">
        <v>80</v>
      </c>
      <c r="H1473" s="1">
        <v>483.13599999999997</v>
      </c>
      <c r="I1473" s="21">
        <v>44623</v>
      </c>
      <c r="J1473" s="21">
        <v>44627</v>
      </c>
      <c r="K1473" s="21">
        <f t="shared" si="149"/>
        <v>44627</v>
      </c>
      <c r="L1473" t="s">
        <v>220</v>
      </c>
      <c r="M1473" t="s">
        <v>82</v>
      </c>
      <c r="N1473" t="s">
        <v>47</v>
      </c>
      <c r="O1473">
        <v>1</v>
      </c>
      <c r="P1473" t="s">
        <v>1425</v>
      </c>
      <c r="Q1473" t="s">
        <v>4629</v>
      </c>
      <c r="R1473" t="s">
        <v>4714</v>
      </c>
      <c r="S1473" t="s">
        <v>4718</v>
      </c>
      <c r="T1473">
        <f t="shared" si="134"/>
        <v>4</v>
      </c>
      <c r="U1473" s="21">
        <f t="shared" si="150"/>
        <v>44992</v>
      </c>
    </row>
    <row r="1474" spans="1:21" x14ac:dyDescent="0.35">
      <c r="A1474" t="s">
        <v>1418</v>
      </c>
      <c r="B1474" t="s">
        <v>1419</v>
      </c>
      <c r="C1474" t="s">
        <v>19</v>
      </c>
      <c r="D1474" t="s">
        <v>205</v>
      </c>
      <c r="E1474" s="1">
        <v>21.184000000000001</v>
      </c>
      <c r="F1474" t="s">
        <v>206</v>
      </c>
      <c r="G1474">
        <v>80</v>
      </c>
      <c r="H1474" s="1">
        <v>16.947200000000002</v>
      </c>
      <c r="I1474" s="21">
        <v>44622</v>
      </c>
      <c r="J1474" s="21">
        <v>44623</v>
      </c>
      <c r="K1474" s="21">
        <f t="shared" si="149"/>
        <v>44623</v>
      </c>
      <c r="L1474" t="s">
        <v>220</v>
      </c>
      <c r="M1474" t="s">
        <v>82</v>
      </c>
      <c r="N1474" t="s">
        <v>47</v>
      </c>
      <c r="O1474">
        <v>1</v>
      </c>
      <c r="P1474" t="s">
        <v>1420</v>
      </c>
      <c r="Q1474" t="s">
        <v>4603</v>
      </c>
      <c r="R1474" t="s">
        <v>4721</v>
      </c>
      <c r="S1474" t="s">
        <v>4717</v>
      </c>
      <c r="T1474">
        <f t="shared" ref="T1474:T1537" si="151">J1474-I1474</f>
        <v>1</v>
      </c>
      <c r="U1474" s="21">
        <f t="shared" si="150"/>
        <v>44988</v>
      </c>
    </row>
    <row r="1475" spans="1:21" x14ac:dyDescent="0.35">
      <c r="A1475" t="s">
        <v>1421</v>
      </c>
      <c r="B1475" t="s">
        <v>1422</v>
      </c>
      <c r="C1475" t="s">
        <v>30</v>
      </c>
      <c r="D1475" t="s">
        <v>212</v>
      </c>
      <c r="E1475" s="1">
        <v>3.1520000000000001</v>
      </c>
      <c r="F1475" t="s">
        <v>206</v>
      </c>
      <c r="G1475">
        <v>100</v>
      </c>
      <c r="H1475" s="1">
        <v>3.1520000000000001</v>
      </c>
      <c r="I1475" s="21">
        <v>44622</v>
      </c>
      <c r="J1475" s="21">
        <v>44626</v>
      </c>
      <c r="K1475" s="21">
        <f t="shared" si="149"/>
        <v>44626</v>
      </c>
      <c r="L1475" t="s">
        <v>207</v>
      </c>
      <c r="M1475" t="s">
        <v>97</v>
      </c>
      <c r="N1475" t="s">
        <v>68</v>
      </c>
      <c r="O1475">
        <v>1</v>
      </c>
      <c r="P1475" t="s">
        <v>533</v>
      </c>
      <c r="Q1475" t="s">
        <v>4574</v>
      </c>
      <c r="R1475" t="s">
        <v>4713</v>
      </c>
      <c r="S1475" t="s">
        <v>4719</v>
      </c>
      <c r="T1475">
        <f t="shared" si="151"/>
        <v>4</v>
      </c>
      <c r="U1475" s="21">
        <f t="shared" si="150"/>
        <v>44991</v>
      </c>
    </row>
    <row r="1476" spans="1:21" x14ac:dyDescent="0.35">
      <c r="A1476" t="s">
        <v>2627</v>
      </c>
      <c r="B1476" t="s">
        <v>2628</v>
      </c>
      <c r="C1476" t="s">
        <v>30</v>
      </c>
      <c r="D1476" t="s">
        <v>205</v>
      </c>
      <c r="E1476" s="1">
        <v>32.896000000000001</v>
      </c>
      <c r="F1476" t="s">
        <v>206</v>
      </c>
      <c r="G1476">
        <v>80</v>
      </c>
      <c r="H1476" s="1">
        <v>26.316800000000001</v>
      </c>
      <c r="I1476" s="21">
        <v>44622</v>
      </c>
      <c r="J1476" s="21">
        <v>44623</v>
      </c>
      <c r="K1476" s="21">
        <f t="shared" si="149"/>
        <v>44623</v>
      </c>
      <c r="L1476" t="s">
        <v>213</v>
      </c>
      <c r="M1476" t="s">
        <v>40</v>
      </c>
      <c r="N1476" t="s">
        <v>34</v>
      </c>
      <c r="O1476">
        <v>1</v>
      </c>
      <c r="P1476" t="s">
        <v>2629</v>
      </c>
      <c r="Q1476" t="s">
        <v>4729</v>
      </c>
      <c r="R1476" t="s">
        <v>4721</v>
      </c>
      <c r="S1476" t="s">
        <v>4717</v>
      </c>
      <c r="T1476">
        <f t="shared" si="151"/>
        <v>1</v>
      </c>
      <c r="U1476" s="21">
        <f t="shared" si="150"/>
        <v>44988</v>
      </c>
    </row>
    <row r="1477" spans="1:21" x14ac:dyDescent="0.35">
      <c r="A1477" t="s">
        <v>144</v>
      </c>
      <c r="B1477" t="s">
        <v>145</v>
      </c>
      <c r="C1477" t="s">
        <v>30</v>
      </c>
      <c r="D1477" t="s">
        <v>21</v>
      </c>
      <c r="E1477" s="1">
        <v>1283.3263999999999</v>
      </c>
      <c r="F1477" t="s">
        <v>22</v>
      </c>
      <c r="G1477">
        <v>0</v>
      </c>
      <c r="H1477" s="1">
        <v>0</v>
      </c>
      <c r="I1477" s="21">
        <v>44257</v>
      </c>
      <c r="J1477" s="21">
        <v>44260</v>
      </c>
      <c r="K1477" s="21">
        <v>44260</v>
      </c>
      <c r="L1477" t="s">
        <v>39</v>
      </c>
      <c r="M1477" t="s">
        <v>146</v>
      </c>
      <c r="N1477" t="s">
        <v>73</v>
      </c>
      <c r="O1477">
        <v>1</v>
      </c>
      <c r="P1477" t="s">
        <v>147</v>
      </c>
      <c r="Q1477" t="s">
        <v>4530</v>
      </c>
      <c r="R1477" t="s">
        <v>4726</v>
      </c>
      <c r="S1477" t="s">
        <v>4717</v>
      </c>
      <c r="T1477">
        <f t="shared" si="151"/>
        <v>3</v>
      </c>
      <c r="U1477" s="21">
        <f>J1477</f>
        <v>44260</v>
      </c>
    </row>
    <row r="1478" spans="1:21" x14ac:dyDescent="0.35">
      <c r="A1478" t="s">
        <v>3712</v>
      </c>
      <c r="B1478" t="s">
        <v>3713</v>
      </c>
      <c r="C1478" t="s">
        <v>19</v>
      </c>
      <c r="D1478" t="s">
        <v>205</v>
      </c>
      <c r="E1478" s="1">
        <v>5.97</v>
      </c>
      <c r="F1478" t="s">
        <v>206</v>
      </c>
      <c r="G1478">
        <v>80</v>
      </c>
      <c r="H1478" s="1">
        <v>4.7759999999999998</v>
      </c>
      <c r="I1478" s="21">
        <v>44620</v>
      </c>
      <c r="J1478" s="21">
        <v>44622</v>
      </c>
      <c r="K1478" s="21">
        <f>J1478</f>
        <v>44622</v>
      </c>
      <c r="L1478" t="s">
        <v>234</v>
      </c>
      <c r="M1478" t="s">
        <v>33</v>
      </c>
      <c r="N1478" t="s">
        <v>34</v>
      </c>
      <c r="O1478">
        <v>1</v>
      </c>
      <c r="P1478" t="s">
        <v>3714</v>
      </c>
      <c r="Q1478" t="s">
        <v>4517</v>
      </c>
      <c r="R1478" t="s">
        <v>4726</v>
      </c>
      <c r="S1478" t="s">
        <v>4717</v>
      </c>
      <c r="T1478">
        <f t="shared" si="151"/>
        <v>2</v>
      </c>
      <c r="U1478" s="21">
        <f>J1478+365</f>
        <v>44987</v>
      </c>
    </row>
    <row r="1479" spans="1:21" x14ac:dyDescent="0.35">
      <c r="A1479" t="s">
        <v>141</v>
      </c>
      <c r="B1479" t="s">
        <v>142</v>
      </c>
      <c r="C1479" t="s">
        <v>19</v>
      </c>
      <c r="D1479" t="s">
        <v>21</v>
      </c>
      <c r="E1479" s="1">
        <v>20.451000000000001</v>
      </c>
      <c r="F1479" t="s">
        <v>22</v>
      </c>
      <c r="G1479">
        <v>0</v>
      </c>
      <c r="H1479" s="1">
        <v>0</v>
      </c>
      <c r="I1479" s="21">
        <v>44255</v>
      </c>
      <c r="J1479" s="21">
        <v>44256</v>
      </c>
      <c r="K1479" s="21">
        <v>44256</v>
      </c>
      <c r="L1479" t="s">
        <v>53</v>
      </c>
      <c r="M1479" t="s">
        <v>54</v>
      </c>
      <c r="N1479" t="s">
        <v>26</v>
      </c>
      <c r="O1479">
        <v>1</v>
      </c>
      <c r="P1479" t="s">
        <v>143</v>
      </c>
      <c r="Q1479" t="s">
        <v>4729</v>
      </c>
      <c r="R1479" t="s">
        <v>4726</v>
      </c>
      <c r="S1479" t="s">
        <v>4717</v>
      </c>
      <c r="T1479">
        <f t="shared" si="151"/>
        <v>1</v>
      </c>
      <c r="U1479" s="21">
        <f>J1479</f>
        <v>44256</v>
      </c>
    </row>
    <row r="1480" spans="1:21" x14ac:dyDescent="0.35">
      <c r="A1480" t="s">
        <v>1415</v>
      </c>
      <c r="B1480" t="s">
        <v>1416</v>
      </c>
      <c r="C1480" t="s">
        <v>30</v>
      </c>
      <c r="D1480" t="s">
        <v>205</v>
      </c>
      <c r="E1480" s="1">
        <v>300.53279999999899</v>
      </c>
      <c r="F1480" t="s">
        <v>206</v>
      </c>
      <c r="G1480">
        <v>80</v>
      </c>
      <c r="H1480" s="1">
        <v>240.42623999999921</v>
      </c>
      <c r="I1480" s="21">
        <v>44615</v>
      </c>
      <c r="J1480" s="21">
        <v>44617</v>
      </c>
      <c r="K1480" s="21">
        <f t="shared" ref="K1480:K1491" si="152">J1480</f>
        <v>44617</v>
      </c>
      <c r="L1480" t="s">
        <v>248</v>
      </c>
      <c r="M1480" t="s">
        <v>46</v>
      </c>
      <c r="N1480" t="s">
        <v>47</v>
      </c>
      <c r="O1480">
        <v>1</v>
      </c>
      <c r="P1480" t="s">
        <v>1417</v>
      </c>
      <c r="Q1480" t="s">
        <v>4606</v>
      </c>
      <c r="R1480" t="s">
        <v>4723</v>
      </c>
      <c r="S1480" t="s">
        <v>4718</v>
      </c>
      <c r="T1480">
        <f t="shared" si="151"/>
        <v>2</v>
      </c>
      <c r="U1480" s="21">
        <f t="shared" ref="U1480:U1491" si="153">J1480+365</f>
        <v>44982</v>
      </c>
    </row>
    <row r="1481" spans="1:21" x14ac:dyDescent="0.35">
      <c r="A1481" t="s">
        <v>1412</v>
      </c>
      <c r="B1481" t="s">
        <v>1413</v>
      </c>
      <c r="C1481" t="s">
        <v>19</v>
      </c>
      <c r="D1481" t="s">
        <v>205</v>
      </c>
      <c r="E1481" s="1">
        <v>211.96</v>
      </c>
      <c r="F1481" t="s">
        <v>206</v>
      </c>
      <c r="G1481">
        <v>80</v>
      </c>
      <c r="H1481" s="1">
        <v>169.56800000000001</v>
      </c>
      <c r="I1481" s="21">
        <v>44614</v>
      </c>
      <c r="J1481" s="21">
        <v>44620</v>
      </c>
      <c r="K1481" s="21">
        <f t="shared" si="152"/>
        <v>44620</v>
      </c>
      <c r="L1481" t="s">
        <v>238</v>
      </c>
      <c r="M1481" t="s">
        <v>82</v>
      </c>
      <c r="N1481" t="s">
        <v>47</v>
      </c>
      <c r="O1481">
        <v>1</v>
      </c>
      <c r="P1481" t="s">
        <v>1414</v>
      </c>
      <c r="Q1481" t="s">
        <v>4628</v>
      </c>
      <c r="R1481" t="s">
        <v>4709</v>
      </c>
      <c r="S1481" t="s">
        <v>4717</v>
      </c>
      <c r="T1481">
        <f t="shared" si="151"/>
        <v>6</v>
      </c>
      <c r="U1481" s="21">
        <f t="shared" si="153"/>
        <v>44985</v>
      </c>
    </row>
    <row r="1482" spans="1:21" x14ac:dyDescent="0.35">
      <c r="A1482" t="s">
        <v>228</v>
      </c>
      <c r="B1482" t="s">
        <v>229</v>
      </c>
      <c r="C1482" t="s">
        <v>19</v>
      </c>
      <c r="D1482" t="s">
        <v>205</v>
      </c>
      <c r="E1482" s="1">
        <v>20.231999999999999</v>
      </c>
      <c r="F1482" t="s">
        <v>206</v>
      </c>
      <c r="G1482">
        <v>80</v>
      </c>
      <c r="H1482" s="1">
        <v>16.185600000000001</v>
      </c>
      <c r="I1482" s="21">
        <v>44614</v>
      </c>
      <c r="J1482" s="21">
        <v>44616</v>
      </c>
      <c r="K1482" s="21">
        <f t="shared" si="152"/>
        <v>44616</v>
      </c>
      <c r="L1482" t="s">
        <v>220</v>
      </c>
      <c r="M1482" t="s">
        <v>82</v>
      </c>
      <c r="N1482" t="s">
        <v>47</v>
      </c>
      <c r="O1482">
        <v>1</v>
      </c>
      <c r="P1482" t="s">
        <v>231</v>
      </c>
      <c r="Q1482" t="s">
        <v>4729</v>
      </c>
      <c r="R1482" t="s">
        <v>4726</v>
      </c>
      <c r="S1482" t="s">
        <v>4717</v>
      </c>
      <c r="T1482">
        <f t="shared" si="151"/>
        <v>2</v>
      </c>
      <c r="U1482" s="21">
        <f t="shared" si="153"/>
        <v>44981</v>
      </c>
    </row>
    <row r="1483" spans="1:21" x14ac:dyDescent="0.35">
      <c r="A1483" t="s">
        <v>2625</v>
      </c>
      <c r="B1483" t="s">
        <v>2626</v>
      </c>
      <c r="C1483" t="s">
        <v>30</v>
      </c>
      <c r="D1483" t="s">
        <v>205</v>
      </c>
      <c r="E1483" s="1">
        <v>43.92</v>
      </c>
      <c r="F1483" t="s">
        <v>206</v>
      </c>
      <c r="G1483">
        <v>80</v>
      </c>
      <c r="H1483" s="1">
        <v>35.136000000000003</v>
      </c>
      <c r="I1483" s="21">
        <v>44613</v>
      </c>
      <c r="J1483" s="21">
        <v>44618</v>
      </c>
      <c r="K1483" s="21">
        <f t="shared" si="152"/>
        <v>44618</v>
      </c>
      <c r="L1483" t="s">
        <v>238</v>
      </c>
      <c r="M1483" t="s">
        <v>97</v>
      </c>
      <c r="N1483" t="s">
        <v>68</v>
      </c>
      <c r="O1483">
        <v>1</v>
      </c>
      <c r="P1483" t="s">
        <v>1874</v>
      </c>
      <c r="Q1483" t="s">
        <v>4729</v>
      </c>
      <c r="R1483" t="s">
        <v>4726</v>
      </c>
      <c r="S1483" t="s">
        <v>4717</v>
      </c>
      <c r="T1483">
        <f t="shared" si="151"/>
        <v>5</v>
      </c>
      <c r="U1483" s="21">
        <f t="shared" si="153"/>
        <v>44983</v>
      </c>
    </row>
    <row r="1484" spans="1:21" x14ac:dyDescent="0.35">
      <c r="A1484" t="s">
        <v>2622</v>
      </c>
      <c r="B1484" t="s">
        <v>2623</v>
      </c>
      <c r="C1484" t="s">
        <v>19</v>
      </c>
      <c r="D1484" t="s">
        <v>205</v>
      </c>
      <c r="E1484" s="1">
        <v>4.6239999999999997</v>
      </c>
      <c r="F1484" t="s">
        <v>206</v>
      </c>
      <c r="G1484">
        <v>80</v>
      </c>
      <c r="H1484" s="1">
        <v>3.6991999999999998</v>
      </c>
      <c r="I1484" s="21">
        <v>44613</v>
      </c>
      <c r="J1484" s="21">
        <v>44616</v>
      </c>
      <c r="K1484" s="21">
        <f t="shared" si="152"/>
        <v>44616</v>
      </c>
      <c r="L1484" t="s">
        <v>220</v>
      </c>
      <c r="M1484" t="s">
        <v>82</v>
      </c>
      <c r="N1484" t="s">
        <v>47</v>
      </c>
      <c r="O1484">
        <v>1</v>
      </c>
      <c r="P1484" t="s">
        <v>2624</v>
      </c>
      <c r="Q1484" t="s">
        <v>4519</v>
      </c>
      <c r="R1484" t="s">
        <v>4726</v>
      </c>
      <c r="S1484" t="s">
        <v>4717</v>
      </c>
      <c r="T1484">
        <f t="shared" si="151"/>
        <v>3</v>
      </c>
      <c r="U1484" s="21">
        <f t="shared" si="153"/>
        <v>44981</v>
      </c>
    </row>
    <row r="1485" spans="1:21" x14ac:dyDescent="0.35">
      <c r="A1485" t="s">
        <v>225</v>
      </c>
      <c r="B1485" t="s">
        <v>226</v>
      </c>
      <c r="C1485" t="s">
        <v>19</v>
      </c>
      <c r="D1485" t="s">
        <v>212</v>
      </c>
      <c r="E1485" s="1">
        <v>38.256</v>
      </c>
      <c r="F1485" t="s">
        <v>206</v>
      </c>
      <c r="G1485">
        <v>100</v>
      </c>
      <c r="H1485" s="1">
        <v>38.256</v>
      </c>
      <c r="I1485" s="21">
        <v>44611</v>
      </c>
      <c r="J1485" s="21">
        <v>44615</v>
      </c>
      <c r="K1485" s="21">
        <f t="shared" si="152"/>
        <v>44615</v>
      </c>
      <c r="L1485" t="s">
        <v>207</v>
      </c>
      <c r="M1485" t="s">
        <v>40</v>
      </c>
      <c r="N1485" t="s">
        <v>34</v>
      </c>
      <c r="O1485">
        <v>1</v>
      </c>
      <c r="P1485" t="s">
        <v>227</v>
      </c>
      <c r="Q1485" t="s">
        <v>4531</v>
      </c>
      <c r="R1485" t="s">
        <v>4726</v>
      </c>
      <c r="S1485" t="s">
        <v>4717</v>
      </c>
      <c r="T1485">
        <f t="shared" si="151"/>
        <v>4</v>
      </c>
      <c r="U1485" s="21">
        <f t="shared" si="153"/>
        <v>44980</v>
      </c>
    </row>
    <row r="1486" spans="1:21" x14ac:dyDescent="0.35">
      <c r="A1486" t="s">
        <v>2619</v>
      </c>
      <c r="B1486" t="s">
        <v>2620</v>
      </c>
      <c r="C1486" t="s">
        <v>19</v>
      </c>
      <c r="D1486" t="s">
        <v>212</v>
      </c>
      <c r="E1486" s="1">
        <v>57.4</v>
      </c>
      <c r="F1486" t="s">
        <v>206</v>
      </c>
      <c r="G1486">
        <v>100</v>
      </c>
      <c r="H1486" s="1">
        <v>57.4</v>
      </c>
      <c r="I1486" s="21">
        <v>44609</v>
      </c>
      <c r="J1486" s="21">
        <v>44613</v>
      </c>
      <c r="K1486" s="21">
        <f t="shared" si="152"/>
        <v>44613</v>
      </c>
      <c r="L1486" t="s">
        <v>234</v>
      </c>
      <c r="M1486" t="s">
        <v>82</v>
      </c>
      <c r="N1486" t="s">
        <v>47</v>
      </c>
      <c r="O1486">
        <v>1</v>
      </c>
      <c r="P1486" t="s">
        <v>2621</v>
      </c>
      <c r="Q1486" t="s">
        <v>4538</v>
      </c>
      <c r="R1486" t="s">
        <v>4713</v>
      </c>
      <c r="S1486" t="s">
        <v>4719</v>
      </c>
      <c r="T1486">
        <f t="shared" si="151"/>
        <v>4</v>
      </c>
      <c r="U1486" s="21">
        <f t="shared" si="153"/>
        <v>44978</v>
      </c>
    </row>
    <row r="1487" spans="1:21" x14ac:dyDescent="0.35">
      <c r="A1487" t="s">
        <v>2617</v>
      </c>
      <c r="B1487" t="s">
        <v>2618</v>
      </c>
      <c r="C1487" t="s">
        <v>19</v>
      </c>
      <c r="D1487" t="s">
        <v>205</v>
      </c>
      <c r="E1487" s="1">
        <v>357.93</v>
      </c>
      <c r="F1487" t="s">
        <v>206</v>
      </c>
      <c r="G1487">
        <v>80</v>
      </c>
      <c r="H1487" s="1">
        <v>286.34399999999999</v>
      </c>
      <c r="I1487" s="21">
        <v>44603</v>
      </c>
      <c r="J1487" s="21">
        <v>44607</v>
      </c>
      <c r="K1487" s="21">
        <f t="shared" si="152"/>
        <v>44607</v>
      </c>
      <c r="L1487" t="s">
        <v>238</v>
      </c>
      <c r="M1487" t="s">
        <v>33</v>
      </c>
      <c r="N1487" t="s">
        <v>34</v>
      </c>
      <c r="O1487">
        <v>1</v>
      </c>
      <c r="P1487" t="s">
        <v>1920</v>
      </c>
      <c r="Q1487" t="s">
        <v>4642</v>
      </c>
      <c r="R1487" t="s">
        <v>4726</v>
      </c>
      <c r="S1487" t="s">
        <v>4717</v>
      </c>
      <c r="T1487">
        <f t="shared" si="151"/>
        <v>4</v>
      </c>
      <c r="U1487" s="21">
        <f t="shared" si="153"/>
        <v>44972</v>
      </c>
    </row>
    <row r="1488" spans="1:21" x14ac:dyDescent="0.35">
      <c r="A1488" t="s">
        <v>2611</v>
      </c>
      <c r="B1488" t="s">
        <v>2612</v>
      </c>
      <c r="C1488" t="s">
        <v>19</v>
      </c>
      <c r="D1488" t="s">
        <v>205</v>
      </c>
      <c r="E1488" s="1">
        <v>11.07</v>
      </c>
      <c r="F1488" t="s">
        <v>206</v>
      </c>
      <c r="G1488">
        <v>80</v>
      </c>
      <c r="H1488" s="1">
        <v>8.8559999999999999</v>
      </c>
      <c r="I1488" s="21">
        <v>44602</v>
      </c>
      <c r="J1488" s="21">
        <v>44609</v>
      </c>
      <c r="K1488" s="21">
        <f t="shared" si="152"/>
        <v>44609</v>
      </c>
      <c r="L1488" t="s">
        <v>213</v>
      </c>
      <c r="M1488" t="s">
        <v>97</v>
      </c>
      <c r="N1488" t="s">
        <v>68</v>
      </c>
      <c r="O1488">
        <v>1</v>
      </c>
      <c r="P1488" t="s">
        <v>2613</v>
      </c>
      <c r="Q1488" t="s">
        <v>4729</v>
      </c>
      <c r="R1488" t="s">
        <v>4512</v>
      </c>
      <c r="S1488" t="s">
        <v>4717</v>
      </c>
      <c r="T1488">
        <f t="shared" si="151"/>
        <v>7</v>
      </c>
      <c r="U1488" s="21">
        <f t="shared" si="153"/>
        <v>44974</v>
      </c>
    </row>
    <row r="1489" spans="1:21" x14ac:dyDescent="0.35">
      <c r="A1489" t="s">
        <v>3710</v>
      </c>
      <c r="B1489" t="s">
        <v>3711</v>
      </c>
      <c r="C1489" t="s">
        <v>30</v>
      </c>
      <c r="D1489" t="s">
        <v>212</v>
      </c>
      <c r="E1489" s="1">
        <v>449.15</v>
      </c>
      <c r="F1489" t="s">
        <v>206</v>
      </c>
      <c r="G1489">
        <v>100</v>
      </c>
      <c r="H1489" s="1">
        <v>449.15</v>
      </c>
      <c r="I1489" s="21">
        <v>44602</v>
      </c>
      <c r="J1489" s="21">
        <v>44606</v>
      </c>
      <c r="K1489" s="21">
        <f t="shared" si="152"/>
        <v>44606</v>
      </c>
      <c r="L1489" t="s">
        <v>248</v>
      </c>
      <c r="M1489" t="s">
        <v>33</v>
      </c>
      <c r="N1489" t="s">
        <v>34</v>
      </c>
      <c r="O1489">
        <v>1</v>
      </c>
      <c r="P1489" t="s">
        <v>2186</v>
      </c>
      <c r="Q1489" t="s">
        <v>4560</v>
      </c>
      <c r="R1489" t="s">
        <v>4709</v>
      </c>
      <c r="S1489" t="s">
        <v>4717</v>
      </c>
      <c r="T1489">
        <f t="shared" si="151"/>
        <v>4</v>
      </c>
      <c r="U1489" s="21">
        <f t="shared" si="153"/>
        <v>44971</v>
      </c>
    </row>
    <row r="1490" spans="1:21" x14ac:dyDescent="0.35">
      <c r="A1490" t="s">
        <v>2614</v>
      </c>
      <c r="B1490" t="s">
        <v>2615</v>
      </c>
      <c r="C1490" t="s">
        <v>19</v>
      </c>
      <c r="D1490" t="s">
        <v>205</v>
      </c>
      <c r="E1490" s="1">
        <v>5.46</v>
      </c>
      <c r="F1490" t="s">
        <v>206</v>
      </c>
      <c r="G1490">
        <v>80</v>
      </c>
      <c r="H1490" s="1">
        <v>4.3680000000000003</v>
      </c>
      <c r="I1490" s="21">
        <v>44602</v>
      </c>
      <c r="J1490" s="21">
        <v>44606</v>
      </c>
      <c r="K1490" s="21">
        <f t="shared" si="152"/>
        <v>44606</v>
      </c>
      <c r="L1490" t="s">
        <v>238</v>
      </c>
      <c r="M1490" t="s">
        <v>33</v>
      </c>
      <c r="N1490" t="s">
        <v>34</v>
      </c>
      <c r="O1490">
        <v>1</v>
      </c>
      <c r="P1490" t="s">
        <v>2616</v>
      </c>
      <c r="Q1490" t="s">
        <v>4520</v>
      </c>
      <c r="R1490" t="s">
        <v>4726</v>
      </c>
      <c r="S1490" t="s">
        <v>4717</v>
      </c>
      <c r="T1490">
        <f t="shared" si="151"/>
        <v>4</v>
      </c>
      <c r="U1490" s="21">
        <f t="shared" si="153"/>
        <v>44971</v>
      </c>
    </row>
    <row r="1491" spans="1:21" x14ac:dyDescent="0.35">
      <c r="A1491" t="s">
        <v>222</v>
      </c>
      <c r="B1491" t="s">
        <v>223</v>
      </c>
      <c r="C1491" t="s">
        <v>19</v>
      </c>
      <c r="D1491" t="s">
        <v>212</v>
      </c>
      <c r="E1491" s="1">
        <v>340.11599999999999</v>
      </c>
      <c r="F1491" t="s">
        <v>206</v>
      </c>
      <c r="G1491">
        <v>100</v>
      </c>
      <c r="H1491" s="1">
        <v>340.11599999999999</v>
      </c>
      <c r="I1491" s="21">
        <v>44601</v>
      </c>
      <c r="J1491" s="21">
        <v>44606</v>
      </c>
      <c r="K1491" s="21">
        <f t="shared" si="152"/>
        <v>44606</v>
      </c>
      <c r="L1491" t="s">
        <v>207</v>
      </c>
      <c r="M1491" t="s">
        <v>72</v>
      </c>
      <c r="N1491" t="s">
        <v>73</v>
      </c>
      <c r="O1491">
        <v>1</v>
      </c>
      <c r="P1491" t="s">
        <v>224</v>
      </c>
      <c r="Q1491" t="s">
        <v>4539</v>
      </c>
      <c r="R1491" t="s">
        <v>4714</v>
      </c>
      <c r="S1491" t="s">
        <v>4718</v>
      </c>
      <c r="T1491">
        <f t="shared" si="151"/>
        <v>5</v>
      </c>
      <c r="U1491" s="21">
        <f t="shared" si="153"/>
        <v>44971</v>
      </c>
    </row>
    <row r="1492" spans="1:21" x14ac:dyDescent="0.35">
      <c r="A1492" t="s">
        <v>3660</v>
      </c>
      <c r="B1492" t="s">
        <v>3661</v>
      </c>
      <c r="C1492" t="s">
        <v>30</v>
      </c>
      <c r="D1492" t="s">
        <v>21</v>
      </c>
      <c r="E1492" s="1">
        <v>21.11</v>
      </c>
      <c r="F1492" t="s">
        <v>22</v>
      </c>
      <c r="G1492">
        <v>0</v>
      </c>
      <c r="H1492" s="1">
        <v>0</v>
      </c>
      <c r="I1492" s="21">
        <v>44236</v>
      </c>
      <c r="J1492" s="21">
        <v>44239</v>
      </c>
      <c r="K1492" s="21">
        <v>44239</v>
      </c>
      <c r="L1492" t="s">
        <v>53</v>
      </c>
      <c r="M1492" t="s">
        <v>97</v>
      </c>
      <c r="N1492" t="s">
        <v>68</v>
      </c>
      <c r="O1492">
        <v>1</v>
      </c>
      <c r="P1492" t="s">
        <v>2988</v>
      </c>
      <c r="Q1492" t="s">
        <v>4729</v>
      </c>
      <c r="R1492" t="s">
        <v>4726</v>
      </c>
      <c r="S1492" t="s">
        <v>4717</v>
      </c>
      <c r="T1492">
        <f t="shared" si="151"/>
        <v>3</v>
      </c>
      <c r="U1492" s="21">
        <f>J1492</f>
        <v>44239</v>
      </c>
    </row>
    <row r="1493" spans="1:21" x14ac:dyDescent="0.35">
      <c r="A1493" t="s">
        <v>3707</v>
      </c>
      <c r="B1493" t="s">
        <v>3708</v>
      </c>
      <c r="C1493" t="s">
        <v>19</v>
      </c>
      <c r="D1493" t="s">
        <v>212</v>
      </c>
      <c r="E1493" s="1">
        <v>79.400000000000006</v>
      </c>
      <c r="F1493" t="s">
        <v>206</v>
      </c>
      <c r="G1493">
        <v>100</v>
      </c>
      <c r="H1493" s="1">
        <v>79.400000000000006</v>
      </c>
      <c r="I1493" s="21">
        <v>44599</v>
      </c>
      <c r="J1493" s="21">
        <v>44606</v>
      </c>
      <c r="K1493" s="21">
        <f>J1493</f>
        <v>44606</v>
      </c>
      <c r="L1493" t="s">
        <v>207</v>
      </c>
      <c r="M1493" t="s">
        <v>67</v>
      </c>
      <c r="N1493" t="s">
        <v>68</v>
      </c>
      <c r="O1493">
        <v>1</v>
      </c>
      <c r="P1493" t="s">
        <v>3709</v>
      </c>
      <c r="Q1493" t="s">
        <v>4533</v>
      </c>
      <c r="R1493" t="s">
        <v>4721</v>
      </c>
      <c r="S1493" t="s">
        <v>4717</v>
      </c>
      <c r="T1493">
        <f t="shared" si="151"/>
        <v>7</v>
      </c>
      <c r="U1493" s="21">
        <f>J1493+365</f>
        <v>44971</v>
      </c>
    </row>
    <row r="1494" spans="1:21" x14ac:dyDescent="0.35">
      <c r="A1494" t="s">
        <v>2530</v>
      </c>
      <c r="B1494" t="s">
        <v>2531</v>
      </c>
      <c r="C1494" t="s">
        <v>19</v>
      </c>
      <c r="D1494" t="s">
        <v>21</v>
      </c>
      <c r="E1494" s="1">
        <v>176.63</v>
      </c>
      <c r="F1494" t="s">
        <v>22</v>
      </c>
      <c r="G1494">
        <v>0</v>
      </c>
      <c r="H1494" s="1">
        <v>0</v>
      </c>
      <c r="I1494" s="21">
        <v>44234</v>
      </c>
      <c r="J1494" s="21">
        <v>44236</v>
      </c>
      <c r="K1494" s="21">
        <v>44236</v>
      </c>
      <c r="L1494" t="s">
        <v>63</v>
      </c>
      <c r="M1494" t="s">
        <v>67</v>
      </c>
      <c r="N1494" t="s">
        <v>68</v>
      </c>
      <c r="O1494">
        <v>1</v>
      </c>
      <c r="P1494" t="s">
        <v>2532</v>
      </c>
      <c r="Q1494" t="s">
        <v>4729</v>
      </c>
      <c r="R1494" t="s">
        <v>4721</v>
      </c>
      <c r="S1494" t="s">
        <v>4717</v>
      </c>
      <c r="T1494">
        <f t="shared" si="151"/>
        <v>2</v>
      </c>
      <c r="U1494" s="21">
        <f>J1494</f>
        <v>44236</v>
      </c>
    </row>
    <row r="1495" spans="1:21" x14ac:dyDescent="0.35">
      <c r="A1495" t="s">
        <v>218</v>
      </c>
      <c r="B1495" t="s">
        <v>219</v>
      </c>
      <c r="C1495" t="s">
        <v>30</v>
      </c>
      <c r="D1495" t="s">
        <v>205</v>
      </c>
      <c r="E1495" s="1">
        <v>13.16</v>
      </c>
      <c r="F1495" t="s">
        <v>206</v>
      </c>
      <c r="G1495">
        <v>80</v>
      </c>
      <c r="H1495" s="1">
        <v>10.528</v>
      </c>
      <c r="I1495" s="21">
        <v>44596</v>
      </c>
      <c r="J1495" s="21">
        <v>44600</v>
      </c>
      <c r="K1495" s="21">
        <f t="shared" ref="K1495:K1496" si="154">J1495</f>
        <v>44600</v>
      </c>
      <c r="L1495" t="s">
        <v>220</v>
      </c>
      <c r="M1495" t="s">
        <v>67</v>
      </c>
      <c r="N1495" t="s">
        <v>68</v>
      </c>
      <c r="O1495">
        <v>1</v>
      </c>
      <c r="P1495" t="s">
        <v>221</v>
      </c>
      <c r="Q1495" t="s">
        <v>4526</v>
      </c>
      <c r="R1495" t="s">
        <v>4726</v>
      </c>
      <c r="S1495" t="s">
        <v>4717</v>
      </c>
      <c r="T1495">
        <f t="shared" si="151"/>
        <v>4</v>
      </c>
      <c r="U1495" s="21">
        <f t="shared" ref="U1495:U1496" si="155">J1495+365</f>
        <v>44965</v>
      </c>
    </row>
    <row r="1496" spans="1:21" x14ac:dyDescent="0.35">
      <c r="A1496" t="s">
        <v>2609</v>
      </c>
      <c r="B1496" t="s">
        <v>2610</v>
      </c>
      <c r="C1496" t="s">
        <v>30</v>
      </c>
      <c r="D1496" t="s">
        <v>212</v>
      </c>
      <c r="E1496" s="1">
        <v>103.6</v>
      </c>
      <c r="F1496" t="s">
        <v>206</v>
      </c>
      <c r="G1496">
        <v>100</v>
      </c>
      <c r="H1496" s="1">
        <v>103.6</v>
      </c>
      <c r="I1496" s="21">
        <v>44596</v>
      </c>
      <c r="J1496" s="21">
        <v>44600</v>
      </c>
      <c r="K1496" s="21">
        <f t="shared" si="154"/>
        <v>44600</v>
      </c>
      <c r="L1496" t="s">
        <v>220</v>
      </c>
      <c r="M1496" t="s">
        <v>40</v>
      </c>
      <c r="N1496" t="s">
        <v>34</v>
      </c>
      <c r="O1496">
        <v>1</v>
      </c>
      <c r="P1496" t="s">
        <v>1507</v>
      </c>
      <c r="Q1496" t="s">
        <v>4729</v>
      </c>
      <c r="R1496" t="s">
        <v>4726</v>
      </c>
      <c r="S1496" t="s">
        <v>4717</v>
      </c>
      <c r="T1496">
        <f t="shared" si="151"/>
        <v>4</v>
      </c>
      <c r="U1496" s="21">
        <f t="shared" si="155"/>
        <v>44965</v>
      </c>
    </row>
    <row r="1497" spans="1:21" x14ac:dyDescent="0.35">
      <c r="A1497" t="s">
        <v>1360</v>
      </c>
      <c r="B1497" t="s">
        <v>1361</v>
      </c>
      <c r="C1497" t="s">
        <v>30</v>
      </c>
      <c r="D1497" t="s">
        <v>21</v>
      </c>
      <c r="E1497" s="1">
        <v>178.37</v>
      </c>
      <c r="F1497" t="s">
        <v>22</v>
      </c>
      <c r="G1497">
        <v>0</v>
      </c>
      <c r="H1497" s="1">
        <v>0</v>
      </c>
      <c r="I1497" s="21">
        <v>44231</v>
      </c>
      <c r="J1497" s="21">
        <v>44233</v>
      </c>
      <c r="K1497" s="21">
        <v>44233</v>
      </c>
      <c r="L1497" t="s">
        <v>63</v>
      </c>
      <c r="M1497" t="s">
        <v>97</v>
      </c>
      <c r="N1497" t="s">
        <v>68</v>
      </c>
      <c r="O1497">
        <v>1</v>
      </c>
      <c r="P1497" t="s">
        <v>1362</v>
      </c>
      <c r="Q1497" t="s">
        <v>4729</v>
      </c>
      <c r="R1497" t="s">
        <v>4721</v>
      </c>
      <c r="S1497" t="s">
        <v>4718</v>
      </c>
      <c r="T1497">
        <f t="shared" si="151"/>
        <v>2</v>
      </c>
      <c r="U1497" s="21">
        <f>J1497</f>
        <v>44233</v>
      </c>
    </row>
    <row r="1498" spans="1:21" x14ac:dyDescent="0.35">
      <c r="A1498" t="s">
        <v>2606</v>
      </c>
      <c r="B1498" t="s">
        <v>2607</v>
      </c>
      <c r="C1498" t="s">
        <v>19</v>
      </c>
      <c r="D1498" t="s">
        <v>205</v>
      </c>
      <c r="E1498" s="1">
        <v>63.923999999999999</v>
      </c>
      <c r="F1498" t="s">
        <v>206</v>
      </c>
      <c r="G1498">
        <v>80</v>
      </c>
      <c r="H1498" s="1">
        <v>51.139200000000002</v>
      </c>
      <c r="I1498" s="21">
        <v>44596</v>
      </c>
      <c r="J1498" s="21">
        <v>44597</v>
      </c>
      <c r="K1498" s="21">
        <f t="shared" ref="K1498:K1515" si="156">J1498</f>
        <v>44597</v>
      </c>
      <c r="L1498" t="s">
        <v>248</v>
      </c>
      <c r="M1498" t="s">
        <v>33</v>
      </c>
      <c r="N1498" t="s">
        <v>34</v>
      </c>
      <c r="O1498">
        <v>1</v>
      </c>
      <c r="P1498" t="s">
        <v>2608</v>
      </c>
      <c r="Q1498" t="s">
        <v>4648</v>
      </c>
      <c r="R1498" t="s">
        <v>4726</v>
      </c>
      <c r="S1498" t="s">
        <v>4717</v>
      </c>
      <c r="T1498">
        <f t="shared" si="151"/>
        <v>1</v>
      </c>
      <c r="U1498" s="21">
        <f t="shared" ref="U1498:U1515" si="157">J1498+365</f>
        <v>44962</v>
      </c>
    </row>
    <row r="1499" spans="1:21" x14ac:dyDescent="0.35">
      <c r="A1499" t="s">
        <v>3705</v>
      </c>
      <c r="B1499" t="s">
        <v>3706</v>
      </c>
      <c r="C1499" t="s">
        <v>19</v>
      </c>
      <c r="D1499" t="s">
        <v>212</v>
      </c>
      <c r="E1499" s="1">
        <v>182.11199999999999</v>
      </c>
      <c r="F1499" t="s">
        <v>206</v>
      </c>
      <c r="G1499">
        <v>100</v>
      </c>
      <c r="H1499" s="1">
        <v>182.11199999999999</v>
      </c>
      <c r="I1499" s="21">
        <v>44596</v>
      </c>
      <c r="J1499" s="21">
        <v>44598</v>
      </c>
      <c r="K1499" s="21">
        <f t="shared" si="156"/>
        <v>44598</v>
      </c>
      <c r="L1499" t="s">
        <v>238</v>
      </c>
      <c r="M1499" t="s">
        <v>40</v>
      </c>
      <c r="N1499" t="s">
        <v>34</v>
      </c>
      <c r="O1499">
        <v>1</v>
      </c>
      <c r="P1499" t="s">
        <v>2649</v>
      </c>
      <c r="Q1499" t="s">
        <v>4729</v>
      </c>
      <c r="R1499" t="s">
        <v>4726</v>
      </c>
      <c r="S1499" t="s">
        <v>4717</v>
      </c>
      <c r="T1499">
        <f t="shared" si="151"/>
        <v>2</v>
      </c>
      <c r="U1499" s="21">
        <f t="shared" si="157"/>
        <v>44963</v>
      </c>
    </row>
    <row r="1500" spans="1:21" x14ac:dyDescent="0.35">
      <c r="A1500" t="s">
        <v>1409</v>
      </c>
      <c r="B1500" t="s">
        <v>1410</v>
      </c>
      <c r="C1500" t="s">
        <v>30</v>
      </c>
      <c r="D1500" t="s">
        <v>205</v>
      </c>
      <c r="E1500" s="1">
        <v>56.65</v>
      </c>
      <c r="F1500" t="s">
        <v>206</v>
      </c>
      <c r="G1500">
        <v>80</v>
      </c>
      <c r="H1500" s="1">
        <v>45.32</v>
      </c>
      <c r="I1500" s="21">
        <v>44592</v>
      </c>
      <c r="J1500" s="21">
        <v>44597</v>
      </c>
      <c r="K1500" s="21">
        <f t="shared" si="156"/>
        <v>44597</v>
      </c>
      <c r="L1500" t="s">
        <v>220</v>
      </c>
      <c r="M1500" t="s">
        <v>33</v>
      </c>
      <c r="N1500" t="s">
        <v>34</v>
      </c>
      <c r="O1500">
        <v>1</v>
      </c>
      <c r="P1500" t="s">
        <v>1411</v>
      </c>
      <c r="Q1500" t="s">
        <v>4535</v>
      </c>
      <c r="R1500" t="s">
        <v>4727</v>
      </c>
      <c r="S1500" t="s">
        <v>4719</v>
      </c>
      <c r="T1500">
        <f t="shared" si="151"/>
        <v>5</v>
      </c>
      <c r="U1500" s="21">
        <f t="shared" si="157"/>
        <v>44962</v>
      </c>
    </row>
    <row r="1501" spans="1:21" x14ac:dyDescent="0.35">
      <c r="A1501" t="s">
        <v>2604</v>
      </c>
      <c r="B1501" t="s">
        <v>2605</v>
      </c>
      <c r="C1501" t="s">
        <v>30</v>
      </c>
      <c r="D1501" t="s">
        <v>205</v>
      </c>
      <c r="E1501" s="1">
        <v>429.9</v>
      </c>
      <c r="F1501" t="s">
        <v>206</v>
      </c>
      <c r="G1501">
        <v>80</v>
      </c>
      <c r="H1501" s="1">
        <v>343.92</v>
      </c>
      <c r="I1501" s="21">
        <v>44590</v>
      </c>
      <c r="J1501" s="21">
        <v>44593</v>
      </c>
      <c r="K1501" s="21">
        <f t="shared" si="156"/>
        <v>44593</v>
      </c>
      <c r="L1501" t="s">
        <v>207</v>
      </c>
      <c r="M1501" t="s">
        <v>54</v>
      </c>
      <c r="N1501" t="s">
        <v>26</v>
      </c>
      <c r="O1501">
        <v>1</v>
      </c>
      <c r="P1501" t="s">
        <v>1855</v>
      </c>
      <c r="Q1501" t="s">
        <v>4641</v>
      </c>
      <c r="R1501" t="s">
        <v>4712</v>
      </c>
      <c r="S1501" t="s">
        <v>4718</v>
      </c>
      <c r="T1501">
        <f t="shared" si="151"/>
        <v>3</v>
      </c>
      <c r="U1501" s="21">
        <f t="shared" si="157"/>
        <v>44958</v>
      </c>
    </row>
    <row r="1502" spans="1:21" x14ac:dyDescent="0.35">
      <c r="A1502" t="s">
        <v>1407</v>
      </c>
      <c r="B1502" t="s">
        <v>1408</v>
      </c>
      <c r="C1502" t="s">
        <v>30</v>
      </c>
      <c r="D1502" t="s">
        <v>205</v>
      </c>
      <c r="E1502" s="1">
        <v>209.97</v>
      </c>
      <c r="F1502" t="s">
        <v>206</v>
      </c>
      <c r="G1502">
        <v>80</v>
      </c>
      <c r="H1502" s="1">
        <v>167.976</v>
      </c>
      <c r="I1502" s="21">
        <v>44589</v>
      </c>
      <c r="J1502" s="21">
        <v>44591</v>
      </c>
      <c r="K1502" s="21">
        <f t="shared" si="156"/>
        <v>44591</v>
      </c>
      <c r="L1502" t="s">
        <v>238</v>
      </c>
      <c r="M1502" t="s">
        <v>33</v>
      </c>
      <c r="N1502" t="s">
        <v>34</v>
      </c>
      <c r="O1502">
        <v>1</v>
      </c>
      <c r="P1502" t="s">
        <v>87</v>
      </c>
      <c r="Q1502" t="s">
        <v>4522</v>
      </c>
      <c r="R1502" t="s">
        <v>4720</v>
      </c>
      <c r="S1502" t="s">
        <v>4719</v>
      </c>
      <c r="T1502">
        <f t="shared" si="151"/>
        <v>2</v>
      </c>
      <c r="U1502" s="21">
        <f t="shared" si="157"/>
        <v>44956</v>
      </c>
    </row>
    <row r="1503" spans="1:21" x14ac:dyDescent="0.35">
      <c r="A1503" t="s">
        <v>1404</v>
      </c>
      <c r="B1503" t="s">
        <v>1405</v>
      </c>
      <c r="C1503" t="s">
        <v>30</v>
      </c>
      <c r="D1503" t="s">
        <v>212</v>
      </c>
      <c r="E1503" s="1">
        <v>45</v>
      </c>
      <c r="F1503" t="s">
        <v>206</v>
      </c>
      <c r="G1503">
        <v>100</v>
      </c>
      <c r="H1503" s="1">
        <v>45</v>
      </c>
      <c r="I1503" s="21">
        <v>44588</v>
      </c>
      <c r="J1503" s="21">
        <v>44594</v>
      </c>
      <c r="K1503" s="21">
        <f t="shared" si="156"/>
        <v>44594</v>
      </c>
      <c r="L1503" t="s">
        <v>220</v>
      </c>
      <c r="M1503" t="s">
        <v>146</v>
      </c>
      <c r="N1503" t="s">
        <v>73</v>
      </c>
      <c r="O1503">
        <v>1</v>
      </c>
      <c r="P1503" t="s">
        <v>1406</v>
      </c>
      <c r="Q1503" t="s">
        <v>4518</v>
      </c>
      <c r="R1503" t="s">
        <v>4726</v>
      </c>
      <c r="S1503" t="s">
        <v>4717</v>
      </c>
      <c r="T1503">
        <f t="shared" si="151"/>
        <v>6</v>
      </c>
      <c r="U1503" s="21">
        <f t="shared" si="157"/>
        <v>44959</v>
      </c>
    </row>
    <row r="1504" spans="1:21" x14ac:dyDescent="0.35">
      <c r="A1504" t="s">
        <v>2601</v>
      </c>
      <c r="B1504" t="s">
        <v>2602</v>
      </c>
      <c r="C1504" t="s">
        <v>19</v>
      </c>
      <c r="D1504" t="s">
        <v>205</v>
      </c>
      <c r="E1504" s="1">
        <v>377.97</v>
      </c>
      <c r="F1504" t="s">
        <v>206</v>
      </c>
      <c r="G1504">
        <v>80</v>
      </c>
      <c r="H1504" s="1">
        <v>302.37600000000003</v>
      </c>
      <c r="I1504" s="21">
        <v>44586</v>
      </c>
      <c r="J1504" s="21">
        <v>44590</v>
      </c>
      <c r="K1504" s="21">
        <f t="shared" si="156"/>
        <v>44590</v>
      </c>
      <c r="L1504" t="s">
        <v>220</v>
      </c>
      <c r="M1504" t="s">
        <v>54</v>
      </c>
      <c r="N1504" t="s">
        <v>26</v>
      </c>
      <c r="O1504">
        <v>1</v>
      </c>
      <c r="P1504" t="s">
        <v>2603</v>
      </c>
      <c r="Q1504" t="s">
        <v>4561</v>
      </c>
      <c r="R1504" t="s">
        <v>4711</v>
      </c>
      <c r="S1504" t="s">
        <v>4719</v>
      </c>
      <c r="T1504">
        <f t="shared" si="151"/>
        <v>4</v>
      </c>
      <c r="U1504" s="21">
        <f t="shared" si="157"/>
        <v>44955</v>
      </c>
    </row>
    <row r="1505" spans="1:21" x14ac:dyDescent="0.35">
      <c r="A1505" t="s">
        <v>1402</v>
      </c>
      <c r="B1505" t="s">
        <v>1403</v>
      </c>
      <c r="C1505" t="s">
        <v>30</v>
      </c>
      <c r="D1505" t="s">
        <v>212</v>
      </c>
      <c r="E1505" s="1">
        <v>10.68</v>
      </c>
      <c r="F1505" t="s">
        <v>206</v>
      </c>
      <c r="G1505">
        <v>100</v>
      </c>
      <c r="H1505" s="1">
        <v>10.68</v>
      </c>
      <c r="I1505" s="21">
        <v>44579</v>
      </c>
      <c r="J1505" s="21">
        <v>44585</v>
      </c>
      <c r="K1505" s="21">
        <f t="shared" si="156"/>
        <v>44585</v>
      </c>
      <c r="L1505" t="s">
        <v>207</v>
      </c>
      <c r="M1505" t="s">
        <v>25</v>
      </c>
      <c r="N1505" t="s">
        <v>26</v>
      </c>
      <c r="O1505">
        <v>1</v>
      </c>
      <c r="P1505" t="s">
        <v>1059</v>
      </c>
      <c r="Q1505" t="s">
        <v>4611</v>
      </c>
      <c r="R1505" t="s">
        <v>4724</v>
      </c>
      <c r="S1505" t="s">
        <v>4718</v>
      </c>
      <c r="T1505">
        <f t="shared" si="151"/>
        <v>6</v>
      </c>
      <c r="U1505" s="21">
        <f t="shared" si="157"/>
        <v>44950</v>
      </c>
    </row>
    <row r="1506" spans="1:21" x14ac:dyDescent="0.35">
      <c r="A1506" t="s">
        <v>3702</v>
      </c>
      <c r="B1506" t="s">
        <v>3703</v>
      </c>
      <c r="C1506" t="s">
        <v>30</v>
      </c>
      <c r="D1506" t="s">
        <v>205</v>
      </c>
      <c r="E1506" s="1">
        <v>23.744</v>
      </c>
      <c r="F1506" t="s">
        <v>206</v>
      </c>
      <c r="G1506">
        <v>80</v>
      </c>
      <c r="H1506" s="1">
        <v>18.995200000000001</v>
      </c>
      <c r="I1506" s="21">
        <v>44579</v>
      </c>
      <c r="J1506" s="21">
        <v>44586</v>
      </c>
      <c r="K1506" s="21">
        <f t="shared" si="156"/>
        <v>44586</v>
      </c>
      <c r="L1506" t="s">
        <v>207</v>
      </c>
      <c r="M1506" t="s">
        <v>67</v>
      </c>
      <c r="N1506" t="s">
        <v>68</v>
      </c>
      <c r="O1506">
        <v>1</v>
      </c>
      <c r="P1506" t="s">
        <v>3704</v>
      </c>
      <c r="Q1506" t="s">
        <v>4515</v>
      </c>
      <c r="R1506" t="s">
        <v>4726</v>
      </c>
      <c r="S1506" t="s">
        <v>4717</v>
      </c>
      <c r="T1506">
        <f t="shared" si="151"/>
        <v>7</v>
      </c>
      <c r="U1506" s="21">
        <f t="shared" si="157"/>
        <v>44951</v>
      </c>
    </row>
    <row r="1507" spans="1:21" x14ac:dyDescent="0.35">
      <c r="A1507" t="s">
        <v>1399</v>
      </c>
      <c r="B1507" t="s">
        <v>1400</v>
      </c>
      <c r="C1507" t="s">
        <v>30</v>
      </c>
      <c r="D1507" t="s">
        <v>205</v>
      </c>
      <c r="E1507" s="1">
        <v>17.34</v>
      </c>
      <c r="F1507" t="s">
        <v>206</v>
      </c>
      <c r="G1507">
        <v>80</v>
      </c>
      <c r="H1507" s="1">
        <v>13.872</v>
      </c>
      <c r="I1507" s="21">
        <v>44579</v>
      </c>
      <c r="J1507" s="21">
        <v>44584</v>
      </c>
      <c r="K1507" s="21">
        <f t="shared" si="156"/>
        <v>44584</v>
      </c>
      <c r="L1507" t="s">
        <v>220</v>
      </c>
      <c r="M1507" t="s">
        <v>46</v>
      </c>
      <c r="N1507" t="s">
        <v>47</v>
      </c>
      <c r="O1507">
        <v>1</v>
      </c>
      <c r="P1507" t="s">
        <v>1401</v>
      </c>
      <c r="Q1507" t="s">
        <v>4519</v>
      </c>
      <c r="R1507" t="s">
        <v>4726</v>
      </c>
      <c r="S1507" t="s">
        <v>4717</v>
      </c>
      <c r="T1507">
        <f t="shared" si="151"/>
        <v>5</v>
      </c>
      <c r="U1507" s="21">
        <f t="shared" si="157"/>
        <v>44949</v>
      </c>
    </row>
    <row r="1508" spans="1:21" x14ac:dyDescent="0.35">
      <c r="A1508" t="s">
        <v>215</v>
      </c>
      <c r="B1508" t="s">
        <v>216</v>
      </c>
      <c r="C1508" t="s">
        <v>19</v>
      </c>
      <c r="D1508" t="s">
        <v>205</v>
      </c>
      <c r="E1508" s="1">
        <v>25.92</v>
      </c>
      <c r="F1508" t="s">
        <v>206</v>
      </c>
      <c r="G1508">
        <v>80</v>
      </c>
      <c r="H1508" s="1">
        <v>20.736000000000004</v>
      </c>
      <c r="I1508" s="21">
        <v>44575</v>
      </c>
      <c r="J1508" s="21">
        <v>44577</v>
      </c>
      <c r="K1508" s="21">
        <f t="shared" si="156"/>
        <v>44577</v>
      </c>
      <c r="L1508" t="s">
        <v>213</v>
      </c>
      <c r="M1508" t="s">
        <v>146</v>
      </c>
      <c r="N1508" t="s">
        <v>73</v>
      </c>
      <c r="O1508">
        <v>1</v>
      </c>
      <c r="P1508" t="s">
        <v>217</v>
      </c>
      <c r="Q1508" t="s">
        <v>4519</v>
      </c>
      <c r="R1508" t="s">
        <v>4726</v>
      </c>
      <c r="S1508" t="s">
        <v>4717</v>
      </c>
      <c r="T1508">
        <f t="shared" si="151"/>
        <v>2</v>
      </c>
      <c r="U1508" s="21">
        <f t="shared" si="157"/>
        <v>44942</v>
      </c>
    </row>
    <row r="1509" spans="1:21" x14ac:dyDescent="0.35">
      <c r="A1509" t="s">
        <v>209</v>
      </c>
      <c r="B1509" t="s">
        <v>210</v>
      </c>
      <c r="C1509" t="s">
        <v>30</v>
      </c>
      <c r="D1509" t="s">
        <v>212</v>
      </c>
      <c r="E1509" s="1">
        <v>95.1</v>
      </c>
      <c r="F1509" t="s">
        <v>206</v>
      </c>
      <c r="G1509">
        <v>100</v>
      </c>
      <c r="H1509" s="1">
        <v>95.1</v>
      </c>
      <c r="I1509" s="21">
        <v>44574</v>
      </c>
      <c r="J1509" s="21">
        <v>44580</v>
      </c>
      <c r="K1509" s="21">
        <f t="shared" si="156"/>
        <v>44580</v>
      </c>
      <c r="L1509" t="s">
        <v>213</v>
      </c>
      <c r="M1509" t="s">
        <v>82</v>
      </c>
      <c r="N1509" t="s">
        <v>47</v>
      </c>
      <c r="O1509">
        <v>1</v>
      </c>
      <c r="P1509" t="s">
        <v>214</v>
      </c>
      <c r="Q1509" t="s">
        <v>4538</v>
      </c>
      <c r="R1509" t="s">
        <v>4713</v>
      </c>
      <c r="S1509" t="s">
        <v>4719</v>
      </c>
      <c r="T1509">
        <f t="shared" si="151"/>
        <v>6</v>
      </c>
      <c r="U1509" s="21">
        <f t="shared" si="157"/>
        <v>44945</v>
      </c>
    </row>
    <row r="1510" spans="1:21" x14ac:dyDescent="0.35">
      <c r="A1510" t="s">
        <v>1396</v>
      </c>
      <c r="B1510" t="s">
        <v>1397</v>
      </c>
      <c r="C1510" t="s">
        <v>19</v>
      </c>
      <c r="D1510" t="s">
        <v>212</v>
      </c>
      <c r="E1510" s="1">
        <v>31.103999999999999</v>
      </c>
      <c r="F1510" t="s">
        <v>206</v>
      </c>
      <c r="G1510">
        <v>100</v>
      </c>
      <c r="H1510" s="1">
        <v>31.103999999999999</v>
      </c>
      <c r="I1510" s="21">
        <v>44572</v>
      </c>
      <c r="J1510" s="21">
        <v>44577</v>
      </c>
      <c r="K1510" s="21">
        <f t="shared" si="156"/>
        <v>44577</v>
      </c>
      <c r="L1510" t="s">
        <v>234</v>
      </c>
      <c r="M1510" t="s">
        <v>97</v>
      </c>
      <c r="N1510" t="s">
        <v>68</v>
      </c>
      <c r="O1510">
        <v>1</v>
      </c>
      <c r="P1510" t="s">
        <v>1398</v>
      </c>
      <c r="Q1510" t="s">
        <v>4519</v>
      </c>
      <c r="R1510" t="s">
        <v>4726</v>
      </c>
      <c r="S1510" t="s">
        <v>4717</v>
      </c>
      <c r="T1510">
        <f t="shared" si="151"/>
        <v>5</v>
      </c>
      <c r="U1510" s="21">
        <f t="shared" si="157"/>
        <v>44942</v>
      </c>
    </row>
    <row r="1511" spans="1:21" x14ac:dyDescent="0.35">
      <c r="A1511" t="s">
        <v>2599</v>
      </c>
      <c r="B1511" t="s">
        <v>2600</v>
      </c>
      <c r="C1511" t="s">
        <v>19</v>
      </c>
      <c r="D1511" t="s">
        <v>205</v>
      </c>
      <c r="E1511" s="1">
        <v>143.63999999999999</v>
      </c>
      <c r="F1511" t="s">
        <v>206</v>
      </c>
      <c r="G1511">
        <v>80</v>
      </c>
      <c r="H1511" s="1">
        <v>114.91199999999999</v>
      </c>
      <c r="I1511" s="21">
        <v>44567</v>
      </c>
      <c r="J1511" s="21">
        <v>44572</v>
      </c>
      <c r="K1511" s="21">
        <f t="shared" si="156"/>
        <v>44572</v>
      </c>
      <c r="L1511" t="s">
        <v>238</v>
      </c>
      <c r="M1511" t="s">
        <v>146</v>
      </c>
      <c r="N1511" t="s">
        <v>73</v>
      </c>
      <c r="O1511">
        <v>1</v>
      </c>
      <c r="P1511" t="s">
        <v>325</v>
      </c>
      <c r="Q1511" t="s">
        <v>4551</v>
      </c>
      <c r="R1511" t="s">
        <v>4711</v>
      </c>
      <c r="S1511" t="s">
        <v>4719</v>
      </c>
      <c r="T1511">
        <f t="shared" si="151"/>
        <v>5</v>
      </c>
      <c r="U1511" s="21">
        <f t="shared" si="157"/>
        <v>44937</v>
      </c>
    </row>
    <row r="1512" spans="1:21" x14ac:dyDescent="0.35">
      <c r="A1512" t="s">
        <v>2596</v>
      </c>
      <c r="B1512" t="s">
        <v>2597</v>
      </c>
      <c r="C1512" t="s">
        <v>30</v>
      </c>
      <c r="D1512" t="s">
        <v>212</v>
      </c>
      <c r="E1512" s="1">
        <v>4.2240000000000002</v>
      </c>
      <c r="F1512" t="s">
        <v>206</v>
      </c>
      <c r="G1512">
        <v>100</v>
      </c>
      <c r="H1512" s="1">
        <v>4.2240000000000002</v>
      </c>
      <c r="I1512" s="21">
        <v>44566</v>
      </c>
      <c r="J1512" s="21">
        <v>44571</v>
      </c>
      <c r="K1512" s="21">
        <f t="shared" si="156"/>
        <v>44571</v>
      </c>
      <c r="L1512" t="s">
        <v>238</v>
      </c>
      <c r="M1512" t="s">
        <v>40</v>
      </c>
      <c r="N1512" t="s">
        <v>34</v>
      </c>
      <c r="O1512">
        <v>1</v>
      </c>
      <c r="P1512" t="s">
        <v>2598</v>
      </c>
      <c r="Q1512" t="s">
        <v>4665</v>
      </c>
      <c r="R1512" t="s">
        <v>4724</v>
      </c>
      <c r="S1512" t="s">
        <v>4718</v>
      </c>
      <c r="T1512">
        <f t="shared" si="151"/>
        <v>5</v>
      </c>
      <c r="U1512" s="21">
        <f t="shared" si="157"/>
        <v>44936</v>
      </c>
    </row>
    <row r="1513" spans="1:21" x14ac:dyDescent="0.35">
      <c r="A1513" t="s">
        <v>2593</v>
      </c>
      <c r="B1513" t="s">
        <v>2594</v>
      </c>
      <c r="C1513" t="s">
        <v>30</v>
      </c>
      <c r="D1513" t="s">
        <v>205</v>
      </c>
      <c r="E1513" s="1">
        <v>20.12</v>
      </c>
      <c r="F1513" t="s">
        <v>206</v>
      </c>
      <c r="G1513">
        <v>80</v>
      </c>
      <c r="H1513" s="1">
        <v>16.096</v>
      </c>
      <c r="I1513" s="21">
        <v>44565</v>
      </c>
      <c r="J1513" s="21">
        <v>44570</v>
      </c>
      <c r="K1513" s="21">
        <f t="shared" si="156"/>
        <v>44570</v>
      </c>
      <c r="L1513" t="s">
        <v>248</v>
      </c>
      <c r="M1513" t="s">
        <v>67</v>
      </c>
      <c r="N1513" t="s">
        <v>68</v>
      </c>
      <c r="O1513">
        <v>1</v>
      </c>
      <c r="P1513" t="s">
        <v>2595</v>
      </c>
      <c r="Q1513" t="s">
        <v>4664</v>
      </c>
      <c r="R1513" t="s">
        <v>4721</v>
      </c>
      <c r="S1513" t="s">
        <v>4717</v>
      </c>
      <c r="T1513">
        <f t="shared" si="151"/>
        <v>5</v>
      </c>
      <c r="U1513" s="21">
        <f t="shared" si="157"/>
        <v>44935</v>
      </c>
    </row>
    <row r="1514" spans="1:21" x14ac:dyDescent="0.35">
      <c r="A1514" t="s">
        <v>203</v>
      </c>
      <c r="B1514" t="s">
        <v>204</v>
      </c>
      <c r="C1514" t="s">
        <v>19</v>
      </c>
      <c r="D1514" t="s">
        <v>205</v>
      </c>
      <c r="E1514" s="1">
        <v>3.38</v>
      </c>
      <c r="F1514" t="s">
        <v>206</v>
      </c>
      <c r="G1514">
        <v>80</v>
      </c>
      <c r="H1514" s="1">
        <v>2.7040000000000002</v>
      </c>
      <c r="I1514" s="21">
        <v>44562</v>
      </c>
      <c r="J1514" s="21">
        <v>44566</v>
      </c>
      <c r="K1514" s="21">
        <f t="shared" si="156"/>
        <v>44566</v>
      </c>
      <c r="L1514" t="s">
        <v>207</v>
      </c>
      <c r="M1514" t="s">
        <v>54</v>
      </c>
      <c r="N1514" t="s">
        <v>26</v>
      </c>
      <c r="O1514">
        <v>1</v>
      </c>
      <c r="P1514" t="s">
        <v>208</v>
      </c>
      <c r="Q1514" t="s">
        <v>4517</v>
      </c>
      <c r="R1514" t="s">
        <v>4726</v>
      </c>
      <c r="S1514" t="s">
        <v>4717</v>
      </c>
      <c r="T1514">
        <f t="shared" si="151"/>
        <v>4</v>
      </c>
      <c r="U1514" s="21">
        <f t="shared" si="157"/>
        <v>44931</v>
      </c>
    </row>
    <row r="1515" spans="1:21" x14ac:dyDescent="0.35">
      <c r="A1515" t="s">
        <v>2590</v>
      </c>
      <c r="B1515" t="s">
        <v>2591</v>
      </c>
      <c r="C1515" t="s">
        <v>19</v>
      </c>
      <c r="D1515" t="s">
        <v>205</v>
      </c>
      <c r="E1515" s="1">
        <v>12.67</v>
      </c>
      <c r="F1515" t="s">
        <v>206</v>
      </c>
      <c r="G1515">
        <v>80</v>
      </c>
      <c r="H1515" s="1">
        <v>10.136000000000001</v>
      </c>
      <c r="I1515" s="21">
        <v>44562</v>
      </c>
      <c r="J1515" s="21">
        <v>44562</v>
      </c>
      <c r="K1515" s="21">
        <f t="shared" si="156"/>
        <v>44562</v>
      </c>
      <c r="L1515" t="s">
        <v>207</v>
      </c>
      <c r="M1515" t="s">
        <v>72</v>
      </c>
      <c r="N1515" t="s">
        <v>73</v>
      </c>
      <c r="O1515">
        <v>1</v>
      </c>
      <c r="P1515" t="s">
        <v>2592</v>
      </c>
      <c r="Q1515" t="s">
        <v>4729</v>
      </c>
      <c r="R1515" t="s">
        <v>4721</v>
      </c>
      <c r="S1515" t="s">
        <v>4717</v>
      </c>
      <c r="T1515">
        <f t="shared" si="151"/>
        <v>0</v>
      </c>
      <c r="U1515" s="21">
        <f t="shared" si="157"/>
        <v>44927</v>
      </c>
    </row>
    <row r="1516" spans="1:21" x14ac:dyDescent="0.35">
      <c r="A1516" t="s">
        <v>137</v>
      </c>
      <c r="B1516" t="s">
        <v>138</v>
      </c>
      <c r="C1516" t="s">
        <v>19</v>
      </c>
      <c r="D1516" t="s">
        <v>21</v>
      </c>
      <c r="E1516" s="1">
        <v>177.17000000000002</v>
      </c>
      <c r="F1516" t="s">
        <v>22</v>
      </c>
      <c r="G1516">
        <v>0</v>
      </c>
      <c r="H1516" s="1">
        <v>0</v>
      </c>
      <c r="I1516" s="21">
        <v>44197</v>
      </c>
      <c r="J1516" s="21">
        <v>44200</v>
      </c>
      <c r="K1516" s="21">
        <v>44200</v>
      </c>
      <c r="L1516" t="s">
        <v>53</v>
      </c>
      <c r="M1516" t="s">
        <v>54</v>
      </c>
      <c r="N1516" t="s">
        <v>26</v>
      </c>
      <c r="O1516">
        <v>1</v>
      </c>
      <c r="P1516" t="s">
        <v>140</v>
      </c>
      <c r="Q1516" t="s">
        <v>4529</v>
      </c>
      <c r="R1516" t="s">
        <v>4721</v>
      </c>
      <c r="S1516" t="s">
        <v>4718</v>
      </c>
      <c r="T1516">
        <f t="shared" si="151"/>
        <v>3</v>
      </c>
      <c r="U1516" s="21">
        <f t="shared" ref="U1516:U1579" si="158">J1516</f>
        <v>44200</v>
      </c>
    </row>
    <row r="1517" spans="1:21" x14ac:dyDescent="0.35">
      <c r="A1517" t="s">
        <v>2527</v>
      </c>
      <c r="B1517" t="s">
        <v>2528</v>
      </c>
      <c r="C1517" t="s">
        <v>30</v>
      </c>
      <c r="D1517" t="s">
        <v>21</v>
      </c>
      <c r="E1517" s="1">
        <v>53.67</v>
      </c>
      <c r="F1517" t="s">
        <v>22</v>
      </c>
      <c r="G1517">
        <v>0</v>
      </c>
      <c r="H1517" s="1">
        <v>0</v>
      </c>
      <c r="I1517" s="21">
        <v>44197</v>
      </c>
      <c r="J1517" s="21">
        <v>44198</v>
      </c>
      <c r="K1517" s="21">
        <v>44198</v>
      </c>
      <c r="L1517" t="s">
        <v>63</v>
      </c>
      <c r="M1517" t="s">
        <v>146</v>
      </c>
      <c r="N1517" t="s">
        <v>73</v>
      </c>
      <c r="O1517">
        <v>1</v>
      </c>
      <c r="P1517" t="s">
        <v>2529</v>
      </c>
      <c r="Q1517" t="s">
        <v>4729</v>
      </c>
      <c r="R1517" t="s">
        <v>4713</v>
      </c>
      <c r="S1517" t="s">
        <v>4719</v>
      </c>
      <c r="T1517">
        <f t="shared" si="151"/>
        <v>1</v>
      </c>
      <c r="U1517" s="21">
        <f t="shared" si="158"/>
        <v>44198</v>
      </c>
    </row>
    <row r="1518" spans="1:21" x14ac:dyDescent="0.35">
      <c r="A1518" t="s">
        <v>3658</v>
      </c>
      <c r="B1518" t="s">
        <v>3659</v>
      </c>
      <c r="C1518" t="s">
        <v>30</v>
      </c>
      <c r="D1518" t="s">
        <v>21</v>
      </c>
      <c r="E1518" s="1">
        <v>39.128</v>
      </c>
      <c r="F1518" t="s">
        <v>22</v>
      </c>
      <c r="G1518">
        <v>0</v>
      </c>
      <c r="H1518" s="1">
        <v>0</v>
      </c>
      <c r="I1518" s="21">
        <v>44196</v>
      </c>
      <c r="J1518" s="21">
        <v>44198</v>
      </c>
      <c r="K1518" s="21">
        <v>44198</v>
      </c>
      <c r="L1518" t="s">
        <v>53</v>
      </c>
      <c r="M1518" t="s">
        <v>46</v>
      </c>
      <c r="N1518" t="s">
        <v>47</v>
      </c>
      <c r="O1518">
        <v>1</v>
      </c>
      <c r="P1518" t="s">
        <v>2532</v>
      </c>
      <c r="Q1518" t="s">
        <v>4729</v>
      </c>
      <c r="R1518" t="s">
        <v>4721</v>
      </c>
      <c r="S1518" t="s">
        <v>4717</v>
      </c>
      <c r="T1518">
        <f t="shared" si="151"/>
        <v>2</v>
      </c>
      <c r="U1518" s="21">
        <f t="shared" si="158"/>
        <v>44198</v>
      </c>
    </row>
    <row r="1519" spans="1:21" x14ac:dyDescent="0.35">
      <c r="A1519" t="s">
        <v>1358</v>
      </c>
      <c r="B1519" t="s">
        <v>1359</v>
      </c>
      <c r="C1519" t="s">
        <v>19</v>
      </c>
      <c r="D1519" t="s">
        <v>21</v>
      </c>
      <c r="E1519" s="1">
        <v>99.135999999999996</v>
      </c>
      <c r="F1519" t="s">
        <v>22</v>
      </c>
      <c r="G1519">
        <v>0</v>
      </c>
      <c r="H1519" s="1">
        <v>0</v>
      </c>
      <c r="I1519" s="21">
        <v>44194</v>
      </c>
      <c r="J1519" s="21">
        <v>44196</v>
      </c>
      <c r="K1519" s="21">
        <v>44196</v>
      </c>
      <c r="L1519" t="s">
        <v>24</v>
      </c>
      <c r="M1519" t="s">
        <v>54</v>
      </c>
      <c r="N1519" t="s">
        <v>26</v>
      </c>
      <c r="O1519">
        <v>1</v>
      </c>
      <c r="P1519" t="s">
        <v>161</v>
      </c>
      <c r="Q1519" t="s">
        <v>4531</v>
      </c>
      <c r="R1519" t="s">
        <v>4726</v>
      </c>
      <c r="S1519" t="s">
        <v>4717</v>
      </c>
      <c r="T1519">
        <f t="shared" si="151"/>
        <v>2</v>
      </c>
      <c r="U1519" s="21">
        <f t="shared" si="158"/>
        <v>44196</v>
      </c>
    </row>
    <row r="1520" spans="1:21" x14ac:dyDescent="0.35">
      <c r="A1520" t="s">
        <v>134</v>
      </c>
      <c r="B1520" t="s">
        <v>135</v>
      </c>
      <c r="C1520" t="s">
        <v>30</v>
      </c>
      <c r="D1520" t="s">
        <v>21</v>
      </c>
      <c r="E1520" s="1">
        <v>4.9839999999999902</v>
      </c>
      <c r="F1520" t="s">
        <v>22</v>
      </c>
      <c r="G1520">
        <v>0</v>
      </c>
      <c r="H1520" s="1">
        <v>0</v>
      </c>
      <c r="I1520" s="21">
        <v>44193</v>
      </c>
      <c r="J1520" s="21">
        <v>44196</v>
      </c>
      <c r="K1520" s="21">
        <v>44196</v>
      </c>
      <c r="L1520" t="s">
        <v>63</v>
      </c>
      <c r="M1520" t="s">
        <v>25</v>
      </c>
      <c r="N1520" t="s">
        <v>26</v>
      </c>
      <c r="O1520">
        <v>1</v>
      </c>
      <c r="P1520" t="s">
        <v>136</v>
      </c>
      <c r="Q1520" t="s">
        <v>4528</v>
      </c>
      <c r="R1520" t="s">
        <v>4726</v>
      </c>
      <c r="S1520" t="s">
        <v>4717</v>
      </c>
      <c r="T1520">
        <f t="shared" si="151"/>
        <v>3</v>
      </c>
      <c r="U1520" s="21">
        <f t="shared" si="158"/>
        <v>44196</v>
      </c>
    </row>
    <row r="1521" spans="1:21" x14ac:dyDescent="0.35">
      <c r="A1521" t="s">
        <v>3655</v>
      </c>
      <c r="B1521" t="s">
        <v>3656</v>
      </c>
      <c r="C1521" t="s">
        <v>19</v>
      </c>
      <c r="D1521" t="s">
        <v>21</v>
      </c>
      <c r="E1521" s="1">
        <v>855.27200000000005</v>
      </c>
      <c r="F1521" t="s">
        <v>22</v>
      </c>
      <c r="G1521">
        <v>0</v>
      </c>
      <c r="H1521" s="1">
        <v>0</v>
      </c>
      <c r="I1521" s="21">
        <v>44192</v>
      </c>
      <c r="J1521" s="21">
        <v>44194</v>
      </c>
      <c r="K1521" s="21">
        <v>44194</v>
      </c>
      <c r="L1521" t="s">
        <v>24</v>
      </c>
      <c r="M1521" t="s">
        <v>146</v>
      </c>
      <c r="N1521" t="s">
        <v>73</v>
      </c>
      <c r="O1521">
        <v>1</v>
      </c>
      <c r="P1521" t="s">
        <v>3657</v>
      </c>
      <c r="Q1521" t="s">
        <v>4553</v>
      </c>
      <c r="R1521" t="s">
        <v>4722</v>
      </c>
      <c r="S1521" t="s">
        <v>4718</v>
      </c>
      <c r="T1521">
        <f t="shared" si="151"/>
        <v>2</v>
      </c>
      <c r="U1521" s="21">
        <f t="shared" si="158"/>
        <v>44194</v>
      </c>
    </row>
    <row r="1522" spans="1:21" x14ac:dyDescent="0.35">
      <c r="A1522" t="s">
        <v>1355</v>
      </c>
      <c r="B1522" t="s">
        <v>1356</v>
      </c>
      <c r="C1522" t="s">
        <v>30</v>
      </c>
      <c r="D1522" t="s">
        <v>21</v>
      </c>
      <c r="E1522" s="1">
        <v>13.97</v>
      </c>
      <c r="F1522" t="s">
        <v>22</v>
      </c>
      <c r="G1522">
        <v>0</v>
      </c>
      <c r="H1522" s="1">
        <v>0</v>
      </c>
      <c r="I1522" s="21">
        <v>44190</v>
      </c>
      <c r="J1522" s="21">
        <v>44192</v>
      </c>
      <c r="K1522" s="21">
        <v>44192</v>
      </c>
      <c r="L1522" t="s">
        <v>39</v>
      </c>
      <c r="M1522" t="s">
        <v>72</v>
      </c>
      <c r="N1522" t="s">
        <v>73</v>
      </c>
      <c r="O1522">
        <v>1</v>
      </c>
      <c r="P1522" t="s">
        <v>1357</v>
      </c>
      <c r="Q1522" t="s">
        <v>4545</v>
      </c>
      <c r="R1522" t="s">
        <v>4721</v>
      </c>
      <c r="S1522" t="s">
        <v>4717</v>
      </c>
      <c r="T1522">
        <f t="shared" si="151"/>
        <v>2</v>
      </c>
      <c r="U1522" s="21">
        <f t="shared" si="158"/>
        <v>44192</v>
      </c>
    </row>
    <row r="1523" spans="1:21" x14ac:dyDescent="0.35">
      <c r="A1523" t="s">
        <v>131</v>
      </c>
      <c r="B1523" t="s">
        <v>132</v>
      </c>
      <c r="C1523" t="s">
        <v>30</v>
      </c>
      <c r="D1523" t="s">
        <v>21</v>
      </c>
      <c r="E1523" s="1">
        <v>30.36</v>
      </c>
      <c r="F1523" t="s">
        <v>22</v>
      </c>
      <c r="G1523">
        <v>0</v>
      </c>
      <c r="H1523" s="1">
        <v>0</v>
      </c>
      <c r="I1523" s="21">
        <v>44190</v>
      </c>
      <c r="J1523" s="21">
        <v>44192</v>
      </c>
      <c r="K1523" s="21">
        <v>44192</v>
      </c>
      <c r="L1523" t="s">
        <v>63</v>
      </c>
      <c r="M1523" t="s">
        <v>25</v>
      </c>
      <c r="N1523" t="s">
        <v>26</v>
      </c>
      <c r="O1523">
        <v>1</v>
      </c>
      <c r="P1523" t="s">
        <v>133</v>
      </c>
      <c r="Q1523" t="s">
        <v>4729</v>
      </c>
      <c r="R1523" t="s">
        <v>4721</v>
      </c>
      <c r="S1523" t="s">
        <v>4718</v>
      </c>
      <c r="T1523">
        <f t="shared" si="151"/>
        <v>2</v>
      </c>
      <c r="U1523" s="21">
        <f t="shared" si="158"/>
        <v>44192</v>
      </c>
    </row>
    <row r="1524" spans="1:21" x14ac:dyDescent="0.35">
      <c r="A1524" t="s">
        <v>2525</v>
      </c>
      <c r="B1524" t="s">
        <v>2526</v>
      </c>
      <c r="C1524" t="s">
        <v>19</v>
      </c>
      <c r="D1524" t="s">
        <v>21</v>
      </c>
      <c r="E1524" s="1">
        <v>9.5679999999999996</v>
      </c>
      <c r="F1524" t="s">
        <v>22</v>
      </c>
      <c r="G1524">
        <v>0</v>
      </c>
      <c r="H1524" s="1">
        <v>0</v>
      </c>
      <c r="I1524" s="21">
        <v>44190</v>
      </c>
      <c r="J1524" s="21">
        <v>44192</v>
      </c>
      <c r="K1524" s="21">
        <v>44192</v>
      </c>
      <c r="L1524" t="s">
        <v>53</v>
      </c>
      <c r="M1524" t="s">
        <v>40</v>
      </c>
      <c r="N1524" t="s">
        <v>34</v>
      </c>
      <c r="O1524">
        <v>1</v>
      </c>
      <c r="P1524" t="s">
        <v>1462</v>
      </c>
      <c r="Q1524" t="s">
        <v>4519</v>
      </c>
      <c r="R1524" t="s">
        <v>4726</v>
      </c>
      <c r="S1524" t="s">
        <v>4717</v>
      </c>
      <c r="T1524">
        <f t="shared" si="151"/>
        <v>2</v>
      </c>
      <c r="U1524" s="21">
        <f t="shared" si="158"/>
        <v>44192</v>
      </c>
    </row>
    <row r="1525" spans="1:21" x14ac:dyDescent="0.35">
      <c r="A1525" t="s">
        <v>1352</v>
      </c>
      <c r="B1525" t="s">
        <v>1353</v>
      </c>
      <c r="C1525" t="s">
        <v>30</v>
      </c>
      <c r="D1525" t="s">
        <v>21</v>
      </c>
      <c r="E1525" s="1">
        <v>1107.6600000000001</v>
      </c>
      <c r="F1525" t="s">
        <v>22</v>
      </c>
      <c r="G1525">
        <v>0</v>
      </c>
      <c r="H1525" s="1">
        <v>0</v>
      </c>
      <c r="I1525" s="21">
        <v>44186</v>
      </c>
      <c r="J1525" s="21">
        <v>44189</v>
      </c>
      <c r="K1525" s="21">
        <v>44189</v>
      </c>
      <c r="L1525" t="s">
        <v>45</v>
      </c>
      <c r="M1525" t="s">
        <v>54</v>
      </c>
      <c r="N1525" t="s">
        <v>26</v>
      </c>
      <c r="O1525">
        <v>1</v>
      </c>
      <c r="P1525" t="s">
        <v>1354</v>
      </c>
      <c r="Q1525" t="s">
        <v>4517</v>
      </c>
      <c r="R1525" t="s">
        <v>4726</v>
      </c>
      <c r="S1525" t="s">
        <v>4717</v>
      </c>
      <c r="T1525">
        <f t="shared" si="151"/>
        <v>3</v>
      </c>
      <c r="U1525" s="21">
        <f t="shared" si="158"/>
        <v>44189</v>
      </c>
    </row>
    <row r="1526" spans="1:21" x14ac:dyDescent="0.35">
      <c r="A1526" t="s">
        <v>128</v>
      </c>
      <c r="B1526" t="s">
        <v>129</v>
      </c>
      <c r="C1526" t="s">
        <v>30</v>
      </c>
      <c r="D1526" t="s">
        <v>21</v>
      </c>
      <c r="E1526" s="1">
        <v>596.66399999999999</v>
      </c>
      <c r="F1526" t="s">
        <v>22</v>
      </c>
      <c r="G1526">
        <v>0</v>
      </c>
      <c r="H1526" s="1">
        <v>0</v>
      </c>
      <c r="I1526" s="21">
        <v>44186</v>
      </c>
      <c r="J1526" s="21">
        <v>44188</v>
      </c>
      <c r="K1526" s="21">
        <v>44188</v>
      </c>
      <c r="L1526" t="s">
        <v>45</v>
      </c>
      <c r="M1526" t="s">
        <v>82</v>
      </c>
      <c r="N1526" t="s">
        <v>47</v>
      </c>
      <c r="O1526">
        <v>1</v>
      </c>
      <c r="P1526" t="s">
        <v>130</v>
      </c>
      <c r="Q1526" t="s">
        <v>4527</v>
      </c>
      <c r="R1526" t="s">
        <v>4721</v>
      </c>
      <c r="S1526" t="s">
        <v>4718</v>
      </c>
      <c r="T1526">
        <f t="shared" si="151"/>
        <v>2</v>
      </c>
      <c r="U1526" s="21">
        <f t="shared" si="158"/>
        <v>44188</v>
      </c>
    </row>
    <row r="1527" spans="1:21" x14ac:dyDescent="0.35">
      <c r="A1527" t="s">
        <v>3652</v>
      </c>
      <c r="B1527" t="s">
        <v>3653</v>
      </c>
      <c r="C1527" t="s">
        <v>30</v>
      </c>
      <c r="D1527" t="s">
        <v>21</v>
      </c>
      <c r="E1527" s="1">
        <v>2884.37</v>
      </c>
      <c r="F1527" t="s">
        <v>22</v>
      </c>
      <c r="G1527">
        <v>0</v>
      </c>
      <c r="H1527" s="1">
        <v>0</v>
      </c>
      <c r="I1527" s="21">
        <v>44186</v>
      </c>
      <c r="J1527" s="21">
        <v>44187</v>
      </c>
      <c r="K1527" s="21">
        <v>44187</v>
      </c>
      <c r="L1527" t="s">
        <v>32</v>
      </c>
      <c r="M1527" t="s">
        <v>46</v>
      </c>
      <c r="N1527" t="s">
        <v>47</v>
      </c>
      <c r="O1527">
        <v>1</v>
      </c>
      <c r="P1527" t="s">
        <v>3654</v>
      </c>
      <c r="Q1527" t="s">
        <v>4562</v>
      </c>
      <c r="R1527" t="s">
        <v>4721</v>
      </c>
      <c r="S1527" t="s">
        <v>4717</v>
      </c>
      <c r="T1527">
        <f t="shared" si="151"/>
        <v>1</v>
      </c>
      <c r="U1527" s="21">
        <f t="shared" si="158"/>
        <v>44187</v>
      </c>
    </row>
    <row r="1528" spans="1:21" x14ac:dyDescent="0.35">
      <c r="A1528" t="s">
        <v>124</v>
      </c>
      <c r="B1528" t="s">
        <v>125</v>
      </c>
      <c r="C1528" t="s">
        <v>19</v>
      </c>
      <c r="D1528" t="s">
        <v>21</v>
      </c>
      <c r="E1528" s="1">
        <v>832.13799999999992</v>
      </c>
      <c r="F1528" t="s">
        <v>22</v>
      </c>
      <c r="G1528">
        <v>0</v>
      </c>
      <c r="H1528" s="1">
        <v>0</v>
      </c>
      <c r="I1528" s="21">
        <v>44185</v>
      </c>
      <c r="J1528" s="21">
        <v>44187</v>
      </c>
      <c r="K1528" s="21">
        <v>44187</v>
      </c>
      <c r="L1528" t="s">
        <v>24</v>
      </c>
      <c r="M1528" t="s">
        <v>40</v>
      </c>
      <c r="N1528" t="s">
        <v>34</v>
      </c>
      <c r="O1528">
        <v>1</v>
      </c>
      <c r="P1528" t="s">
        <v>127</v>
      </c>
      <c r="Q1528" t="s">
        <v>4517</v>
      </c>
      <c r="R1528" t="s">
        <v>4726</v>
      </c>
      <c r="S1528" t="s">
        <v>4717</v>
      </c>
      <c r="T1528">
        <f t="shared" si="151"/>
        <v>2</v>
      </c>
      <c r="U1528" s="21">
        <f t="shared" si="158"/>
        <v>44187</v>
      </c>
    </row>
    <row r="1529" spans="1:21" x14ac:dyDescent="0.35">
      <c r="A1529" t="s">
        <v>1350</v>
      </c>
      <c r="B1529" t="s">
        <v>1351</v>
      </c>
      <c r="C1529" t="s">
        <v>30</v>
      </c>
      <c r="D1529" t="s">
        <v>21</v>
      </c>
      <c r="E1529" s="1">
        <v>1308.1959999999999</v>
      </c>
      <c r="F1529" t="s">
        <v>22</v>
      </c>
      <c r="G1529">
        <v>0</v>
      </c>
      <c r="H1529" s="1">
        <v>0</v>
      </c>
      <c r="I1529" s="21">
        <v>44182</v>
      </c>
      <c r="J1529" s="21">
        <v>44183</v>
      </c>
      <c r="K1529" s="21">
        <v>44183</v>
      </c>
      <c r="L1529" t="s">
        <v>24</v>
      </c>
      <c r="M1529" t="s">
        <v>82</v>
      </c>
      <c r="N1529" t="s">
        <v>47</v>
      </c>
      <c r="O1529">
        <v>1</v>
      </c>
      <c r="P1529" t="s">
        <v>1173</v>
      </c>
      <c r="Q1529" t="s">
        <v>4729</v>
      </c>
      <c r="R1529" t="s">
        <v>4722</v>
      </c>
      <c r="S1529" t="s">
        <v>4718</v>
      </c>
      <c r="T1529">
        <f t="shared" si="151"/>
        <v>1</v>
      </c>
      <c r="U1529" s="21">
        <f t="shared" si="158"/>
        <v>44183</v>
      </c>
    </row>
    <row r="1530" spans="1:21" x14ac:dyDescent="0.35">
      <c r="A1530" t="s">
        <v>2522</v>
      </c>
      <c r="B1530" t="s">
        <v>2523</v>
      </c>
      <c r="C1530" t="s">
        <v>30</v>
      </c>
      <c r="D1530" t="s">
        <v>21</v>
      </c>
      <c r="E1530" s="1">
        <v>803.9599999999989</v>
      </c>
      <c r="F1530" t="s">
        <v>22</v>
      </c>
      <c r="G1530">
        <v>0</v>
      </c>
      <c r="H1530" s="1">
        <v>0</v>
      </c>
      <c r="I1530" s="21">
        <v>44181</v>
      </c>
      <c r="J1530" s="21">
        <v>44184</v>
      </c>
      <c r="K1530" s="21">
        <v>44184</v>
      </c>
      <c r="L1530" t="s">
        <v>45</v>
      </c>
      <c r="M1530" t="s">
        <v>72</v>
      </c>
      <c r="N1530" t="s">
        <v>73</v>
      </c>
      <c r="O1530">
        <v>1</v>
      </c>
      <c r="P1530" t="s">
        <v>2524</v>
      </c>
      <c r="Q1530" t="s">
        <v>4661</v>
      </c>
      <c r="R1530" t="s">
        <v>4713</v>
      </c>
      <c r="S1530" t="s">
        <v>4719</v>
      </c>
      <c r="T1530">
        <f t="shared" si="151"/>
        <v>3</v>
      </c>
      <c r="U1530" s="21">
        <f t="shared" si="158"/>
        <v>44184</v>
      </c>
    </row>
    <row r="1531" spans="1:21" x14ac:dyDescent="0.35">
      <c r="A1531" t="s">
        <v>3649</v>
      </c>
      <c r="B1531" t="s">
        <v>3650</v>
      </c>
      <c r="C1531" t="s">
        <v>19</v>
      </c>
      <c r="D1531" t="s">
        <v>21</v>
      </c>
      <c r="E1531" s="1">
        <v>9.2639999999999905</v>
      </c>
      <c r="F1531" t="s">
        <v>22</v>
      </c>
      <c r="G1531">
        <v>0</v>
      </c>
      <c r="H1531" s="1">
        <v>0</v>
      </c>
      <c r="I1531" s="21">
        <v>44180</v>
      </c>
      <c r="J1531" s="21">
        <v>44182</v>
      </c>
      <c r="K1531" s="21">
        <v>44182</v>
      </c>
      <c r="L1531" t="s">
        <v>45</v>
      </c>
      <c r="M1531" t="s">
        <v>46</v>
      </c>
      <c r="N1531" t="s">
        <v>47</v>
      </c>
      <c r="O1531">
        <v>1</v>
      </c>
      <c r="P1531" t="s">
        <v>3651</v>
      </c>
      <c r="Q1531" t="s">
        <v>4528</v>
      </c>
      <c r="R1531" t="s">
        <v>4726</v>
      </c>
      <c r="S1531" t="s">
        <v>4717</v>
      </c>
      <c r="T1531">
        <f t="shared" si="151"/>
        <v>2</v>
      </c>
      <c r="U1531" s="21">
        <f t="shared" si="158"/>
        <v>44182</v>
      </c>
    </row>
    <row r="1532" spans="1:21" x14ac:dyDescent="0.35">
      <c r="A1532" t="s">
        <v>121</v>
      </c>
      <c r="B1532" t="s">
        <v>122</v>
      </c>
      <c r="C1532" t="s">
        <v>19</v>
      </c>
      <c r="D1532" t="s">
        <v>21</v>
      </c>
      <c r="E1532" s="1">
        <v>247.78399999999999</v>
      </c>
      <c r="F1532" t="s">
        <v>22</v>
      </c>
      <c r="G1532">
        <v>0</v>
      </c>
      <c r="H1532" s="1">
        <v>0</v>
      </c>
      <c r="I1532" s="21">
        <v>44175</v>
      </c>
      <c r="J1532" s="21">
        <v>44177</v>
      </c>
      <c r="K1532" s="21">
        <v>44177</v>
      </c>
      <c r="L1532" t="s">
        <v>39</v>
      </c>
      <c r="M1532" t="s">
        <v>97</v>
      </c>
      <c r="N1532" t="s">
        <v>68</v>
      </c>
      <c r="O1532">
        <v>1</v>
      </c>
      <c r="P1532" t="s">
        <v>123</v>
      </c>
      <c r="Q1532" t="s">
        <v>4519</v>
      </c>
      <c r="R1532" t="s">
        <v>4726</v>
      </c>
      <c r="S1532" t="s">
        <v>4717</v>
      </c>
      <c r="T1532">
        <f t="shared" si="151"/>
        <v>2</v>
      </c>
      <c r="U1532" s="21">
        <f t="shared" si="158"/>
        <v>44177</v>
      </c>
    </row>
    <row r="1533" spans="1:21" x14ac:dyDescent="0.35">
      <c r="A1533" t="s">
        <v>1347</v>
      </c>
      <c r="B1533" t="s">
        <v>1348</v>
      </c>
      <c r="C1533" t="s">
        <v>30</v>
      </c>
      <c r="D1533" t="s">
        <v>21</v>
      </c>
      <c r="E1533" s="1">
        <v>164.88</v>
      </c>
      <c r="F1533" t="s">
        <v>22</v>
      </c>
      <c r="G1533">
        <v>0</v>
      </c>
      <c r="H1533" s="1">
        <v>0</v>
      </c>
      <c r="I1533" s="21">
        <v>44173</v>
      </c>
      <c r="J1533" s="21">
        <v>44174</v>
      </c>
      <c r="K1533" s="21">
        <v>44174</v>
      </c>
      <c r="L1533" t="s">
        <v>53</v>
      </c>
      <c r="M1533" t="s">
        <v>72</v>
      </c>
      <c r="N1533" t="s">
        <v>73</v>
      </c>
      <c r="O1533">
        <v>1</v>
      </c>
      <c r="P1533" t="s">
        <v>1349</v>
      </c>
      <c r="Q1533" t="s">
        <v>4607</v>
      </c>
      <c r="R1533" t="s">
        <v>4726</v>
      </c>
      <c r="S1533" t="s">
        <v>4717</v>
      </c>
      <c r="T1533">
        <f t="shared" si="151"/>
        <v>1</v>
      </c>
      <c r="U1533" s="21">
        <f t="shared" si="158"/>
        <v>44174</v>
      </c>
    </row>
    <row r="1534" spans="1:21" x14ac:dyDescent="0.35">
      <c r="A1534" t="s">
        <v>117</v>
      </c>
      <c r="B1534" t="s">
        <v>118</v>
      </c>
      <c r="C1534" t="s">
        <v>19</v>
      </c>
      <c r="D1534" t="s">
        <v>21</v>
      </c>
      <c r="E1534" s="1">
        <v>8.64</v>
      </c>
      <c r="F1534" t="s">
        <v>22</v>
      </c>
      <c r="G1534">
        <v>0</v>
      </c>
      <c r="H1534" s="1">
        <v>0</v>
      </c>
      <c r="I1534" s="21">
        <v>44173</v>
      </c>
      <c r="J1534" s="21">
        <v>44176</v>
      </c>
      <c r="K1534" s="21">
        <v>44176</v>
      </c>
      <c r="L1534" t="s">
        <v>32</v>
      </c>
      <c r="M1534" t="s">
        <v>54</v>
      </c>
      <c r="N1534" t="s">
        <v>26</v>
      </c>
      <c r="O1534">
        <v>1</v>
      </c>
      <c r="P1534" t="s">
        <v>120</v>
      </c>
      <c r="Q1534" t="s">
        <v>4520</v>
      </c>
      <c r="R1534" t="s">
        <v>4726</v>
      </c>
      <c r="S1534" t="s">
        <v>4717</v>
      </c>
      <c r="T1534">
        <f t="shared" si="151"/>
        <v>3</v>
      </c>
      <c r="U1534" s="21">
        <f t="shared" si="158"/>
        <v>44176</v>
      </c>
    </row>
    <row r="1535" spans="1:21" x14ac:dyDescent="0.35">
      <c r="A1535" t="s">
        <v>3647</v>
      </c>
      <c r="B1535" t="s">
        <v>3648</v>
      </c>
      <c r="C1535" t="s">
        <v>30</v>
      </c>
      <c r="D1535" t="s">
        <v>21</v>
      </c>
      <c r="E1535" s="1">
        <v>1261.33</v>
      </c>
      <c r="F1535" t="s">
        <v>22</v>
      </c>
      <c r="G1535">
        <v>0</v>
      </c>
      <c r="H1535" s="1">
        <v>0</v>
      </c>
      <c r="I1535" s="21">
        <v>44172</v>
      </c>
      <c r="J1535" s="21">
        <v>44174</v>
      </c>
      <c r="K1535" s="21">
        <v>44174</v>
      </c>
      <c r="L1535" t="s">
        <v>24</v>
      </c>
      <c r="M1535" t="s">
        <v>97</v>
      </c>
      <c r="N1535" t="s">
        <v>68</v>
      </c>
      <c r="O1535">
        <v>1</v>
      </c>
      <c r="P1535" t="s">
        <v>638</v>
      </c>
      <c r="Q1535" t="s">
        <v>4729</v>
      </c>
      <c r="R1535" t="s">
        <v>4709</v>
      </c>
      <c r="S1535" t="s">
        <v>4717</v>
      </c>
      <c r="T1535">
        <f t="shared" si="151"/>
        <v>2</v>
      </c>
      <c r="U1535" s="21">
        <f t="shared" si="158"/>
        <v>44174</v>
      </c>
    </row>
    <row r="1536" spans="1:21" x14ac:dyDescent="0.35">
      <c r="A1536" t="s">
        <v>2520</v>
      </c>
      <c r="B1536" t="s">
        <v>2521</v>
      </c>
      <c r="C1536" t="s">
        <v>19</v>
      </c>
      <c r="D1536" t="s">
        <v>21</v>
      </c>
      <c r="E1536" s="1">
        <v>521.22399999999993</v>
      </c>
      <c r="F1536" t="s">
        <v>22</v>
      </c>
      <c r="G1536">
        <v>0</v>
      </c>
      <c r="H1536" s="1">
        <v>0</v>
      </c>
      <c r="I1536" s="21">
        <v>44171</v>
      </c>
      <c r="J1536" s="21">
        <v>44173</v>
      </c>
      <c r="K1536" s="21">
        <v>44173</v>
      </c>
      <c r="L1536" t="s">
        <v>24</v>
      </c>
      <c r="M1536" t="s">
        <v>40</v>
      </c>
      <c r="N1536" t="s">
        <v>34</v>
      </c>
      <c r="O1536">
        <v>1</v>
      </c>
      <c r="P1536" t="s">
        <v>377</v>
      </c>
      <c r="Q1536" t="s">
        <v>4559</v>
      </c>
      <c r="R1536" t="s">
        <v>4512</v>
      </c>
      <c r="S1536" t="s">
        <v>4717</v>
      </c>
      <c r="T1536">
        <f t="shared" si="151"/>
        <v>2</v>
      </c>
      <c r="U1536" s="21">
        <f t="shared" si="158"/>
        <v>44173</v>
      </c>
    </row>
    <row r="1537" spans="1:21" x14ac:dyDescent="0.35">
      <c r="A1537" t="s">
        <v>2518</v>
      </c>
      <c r="B1537" t="s">
        <v>2519</v>
      </c>
      <c r="C1537" t="s">
        <v>19</v>
      </c>
      <c r="D1537" t="s">
        <v>21</v>
      </c>
      <c r="E1537" s="1">
        <v>250.26</v>
      </c>
      <c r="F1537" t="s">
        <v>22</v>
      </c>
      <c r="G1537">
        <v>0</v>
      </c>
      <c r="H1537" s="1">
        <v>0</v>
      </c>
      <c r="I1537" s="21">
        <v>44171</v>
      </c>
      <c r="J1537" s="21">
        <v>44173</v>
      </c>
      <c r="K1537" s="21">
        <v>44173</v>
      </c>
      <c r="L1537" t="s">
        <v>63</v>
      </c>
      <c r="M1537" t="s">
        <v>67</v>
      </c>
      <c r="N1537" t="s">
        <v>68</v>
      </c>
      <c r="O1537">
        <v>1</v>
      </c>
      <c r="P1537" t="s">
        <v>2237</v>
      </c>
      <c r="Q1537" t="s">
        <v>4560</v>
      </c>
      <c r="R1537" t="s">
        <v>4710</v>
      </c>
      <c r="S1537" t="s">
        <v>4717</v>
      </c>
      <c r="T1537">
        <f t="shared" si="151"/>
        <v>2</v>
      </c>
      <c r="U1537" s="21">
        <f t="shared" si="158"/>
        <v>44173</v>
      </c>
    </row>
    <row r="1538" spans="1:21" x14ac:dyDescent="0.35">
      <c r="A1538" t="s">
        <v>2516</v>
      </c>
      <c r="B1538" t="s">
        <v>2517</v>
      </c>
      <c r="C1538" t="s">
        <v>30</v>
      </c>
      <c r="D1538" t="s">
        <v>21</v>
      </c>
      <c r="E1538" s="1">
        <v>1050.599999999999</v>
      </c>
      <c r="F1538" t="s">
        <v>22</v>
      </c>
      <c r="G1538">
        <v>0</v>
      </c>
      <c r="H1538" s="1">
        <v>0</v>
      </c>
      <c r="I1538" s="21">
        <v>44168</v>
      </c>
      <c r="J1538" s="21">
        <v>44170</v>
      </c>
      <c r="K1538" s="21">
        <v>44170</v>
      </c>
      <c r="L1538" t="s">
        <v>45</v>
      </c>
      <c r="M1538" t="s">
        <v>72</v>
      </c>
      <c r="N1538" t="s">
        <v>73</v>
      </c>
      <c r="O1538">
        <v>1</v>
      </c>
      <c r="P1538" t="s">
        <v>27</v>
      </c>
      <c r="Q1538" t="s">
        <v>4513</v>
      </c>
      <c r="R1538" t="s">
        <v>4713</v>
      </c>
      <c r="S1538" t="s">
        <v>4719</v>
      </c>
      <c r="T1538">
        <f t="shared" ref="T1538:T1601" si="159">J1538-I1538</f>
        <v>2</v>
      </c>
      <c r="U1538" s="21">
        <f t="shared" si="158"/>
        <v>44170</v>
      </c>
    </row>
    <row r="1539" spans="1:21" x14ac:dyDescent="0.35">
      <c r="A1539" t="s">
        <v>3645</v>
      </c>
      <c r="B1539" t="s">
        <v>3646</v>
      </c>
      <c r="C1539" t="s">
        <v>30</v>
      </c>
      <c r="D1539" t="s">
        <v>21</v>
      </c>
      <c r="E1539" s="1">
        <v>2.3940000000000001</v>
      </c>
      <c r="F1539" t="s">
        <v>22</v>
      </c>
      <c r="G1539">
        <v>0</v>
      </c>
      <c r="H1539" s="1">
        <v>0</v>
      </c>
      <c r="I1539" s="21">
        <v>44168</v>
      </c>
      <c r="J1539" s="21">
        <v>44170</v>
      </c>
      <c r="K1539" s="21">
        <v>44170</v>
      </c>
      <c r="L1539" t="s">
        <v>24</v>
      </c>
      <c r="M1539" t="s">
        <v>46</v>
      </c>
      <c r="N1539" t="s">
        <v>47</v>
      </c>
      <c r="O1539">
        <v>1</v>
      </c>
      <c r="P1539" t="s">
        <v>1874</v>
      </c>
      <c r="Q1539" t="s">
        <v>4729</v>
      </c>
      <c r="R1539" t="s">
        <v>4726</v>
      </c>
      <c r="S1539" t="s">
        <v>4717</v>
      </c>
      <c r="T1539">
        <f t="shared" si="159"/>
        <v>2</v>
      </c>
      <c r="U1539" s="21">
        <f t="shared" si="158"/>
        <v>44170</v>
      </c>
    </row>
    <row r="1540" spans="1:21" x14ac:dyDescent="0.35">
      <c r="A1540" t="s">
        <v>1344</v>
      </c>
      <c r="B1540" t="s">
        <v>1345</v>
      </c>
      <c r="C1540" t="s">
        <v>19</v>
      </c>
      <c r="D1540" t="s">
        <v>21</v>
      </c>
      <c r="E1540" s="1">
        <v>327.56</v>
      </c>
      <c r="F1540" t="s">
        <v>22</v>
      </c>
      <c r="G1540">
        <v>0</v>
      </c>
      <c r="H1540" s="1">
        <v>0</v>
      </c>
      <c r="I1540" s="21">
        <v>44167</v>
      </c>
      <c r="J1540" s="21">
        <v>44169</v>
      </c>
      <c r="K1540" s="21">
        <v>44169</v>
      </c>
      <c r="L1540" t="s">
        <v>39</v>
      </c>
      <c r="M1540" t="s">
        <v>72</v>
      </c>
      <c r="N1540" t="s">
        <v>73</v>
      </c>
      <c r="O1540">
        <v>1</v>
      </c>
      <c r="P1540" t="s">
        <v>1346</v>
      </c>
      <c r="Q1540" t="s">
        <v>4551</v>
      </c>
      <c r="R1540" t="s">
        <v>4711</v>
      </c>
      <c r="S1540" t="s">
        <v>4719</v>
      </c>
      <c r="T1540">
        <f t="shared" si="159"/>
        <v>2</v>
      </c>
      <c r="U1540" s="21">
        <f t="shared" si="158"/>
        <v>44169</v>
      </c>
    </row>
    <row r="1541" spans="1:21" x14ac:dyDescent="0.35">
      <c r="A1541" t="s">
        <v>2513</v>
      </c>
      <c r="B1541" t="s">
        <v>2514</v>
      </c>
      <c r="C1541" t="s">
        <v>30</v>
      </c>
      <c r="D1541" t="s">
        <v>21</v>
      </c>
      <c r="E1541" s="1">
        <v>2854.48</v>
      </c>
      <c r="F1541" t="s">
        <v>22</v>
      </c>
      <c r="G1541">
        <v>0</v>
      </c>
      <c r="H1541" s="1">
        <v>0</v>
      </c>
      <c r="I1541" s="21">
        <v>44167</v>
      </c>
      <c r="J1541" s="21">
        <v>44169</v>
      </c>
      <c r="K1541" s="21">
        <v>44169</v>
      </c>
      <c r="L1541" t="s">
        <v>63</v>
      </c>
      <c r="M1541" t="s">
        <v>97</v>
      </c>
      <c r="N1541" t="s">
        <v>68</v>
      </c>
      <c r="O1541">
        <v>1</v>
      </c>
      <c r="P1541" t="s">
        <v>2515</v>
      </c>
      <c r="Q1541" t="s">
        <v>4729</v>
      </c>
      <c r="R1541" t="s">
        <v>4714</v>
      </c>
      <c r="S1541" t="s">
        <v>4718</v>
      </c>
      <c r="T1541">
        <f t="shared" si="159"/>
        <v>2</v>
      </c>
      <c r="U1541" s="21">
        <f t="shared" si="158"/>
        <v>44169</v>
      </c>
    </row>
    <row r="1542" spans="1:21" x14ac:dyDescent="0.35">
      <c r="A1542" t="s">
        <v>113</v>
      </c>
      <c r="B1542" t="s">
        <v>114</v>
      </c>
      <c r="C1542" t="s">
        <v>30</v>
      </c>
      <c r="D1542" t="s">
        <v>21</v>
      </c>
      <c r="E1542" s="1">
        <v>183.60999999999902</v>
      </c>
      <c r="F1542" t="s">
        <v>22</v>
      </c>
      <c r="G1542">
        <v>0</v>
      </c>
      <c r="H1542" s="1">
        <v>0</v>
      </c>
      <c r="I1542" s="21">
        <v>44164</v>
      </c>
      <c r="J1542" s="21">
        <v>44167</v>
      </c>
      <c r="K1542" s="21">
        <v>44167</v>
      </c>
      <c r="L1542" t="s">
        <v>53</v>
      </c>
      <c r="M1542" t="s">
        <v>54</v>
      </c>
      <c r="N1542" t="s">
        <v>26</v>
      </c>
      <c r="O1542">
        <v>1</v>
      </c>
      <c r="P1542" t="s">
        <v>116</v>
      </c>
      <c r="Q1542" t="s">
        <v>4526</v>
      </c>
      <c r="R1542" t="s">
        <v>4710</v>
      </c>
      <c r="S1542" t="s">
        <v>4717</v>
      </c>
      <c r="T1542">
        <f t="shared" si="159"/>
        <v>3</v>
      </c>
      <c r="U1542" s="21">
        <f t="shared" si="158"/>
        <v>44167</v>
      </c>
    </row>
    <row r="1543" spans="1:21" x14ac:dyDescent="0.35">
      <c r="A1543" t="s">
        <v>2511</v>
      </c>
      <c r="B1543" t="s">
        <v>2512</v>
      </c>
      <c r="C1543" t="s">
        <v>30</v>
      </c>
      <c r="D1543" t="s">
        <v>21</v>
      </c>
      <c r="E1543" s="1">
        <v>2.6240000000000001</v>
      </c>
      <c r="F1543" t="s">
        <v>22</v>
      </c>
      <c r="G1543">
        <v>0</v>
      </c>
      <c r="H1543" s="1">
        <v>0</v>
      </c>
      <c r="I1543" s="21">
        <v>44160</v>
      </c>
      <c r="J1543" s="21">
        <v>44162</v>
      </c>
      <c r="K1543" s="21">
        <v>44162</v>
      </c>
      <c r="L1543" t="s">
        <v>63</v>
      </c>
      <c r="M1543" t="s">
        <v>72</v>
      </c>
      <c r="N1543" t="s">
        <v>73</v>
      </c>
      <c r="O1543">
        <v>1</v>
      </c>
      <c r="P1543" t="s">
        <v>312</v>
      </c>
      <c r="Q1543" t="s">
        <v>4550</v>
      </c>
      <c r="R1543" t="s">
        <v>4726</v>
      </c>
      <c r="S1543" t="s">
        <v>4717</v>
      </c>
      <c r="T1543">
        <f t="shared" si="159"/>
        <v>2</v>
      </c>
      <c r="U1543" s="21">
        <f t="shared" si="158"/>
        <v>44162</v>
      </c>
    </row>
    <row r="1544" spans="1:21" x14ac:dyDescent="0.35">
      <c r="A1544" t="s">
        <v>1341</v>
      </c>
      <c r="B1544" t="s">
        <v>1342</v>
      </c>
      <c r="C1544" t="s">
        <v>30</v>
      </c>
      <c r="D1544" t="s">
        <v>21</v>
      </c>
      <c r="E1544" s="1">
        <v>151.72</v>
      </c>
      <c r="F1544" t="s">
        <v>22</v>
      </c>
      <c r="G1544">
        <v>0</v>
      </c>
      <c r="H1544" s="1">
        <v>0</v>
      </c>
      <c r="I1544" s="21">
        <v>44160</v>
      </c>
      <c r="J1544" s="21">
        <v>44162</v>
      </c>
      <c r="K1544" s="21">
        <v>44162</v>
      </c>
      <c r="L1544" t="s">
        <v>24</v>
      </c>
      <c r="M1544" t="s">
        <v>54</v>
      </c>
      <c r="N1544" t="s">
        <v>26</v>
      </c>
      <c r="O1544">
        <v>1</v>
      </c>
      <c r="P1544" t="s">
        <v>1343</v>
      </c>
      <c r="Q1544" t="s">
        <v>4533</v>
      </c>
      <c r="R1544" t="s">
        <v>4721</v>
      </c>
      <c r="S1544" t="s">
        <v>4718</v>
      </c>
      <c r="T1544">
        <f t="shared" si="159"/>
        <v>2</v>
      </c>
      <c r="U1544" s="21">
        <f t="shared" si="158"/>
        <v>44162</v>
      </c>
    </row>
    <row r="1545" spans="1:21" x14ac:dyDescent="0.35">
      <c r="A1545" t="s">
        <v>110</v>
      </c>
      <c r="B1545" t="s">
        <v>111</v>
      </c>
      <c r="C1545" t="s">
        <v>30</v>
      </c>
      <c r="D1545" t="s">
        <v>21</v>
      </c>
      <c r="E1545" s="1">
        <v>1037.19</v>
      </c>
      <c r="F1545" t="s">
        <v>22</v>
      </c>
      <c r="G1545">
        <v>0</v>
      </c>
      <c r="H1545" s="1">
        <v>0</v>
      </c>
      <c r="I1545" s="21">
        <v>44159</v>
      </c>
      <c r="J1545" s="21">
        <v>44161</v>
      </c>
      <c r="K1545" s="21">
        <v>44161</v>
      </c>
      <c r="L1545" t="s">
        <v>32</v>
      </c>
      <c r="M1545" t="s">
        <v>40</v>
      </c>
      <c r="N1545" t="s">
        <v>34</v>
      </c>
      <c r="O1545">
        <v>1</v>
      </c>
      <c r="P1545" t="s">
        <v>112</v>
      </c>
      <c r="Q1545" t="s">
        <v>4525</v>
      </c>
      <c r="R1545" t="s">
        <v>4714</v>
      </c>
      <c r="S1545" t="s">
        <v>4718</v>
      </c>
      <c r="T1545">
        <f t="shared" si="159"/>
        <v>2</v>
      </c>
      <c r="U1545" s="21">
        <f t="shared" si="158"/>
        <v>44161</v>
      </c>
    </row>
    <row r="1546" spans="1:21" x14ac:dyDescent="0.35">
      <c r="A1546" t="s">
        <v>107</v>
      </c>
      <c r="B1546" t="s">
        <v>108</v>
      </c>
      <c r="C1546" t="s">
        <v>30</v>
      </c>
      <c r="D1546" t="s">
        <v>21</v>
      </c>
      <c r="E1546" s="1">
        <v>9.9600000000000009</v>
      </c>
      <c r="F1546" t="s">
        <v>22</v>
      </c>
      <c r="G1546">
        <v>0</v>
      </c>
      <c r="H1546" s="1">
        <v>0</v>
      </c>
      <c r="I1546" s="21">
        <v>44158</v>
      </c>
      <c r="J1546" s="21">
        <v>44161</v>
      </c>
      <c r="K1546" s="21">
        <v>44161</v>
      </c>
      <c r="L1546" t="s">
        <v>63</v>
      </c>
      <c r="M1546" t="s">
        <v>40</v>
      </c>
      <c r="N1546" t="s">
        <v>34</v>
      </c>
      <c r="O1546">
        <v>1</v>
      </c>
      <c r="P1546" t="s">
        <v>109</v>
      </c>
      <c r="Q1546" t="s">
        <v>4729</v>
      </c>
      <c r="R1546" t="s">
        <v>4726</v>
      </c>
      <c r="S1546" t="s">
        <v>4717</v>
      </c>
      <c r="T1546">
        <f t="shared" si="159"/>
        <v>3</v>
      </c>
      <c r="U1546" s="21">
        <f t="shared" si="158"/>
        <v>44161</v>
      </c>
    </row>
    <row r="1547" spans="1:21" x14ac:dyDescent="0.35">
      <c r="A1547" t="s">
        <v>2509</v>
      </c>
      <c r="B1547" t="s">
        <v>2510</v>
      </c>
      <c r="C1547" t="s">
        <v>30</v>
      </c>
      <c r="D1547" t="s">
        <v>21</v>
      </c>
      <c r="E1547" s="1">
        <v>6.9279999999999902</v>
      </c>
      <c r="F1547" t="s">
        <v>22</v>
      </c>
      <c r="G1547">
        <v>0</v>
      </c>
      <c r="H1547" s="1">
        <v>0</v>
      </c>
      <c r="I1547" s="21">
        <v>44158</v>
      </c>
      <c r="J1547" s="21">
        <v>44161</v>
      </c>
      <c r="K1547" s="21">
        <v>44161</v>
      </c>
      <c r="L1547" t="s">
        <v>63</v>
      </c>
      <c r="M1547" t="s">
        <v>72</v>
      </c>
      <c r="N1547" t="s">
        <v>73</v>
      </c>
      <c r="O1547">
        <v>1</v>
      </c>
      <c r="P1547" t="s">
        <v>1777</v>
      </c>
      <c r="Q1547" t="s">
        <v>4515</v>
      </c>
      <c r="R1547" t="s">
        <v>4726</v>
      </c>
      <c r="S1547" t="s">
        <v>4717</v>
      </c>
      <c r="T1547">
        <f t="shared" si="159"/>
        <v>3</v>
      </c>
      <c r="U1547" s="21">
        <f t="shared" si="158"/>
        <v>44161</v>
      </c>
    </row>
    <row r="1548" spans="1:21" x14ac:dyDescent="0.35">
      <c r="A1548" t="s">
        <v>3642</v>
      </c>
      <c r="B1548" t="s">
        <v>3643</v>
      </c>
      <c r="C1548" t="s">
        <v>30</v>
      </c>
      <c r="D1548" t="s">
        <v>21</v>
      </c>
      <c r="E1548" s="1">
        <v>47.496000000000002</v>
      </c>
      <c r="F1548" t="s">
        <v>22</v>
      </c>
      <c r="G1548">
        <v>0</v>
      </c>
      <c r="H1548" s="1">
        <v>0</v>
      </c>
      <c r="I1548" s="21">
        <v>44155</v>
      </c>
      <c r="J1548" s="21">
        <v>44157</v>
      </c>
      <c r="K1548" s="21">
        <v>44157</v>
      </c>
      <c r="L1548" t="s">
        <v>32</v>
      </c>
      <c r="M1548" t="s">
        <v>54</v>
      </c>
      <c r="N1548" t="s">
        <v>26</v>
      </c>
      <c r="O1548">
        <v>1</v>
      </c>
      <c r="P1548" t="s">
        <v>3644</v>
      </c>
      <c r="Q1548" t="s">
        <v>4513</v>
      </c>
      <c r="R1548" t="s">
        <v>4713</v>
      </c>
      <c r="S1548" t="s">
        <v>4719</v>
      </c>
      <c r="T1548">
        <f t="shared" si="159"/>
        <v>2</v>
      </c>
      <c r="U1548" s="21">
        <f t="shared" si="158"/>
        <v>44157</v>
      </c>
    </row>
    <row r="1549" spans="1:21" x14ac:dyDescent="0.35">
      <c r="A1549" t="s">
        <v>2506</v>
      </c>
      <c r="B1549" t="s">
        <v>2507</v>
      </c>
      <c r="C1549" t="s">
        <v>19</v>
      </c>
      <c r="D1549" t="s">
        <v>21</v>
      </c>
      <c r="E1549" s="1">
        <v>1109.3719999999998</v>
      </c>
      <c r="F1549" t="s">
        <v>22</v>
      </c>
      <c r="G1549">
        <v>0</v>
      </c>
      <c r="H1549" s="1">
        <v>0</v>
      </c>
      <c r="I1549" s="21">
        <v>44154</v>
      </c>
      <c r="J1549" s="21">
        <v>44157</v>
      </c>
      <c r="K1549" s="21">
        <v>44157</v>
      </c>
      <c r="L1549" t="s">
        <v>53</v>
      </c>
      <c r="M1549" t="s">
        <v>82</v>
      </c>
      <c r="N1549" t="s">
        <v>47</v>
      </c>
      <c r="O1549">
        <v>1</v>
      </c>
      <c r="P1549" t="s">
        <v>2508</v>
      </c>
      <c r="Q1549" t="s">
        <v>4660</v>
      </c>
      <c r="R1549" t="s">
        <v>4712</v>
      </c>
      <c r="S1549" t="s">
        <v>4718</v>
      </c>
      <c r="T1549">
        <f t="shared" si="159"/>
        <v>3</v>
      </c>
      <c r="U1549" s="21">
        <f t="shared" si="158"/>
        <v>44157</v>
      </c>
    </row>
    <row r="1550" spans="1:21" x14ac:dyDescent="0.35">
      <c r="A1550" t="s">
        <v>3640</v>
      </c>
      <c r="B1550" t="s">
        <v>3641</v>
      </c>
      <c r="C1550" t="s">
        <v>30</v>
      </c>
      <c r="D1550" t="s">
        <v>21</v>
      </c>
      <c r="E1550" s="1">
        <v>1075.369999999999</v>
      </c>
      <c r="F1550" t="s">
        <v>22</v>
      </c>
      <c r="G1550">
        <v>0</v>
      </c>
      <c r="H1550" s="1">
        <v>0</v>
      </c>
      <c r="I1550" s="21">
        <v>44153</v>
      </c>
      <c r="J1550" s="21">
        <v>44155</v>
      </c>
      <c r="K1550" s="21">
        <v>44155</v>
      </c>
      <c r="L1550" t="s">
        <v>24</v>
      </c>
      <c r="M1550" t="s">
        <v>146</v>
      </c>
      <c r="N1550" t="s">
        <v>73</v>
      </c>
      <c r="O1550">
        <v>1</v>
      </c>
      <c r="P1550" t="s">
        <v>3621</v>
      </c>
      <c r="Q1550" t="s">
        <v>4694</v>
      </c>
      <c r="R1550" t="s">
        <v>4713</v>
      </c>
      <c r="S1550" t="s">
        <v>4719</v>
      </c>
      <c r="T1550">
        <f t="shared" si="159"/>
        <v>2</v>
      </c>
      <c r="U1550" s="21">
        <f t="shared" si="158"/>
        <v>44155</v>
      </c>
    </row>
    <row r="1551" spans="1:21" x14ac:dyDescent="0.35">
      <c r="A1551" t="s">
        <v>3637</v>
      </c>
      <c r="B1551" t="s">
        <v>3638</v>
      </c>
      <c r="C1551" t="s">
        <v>19</v>
      </c>
      <c r="D1551" t="s">
        <v>21</v>
      </c>
      <c r="E1551" s="1">
        <v>730.85249999999996</v>
      </c>
      <c r="F1551" t="s">
        <v>22</v>
      </c>
      <c r="G1551">
        <v>0</v>
      </c>
      <c r="H1551" s="1">
        <v>0</v>
      </c>
      <c r="I1551" s="21">
        <v>44152</v>
      </c>
      <c r="J1551" s="21">
        <v>44154</v>
      </c>
      <c r="K1551" s="21">
        <v>44154</v>
      </c>
      <c r="L1551" t="s">
        <v>63</v>
      </c>
      <c r="M1551" t="s">
        <v>46</v>
      </c>
      <c r="N1551" t="s">
        <v>47</v>
      </c>
      <c r="O1551">
        <v>1</v>
      </c>
      <c r="P1551" t="s">
        <v>3639</v>
      </c>
      <c r="Q1551" t="s">
        <v>4647</v>
      </c>
      <c r="R1551" t="s">
        <v>4711</v>
      </c>
      <c r="S1551" t="s">
        <v>4719</v>
      </c>
      <c r="T1551">
        <f t="shared" si="159"/>
        <v>2</v>
      </c>
      <c r="U1551" s="21">
        <f t="shared" si="158"/>
        <v>44154</v>
      </c>
    </row>
    <row r="1552" spans="1:21" x14ac:dyDescent="0.35">
      <c r="A1552" t="s">
        <v>1338</v>
      </c>
      <c r="B1552" t="s">
        <v>1339</v>
      </c>
      <c r="C1552" t="s">
        <v>19</v>
      </c>
      <c r="D1552" t="s">
        <v>21</v>
      </c>
      <c r="E1552" s="1">
        <v>803.04000000000008</v>
      </c>
      <c r="F1552" t="s">
        <v>22</v>
      </c>
      <c r="G1552">
        <v>0</v>
      </c>
      <c r="H1552" s="1">
        <v>0</v>
      </c>
      <c r="I1552" s="21">
        <v>44151</v>
      </c>
      <c r="J1552" s="21">
        <v>44154</v>
      </c>
      <c r="K1552" s="21">
        <v>44154</v>
      </c>
      <c r="L1552" t="s">
        <v>32</v>
      </c>
      <c r="M1552" t="s">
        <v>33</v>
      </c>
      <c r="N1552" t="s">
        <v>34</v>
      </c>
      <c r="O1552">
        <v>1</v>
      </c>
      <c r="P1552" t="s">
        <v>1340</v>
      </c>
      <c r="Q1552" t="s">
        <v>4533</v>
      </c>
      <c r="R1552" t="s">
        <v>4724</v>
      </c>
      <c r="S1552" t="s">
        <v>4718</v>
      </c>
      <c r="T1552">
        <f t="shared" si="159"/>
        <v>3</v>
      </c>
      <c r="U1552" s="21">
        <f t="shared" si="158"/>
        <v>44154</v>
      </c>
    </row>
    <row r="1553" spans="1:21" x14ac:dyDescent="0.35">
      <c r="A1553" t="s">
        <v>103</v>
      </c>
      <c r="B1553" t="s">
        <v>104</v>
      </c>
      <c r="C1553" t="s">
        <v>19</v>
      </c>
      <c r="D1553" t="s">
        <v>21</v>
      </c>
      <c r="E1553" s="1">
        <v>20.736000000000001</v>
      </c>
      <c r="F1553" t="s">
        <v>22</v>
      </c>
      <c r="G1553">
        <v>0</v>
      </c>
      <c r="H1553" s="1">
        <v>0</v>
      </c>
      <c r="I1553" s="21">
        <v>44150</v>
      </c>
      <c r="J1553" s="21">
        <v>44151</v>
      </c>
      <c r="K1553" s="21">
        <v>44151</v>
      </c>
      <c r="L1553" t="s">
        <v>24</v>
      </c>
      <c r="M1553" t="s">
        <v>33</v>
      </c>
      <c r="N1553" t="s">
        <v>34</v>
      </c>
      <c r="O1553">
        <v>1</v>
      </c>
      <c r="P1553" t="s">
        <v>106</v>
      </c>
      <c r="Q1553" t="s">
        <v>4519</v>
      </c>
      <c r="R1553" t="s">
        <v>4726</v>
      </c>
      <c r="S1553" t="s">
        <v>4717</v>
      </c>
      <c r="T1553">
        <f t="shared" si="159"/>
        <v>1</v>
      </c>
      <c r="U1553" s="21">
        <f t="shared" si="158"/>
        <v>44151</v>
      </c>
    </row>
    <row r="1554" spans="1:21" x14ac:dyDescent="0.35">
      <c r="A1554" t="s">
        <v>3634</v>
      </c>
      <c r="B1554" t="s">
        <v>3635</v>
      </c>
      <c r="C1554" t="s">
        <v>30</v>
      </c>
      <c r="D1554" t="s">
        <v>21</v>
      </c>
      <c r="E1554" s="1">
        <v>2158.694</v>
      </c>
      <c r="F1554" t="s">
        <v>22</v>
      </c>
      <c r="G1554">
        <v>0</v>
      </c>
      <c r="H1554" s="1">
        <v>0</v>
      </c>
      <c r="I1554" s="21">
        <v>44147</v>
      </c>
      <c r="J1554" s="21">
        <v>44149</v>
      </c>
      <c r="K1554" s="21">
        <v>44149</v>
      </c>
      <c r="L1554" t="s">
        <v>53</v>
      </c>
      <c r="M1554" t="s">
        <v>67</v>
      </c>
      <c r="N1554" t="s">
        <v>68</v>
      </c>
      <c r="O1554">
        <v>1</v>
      </c>
      <c r="P1554" t="s">
        <v>3636</v>
      </c>
      <c r="Q1554" t="s">
        <v>4545</v>
      </c>
      <c r="R1554" t="s">
        <v>4710</v>
      </c>
      <c r="S1554" t="s">
        <v>4717</v>
      </c>
      <c r="T1554">
        <f t="shared" si="159"/>
        <v>2</v>
      </c>
      <c r="U1554" s="21">
        <f t="shared" si="158"/>
        <v>44149</v>
      </c>
    </row>
    <row r="1555" spans="1:21" x14ac:dyDescent="0.35">
      <c r="A1555" t="s">
        <v>3632</v>
      </c>
      <c r="B1555" t="s">
        <v>3633</v>
      </c>
      <c r="C1555" t="s">
        <v>19</v>
      </c>
      <c r="D1555" t="s">
        <v>21</v>
      </c>
      <c r="E1555" s="1">
        <v>36.1</v>
      </c>
      <c r="F1555" t="s">
        <v>22</v>
      </c>
      <c r="G1555">
        <v>0</v>
      </c>
      <c r="H1555" s="1">
        <v>0</v>
      </c>
      <c r="I1555" s="21">
        <v>44143</v>
      </c>
      <c r="J1555" s="21">
        <v>44144</v>
      </c>
      <c r="K1555" s="21">
        <v>44144</v>
      </c>
      <c r="L1555" t="s">
        <v>45</v>
      </c>
      <c r="M1555" t="s">
        <v>46</v>
      </c>
      <c r="N1555" t="s">
        <v>47</v>
      </c>
      <c r="O1555">
        <v>1</v>
      </c>
      <c r="P1555" t="s">
        <v>2403</v>
      </c>
      <c r="Q1555" t="s">
        <v>4729</v>
      </c>
      <c r="R1555" t="s">
        <v>4726</v>
      </c>
      <c r="S1555" t="s">
        <v>4717</v>
      </c>
      <c r="T1555">
        <f t="shared" si="159"/>
        <v>1</v>
      </c>
      <c r="U1555" s="21">
        <f t="shared" si="158"/>
        <v>44144</v>
      </c>
    </row>
    <row r="1556" spans="1:21" x14ac:dyDescent="0.35">
      <c r="A1556" t="s">
        <v>1335</v>
      </c>
      <c r="B1556" t="s">
        <v>1336</v>
      </c>
      <c r="C1556" t="s">
        <v>30</v>
      </c>
      <c r="D1556" t="s">
        <v>21</v>
      </c>
      <c r="E1556" s="1">
        <v>100.39799999999991</v>
      </c>
      <c r="F1556" t="s">
        <v>22</v>
      </c>
      <c r="G1556">
        <v>0</v>
      </c>
      <c r="H1556" s="1">
        <v>0</v>
      </c>
      <c r="I1556" s="21">
        <v>44143</v>
      </c>
      <c r="J1556" s="21">
        <v>44145</v>
      </c>
      <c r="K1556" s="21">
        <v>44145</v>
      </c>
      <c r="L1556" t="s">
        <v>45</v>
      </c>
      <c r="M1556" t="s">
        <v>40</v>
      </c>
      <c r="N1556" t="s">
        <v>34</v>
      </c>
      <c r="O1556">
        <v>1</v>
      </c>
      <c r="P1556" t="s">
        <v>1337</v>
      </c>
      <c r="Q1556" t="s">
        <v>4729</v>
      </c>
      <c r="R1556" t="s">
        <v>4726</v>
      </c>
      <c r="S1556" t="s">
        <v>4717</v>
      </c>
      <c r="T1556">
        <f t="shared" si="159"/>
        <v>2</v>
      </c>
      <c r="U1556" s="21">
        <f t="shared" si="158"/>
        <v>44145</v>
      </c>
    </row>
    <row r="1557" spans="1:21" x14ac:dyDescent="0.35">
      <c r="A1557" t="s">
        <v>1332</v>
      </c>
      <c r="B1557" t="s">
        <v>1333</v>
      </c>
      <c r="C1557" t="s">
        <v>30</v>
      </c>
      <c r="D1557" t="s">
        <v>21</v>
      </c>
      <c r="E1557" s="1">
        <v>94.263999999999996</v>
      </c>
      <c r="F1557" t="s">
        <v>22</v>
      </c>
      <c r="G1557">
        <v>0</v>
      </c>
      <c r="H1557" s="1">
        <v>0</v>
      </c>
      <c r="I1557" s="21">
        <v>44137</v>
      </c>
      <c r="J1557" s="21">
        <v>44139</v>
      </c>
      <c r="K1557" s="21">
        <v>44139</v>
      </c>
      <c r="L1557" t="s">
        <v>32</v>
      </c>
      <c r="M1557" t="s">
        <v>54</v>
      </c>
      <c r="N1557" t="s">
        <v>26</v>
      </c>
      <c r="O1557">
        <v>1</v>
      </c>
      <c r="P1557" t="s">
        <v>1334</v>
      </c>
      <c r="Q1557" t="s">
        <v>4553</v>
      </c>
      <c r="R1557" t="s">
        <v>4722</v>
      </c>
      <c r="S1557" t="s">
        <v>4718</v>
      </c>
      <c r="T1557">
        <f t="shared" si="159"/>
        <v>2</v>
      </c>
      <c r="U1557" s="21">
        <f t="shared" si="158"/>
        <v>44139</v>
      </c>
    </row>
    <row r="1558" spans="1:21" x14ac:dyDescent="0.35">
      <c r="A1558" t="s">
        <v>2472</v>
      </c>
      <c r="B1558" t="s">
        <v>2473</v>
      </c>
      <c r="C1558" t="s">
        <v>19</v>
      </c>
      <c r="D1558" t="s">
        <v>21</v>
      </c>
      <c r="E1558" s="1">
        <v>2735.9520000000002</v>
      </c>
      <c r="F1558" t="s">
        <v>22</v>
      </c>
      <c r="G1558">
        <v>0</v>
      </c>
      <c r="H1558" s="1">
        <v>0</v>
      </c>
      <c r="I1558" s="21">
        <v>44134</v>
      </c>
      <c r="J1558" s="21">
        <v>44136</v>
      </c>
      <c r="K1558" s="21">
        <v>44136</v>
      </c>
      <c r="L1558" t="s">
        <v>45</v>
      </c>
      <c r="M1558" t="s">
        <v>46</v>
      </c>
      <c r="N1558" t="s">
        <v>47</v>
      </c>
      <c r="O1558">
        <v>1</v>
      </c>
      <c r="P1558" t="s">
        <v>2474</v>
      </c>
      <c r="Q1558" t="s">
        <v>4652</v>
      </c>
      <c r="R1558" t="s">
        <v>4711</v>
      </c>
      <c r="S1558" t="s">
        <v>4719</v>
      </c>
      <c r="T1558">
        <f t="shared" si="159"/>
        <v>2</v>
      </c>
      <c r="U1558" s="21">
        <f t="shared" si="158"/>
        <v>44136</v>
      </c>
    </row>
    <row r="1559" spans="1:21" x14ac:dyDescent="0.35">
      <c r="A1559" t="s">
        <v>49</v>
      </c>
      <c r="B1559" t="s">
        <v>50</v>
      </c>
      <c r="C1559" t="s">
        <v>19</v>
      </c>
      <c r="D1559" t="s">
        <v>21</v>
      </c>
      <c r="E1559" s="1">
        <v>1252.6020000000001</v>
      </c>
      <c r="F1559" t="s">
        <v>22</v>
      </c>
      <c r="G1559">
        <v>0</v>
      </c>
      <c r="H1559" s="1">
        <v>0</v>
      </c>
      <c r="I1559" s="21">
        <v>44133</v>
      </c>
      <c r="J1559" s="21">
        <v>44136</v>
      </c>
      <c r="K1559" s="21">
        <v>44136</v>
      </c>
      <c r="L1559" t="s">
        <v>53</v>
      </c>
      <c r="M1559" t="s">
        <v>54</v>
      </c>
      <c r="N1559" t="s">
        <v>26</v>
      </c>
      <c r="O1559">
        <v>1</v>
      </c>
      <c r="P1559" t="s">
        <v>55</v>
      </c>
      <c r="Q1559" t="s">
        <v>4517</v>
      </c>
      <c r="R1559" t="s">
        <v>4726</v>
      </c>
      <c r="S1559" t="s">
        <v>4717</v>
      </c>
      <c r="T1559">
        <f t="shared" si="159"/>
        <v>3</v>
      </c>
      <c r="U1559" s="21">
        <f t="shared" si="158"/>
        <v>44136</v>
      </c>
    </row>
    <row r="1560" spans="1:21" x14ac:dyDescent="0.35">
      <c r="A1560" t="s">
        <v>4508</v>
      </c>
      <c r="B1560" t="s">
        <v>4509</v>
      </c>
      <c r="C1560" t="s">
        <v>30</v>
      </c>
      <c r="D1560" t="s">
        <v>21</v>
      </c>
      <c r="E1560" s="1">
        <v>49.408000000000001</v>
      </c>
      <c r="F1560" t="s">
        <v>22</v>
      </c>
      <c r="G1560">
        <v>0</v>
      </c>
      <c r="H1560" s="1">
        <v>0</v>
      </c>
      <c r="I1560" s="21">
        <v>44130</v>
      </c>
      <c r="J1560" s="21">
        <v>44133</v>
      </c>
      <c r="K1560" s="21">
        <v>44133</v>
      </c>
      <c r="L1560" t="s">
        <v>53</v>
      </c>
      <c r="M1560" t="s">
        <v>146</v>
      </c>
      <c r="N1560" t="s">
        <v>73</v>
      </c>
      <c r="O1560">
        <v>1</v>
      </c>
      <c r="P1560" t="s">
        <v>3651</v>
      </c>
      <c r="Q1560" t="s">
        <v>4528</v>
      </c>
      <c r="R1560" t="s">
        <v>4726</v>
      </c>
      <c r="S1560" t="s">
        <v>4717</v>
      </c>
      <c r="T1560">
        <f t="shared" si="159"/>
        <v>3</v>
      </c>
      <c r="U1560" s="21">
        <f t="shared" si="158"/>
        <v>44133</v>
      </c>
    </row>
    <row r="1561" spans="1:21" x14ac:dyDescent="0.35">
      <c r="A1561" t="s">
        <v>2427</v>
      </c>
      <c r="B1561" t="s">
        <v>2428</v>
      </c>
      <c r="C1561" t="s">
        <v>19</v>
      </c>
      <c r="D1561" t="s">
        <v>21</v>
      </c>
      <c r="E1561" s="1">
        <v>531.38199999999995</v>
      </c>
      <c r="F1561" t="s">
        <v>22</v>
      </c>
      <c r="G1561">
        <v>0</v>
      </c>
      <c r="H1561" s="1">
        <v>0</v>
      </c>
      <c r="I1561" s="21">
        <v>44126</v>
      </c>
      <c r="J1561" s="21">
        <v>44127</v>
      </c>
      <c r="K1561" s="21">
        <v>44127</v>
      </c>
      <c r="L1561" t="s">
        <v>24</v>
      </c>
      <c r="M1561" t="s">
        <v>67</v>
      </c>
      <c r="N1561" t="s">
        <v>68</v>
      </c>
      <c r="O1561">
        <v>1</v>
      </c>
      <c r="P1561" t="s">
        <v>1443</v>
      </c>
      <c r="Q1561" t="s">
        <v>4560</v>
      </c>
      <c r="R1561" t="s">
        <v>4721</v>
      </c>
      <c r="S1561" t="s">
        <v>4717</v>
      </c>
      <c r="T1561">
        <f t="shared" si="159"/>
        <v>1</v>
      </c>
      <c r="U1561" s="21">
        <f t="shared" si="158"/>
        <v>44127</v>
      </c>
    </row>
    <row r="1562" spans="1:21" x14ac:dyDescent="0.35">
      <c r="A1562" t="s">
        <v>3577</v>
      </c>
      <c r="B1562" t="s">
        <v>3578</v>
      </c>
      <c r="C1562" t="s">
        <v>30</v>
      </c>
      <c r="D1562" t="s">
        <v>21</v>
      </c>
      <c r="E1562" s="1">
        <v>426.94200000000001</v>
      </c>
      <c r="F1562" t="s">
        <v>22</v>
      </c>
      <c r="G1562">
        <v>0</v>
      </c>
      <c r="H1562" s="1">
        <v>0</v>
      </c>
      <c r="I1562" s="21">
        <v>44125</v>
      </c>
      <c r="J1562" s="21">
        <v>44128</v>
      </c>
      <c r="K1562" s="21">
        <v>44128</v>
      </c>
      <c r="L1562" t="s">
        <v>63</v>
      </c>
      <c r="M1562" t="s">
        <v>54</v>
      </c>
      <c r="N1562" t="s">
        <v>26</v>
      </c>
      <c r="O1562">
        <v>1</v>
      </c>
      <c r="P1562" t="s">
        <v>2365</v>
      </c>
      <c r="Q1562" t="s">
        <v>4534</v>
      </c>
      <c r="R1562" t="s">
        <v>4712</v>
      </c>
      <c r="S1562" t="s">
        <v>4718</v>
      </c>
      <c r="T1562">
        <f t="shared" si="159"/>
        <v>3</v>
      </c>
      <c r="U1562" s="21">
        <f t="shared" si="158"/>
        <v>44128</v>
      </c>
    </row>
    <row r="1563" spans="1:21" x14ac:dyDescent="0.35">
      <c r="A1563" t="s">
        <v>2503</v>
      </c>
      <c r="B1563" t="s">
        <v>2504</v>
      </c>
      <c r="C1563" t="s">
        <v>30</v>
      </c>
      <c r="D1563" t="s">
        <v>21</v>
      </c>
      <c r="E1563" s="1">
        <v>191.34</v>
      </c>
      <c r="F1563" t="s">
        <v>22</v>
      </c>
      <c r="G1563">
        <v>0</v>
      </c>
      <c r="H1563" s="1">
        <v>0</v>
      </c>
      <c r="I1563" s="21">
        <v>44120</v>
      </c>
      <c r="J1563" s="21">
        <v>44122</v>
      </c>
      <c r="K1563" s="21">
        <v>44122</v>
      </c>
      <c r="L1563" t="s">
        <v>63</v>
      </c>
      <c r="M1563" t="s">
        <v>33</v>
      </c>
      <c r="N1563" t="s">
        <v>34</v>
      </c>
      <c r="O1563">
        <v>1</v>
      </c>
      <c r="P1563" t="s">
        <v>2505</v>
      </c>
      <c r="Q1563" t="s">
        <v>4567</v>
      </c>
      <c r="R1563" t="s">
        <v>4714</v>
      </c>
      <c r="S1563" t="s">
        <v>4718</v>
      </c>
      <c r="T1563">
        <f t="shared" si="159"/>
        <v>2</v>
      </c>
      <c r="U1563" s="21">
        <f t="shared" si="158"/>
        <v>44122</v>
      </c>
    </row>
    <row r="1564" spans="1:21" x14ac:dyDescent="0.35">
      <c r="A1564" t="s">
        <v>2429</v>
      </c>
      <c r="B1564" t="s">
        <v>2430</v>
      </c>
      <c r="C1564" t="s">
        <v>30</v>
      </c>
      <c r="D1564" t="s">
        <v>21</v>
      </c>
      <c r="E1564" s="1">
        <v>1885.27</v>
      </c>
      <c r="F1564" t="s">
        <v>22</v>
      </c>
      <c r="G1564">
        <v>0</v>
      </c>
      <c r="H1564" s="1">
        <v>0</v>
      </c>
      <c r="I1564" s="21">
        <v>44119</v>
      </c>
      <c r="J1564" s="21">
        <v>44122</v>
      </c>
      <c r="K1564" s="21">
        <v>44122</v>
      </c>
      <c r="L1564" t="s">
        <v>39</v>
      </c>
      <c r="M1564" t="s">
        <v>82</v>
      </c>
      <c r="N1564" t="s">
        <v>47</v>
      </c>
      <c r="O1564">
        <v>1</v>
      </c>
      <c r="P1564" t="s">
        <v>2431</v>
      </c>
      <c r="Q1564" t="s">
        <v>4729</v>
      </c>
      <c r="R1564" t="s">
        <v>4713</v>
      </c>
      <c r="S1564" t="s">
        <v>4719</v>
      </c>
      <c r="T1564">
        <f t="shared" si="159"/>
        <v>3</v>
      </c>
      <c r="U1564" s="21">
        <f t="shared" si="158"/>
        <v>44122</v>
      </c>
    </row>
    <row r="1565" spans="1:21" x14ac:dyDescent="0.35">
      <c r="A1565" t="s">
        <v>2501</v>
      </c>
      <c r="B1565" t="s">
        <v>2502</v>
      </c>
      <c r="C1565" t="s">
        <v>30</v>
      </c>
      <c r="D1565" t="s">
        <v>21</v>
      </c>
      <c r="E1565" s="1">
        <v>1549.77</v>
      </c>
      <c r="F1565" t="s">
        <v>22</v>
      </c>
      <c r="G1565">
        <v>0</v>
      </c>
      <c r="H1565" s="1">
        <v>0</v>
      </c>
      <c r="I1565" s="21">
        <v>44118</v>
      </c>
      <c r="J1565" s="21">
        <v>44120</v>
      </c>
      <c r="K1565" s="21">
        <v>44120</v>
      </c>
      <c r="L1565" t="s">
        <v>24</v>
      </c>
      <c r="M1565" t="s">
        <v>82</v>
      </c>
      <c r="N1565" t="s">
        <v>47</v>
      </c>
      <c r="O1565">
        <v>1</v>
      </c>
      <c r="P1565" t="s">
        <v>120</v>
      </c>
      <c r="Q1565" t="s">
        <v>4520</v>
      </c>
      <c r="R1565" t="s">
        <v>4726</v>
      </c>
      <c r="S1565" t="s">
        <v>4717</v>
      </c>
      <c r="T1565">
        <f t="shared" si="159"/>
        <v>2</v>
      </c>
      <c r="U1565" s="21">
        <f t="shared" si="158"/>
        <v>44120</v>
      </c>
    </row>
    <row r="1566" spans="1:21" x14ac:dyDescent="0.35">
      <c r="A1566" t="s">
        <v>1323</v>
      </c>
      <c r="B1566" t="s">
        <v>1324</v>
      </c>
      <c r="C1566" t="s">
        <v>19</v>
      </c>
      <c r="D1566" t="s">
        <v>21</v>
      </c>
      <c r="E1566" s="1">
        <v>389.74</v>
      </c>
      <c r="F1566" t="s">
        <v>22</v>
      </c>
      <c r="G1566">
        <v>0</v>
      </c>
      <c r="H1566" s="1">
        <v>0</v>
      </c>
      <c r="I1566" s="21">
        <v>44118</v>
      </c>
      <c r="J1566" s="21">
        <v>44120</v>
      </c>
      <c r="K1566" s="21">
        <v>44120</v>
      </c>
      <c r="L1566" t="s">
        <v>32</v>
      </c>
      <c r="M1566" t="s">
        <v>46</v>
      </c>
      <c r="N1566" t="s">
        <v>47</v>
      </c>
      <c r="O1566">
        <v>1</v>
      </c>
      <c r="P1566" t="s">
        <v>1325</v>
      </c>
      <c r="Q1566" t="s">
        <v>4625</v>
      </c>
      <c r="R1566" t="s">
        <v>4512</v>
      </c>
      <c r="S1566" t="s">
        <v>4717</v>
      </c>
      <c r="T1566">
        <f t="shared" si="159"/>
        <v>2</v>
      </c>
      <c r="U1566" s="21">
        <f t="shared" si="158"/>
        <v>44120</v>
      </c>
    </row>
    <row r="1567" spans="1:21" x14ac:dyDescent="0.35">
      <c r="A1567" t="s">
        <v>2498</v>
      </c>
      <c r="B1567" t="s">
        <v>2499</v>
      </c>
      <c r="C1567" t="s">
        <v>19</v>
      </c>
      <c r="D1567" t="s">
        <v>21</v>
      </c>
      <c r="E1567" s="1">
        <v>465.488</v>
      </c>
      <c r="F1567" t="s">
        <v>22</v>
      </c>
      <c r="G1567">
        <v>0</v>
      </c>
      <c r="H1567" s="1">
        <v>0</v>
      </c>
      <c r="I1567" s="21">
        <v>44116</v>
      </c>
      <c r="J1567" s="21">
        <v>44118</v>
      </c>
      <c r="K1567" s="21">
        <v>44118</v>
      </c>
      <c r="L1567" t="s">
        <v>24</v>
      </c>
      <c r="M1567" t="s">
        <v>25</v>
      </c>
      <c r="N1567" t="s">
        <v>26</v>
      </c>
      <c r="O1567">
        <v>1</v>
      </c>
      <c r="P1567" t="s">
        <v>2500</v>
      </c>
      <c r="Q1567" t="s">
        <v>4659</v>
      </c>
      <c r="R1567" t="s">
        <v>4721</v>
      </c>
      <c r="S1567" t="s">
        <v>4717</v>
      </c>
      <c r="T1567">
        <f t="shared" si="159"/>
        <v>2</v>
      </c>
      <c r="U1567" s="21">
        <f t="shared" si="158"/>
        <v>44118</v>
      </c>
    </row>
    <row r="1568" spans="1:21" x14ac:dyDescent="0.35">
      <c r="A1568" t="s">
        <v>1246</v>
      </c>
      <c r="B1568" t="s">
        <v>1247</v>
      </c>
      <c r="C1568" t="s">
        <v>19</v>
      </c>
      <c r="D1568" t="s">
        <v>21</v>
      </c>
      <c r="E1568" s="1">
        <v>386.34</v>
      </c>
      <c r="F1568" t="s">
        <v>22</v>
      </c>
      <c r="G1568">
        <v>0</v>
      </c>
      <c r="H1568" s="1">
        <v>0</v>
      </c>
      <c r="I1568" s="21">
        <v>44111</v>
      </c>
      <c r="J1568" s="21">
        <v>44114</v>
      </c>
      <c r="K1568" s="21">
        <v>44114</v>
      </c>
      <c r="L1568" t="s">
        <v>39</v>
      </c>
      <c r="M1568" t="s">
        <v>67</v>
      </c>
      <c r="N1568" t="s">
        <v>68</v>
      </c>
      <c r="O1568">
        <v>1</v>
      </c>
      <c r="P1568" t="s">
        <v>1248</v>
      </c>
      <c r="Q1568" t="s">
        <v>4560</v>
      </c>
      <c r="R1568" t="s">
        <v>4709</v>
      </c>
      <c r="S1568" t="s">
        <v>4717</v>
      </c>
      <c r="T1568">
        <f t="shared" si="159"/>
        <v>3</v>
      </c>
      <c r="U1568" s="21">
        <f t="shared" si="158"/>
        <v>44114</v>
      </c>
    </row>
    <row r="1569" spans="1:21" x14ac:dyDescent="0.35">
      <c r="A1569" t="s">
        <v>2456</v>
      </c>
      <c r="B1569" t="s">
        <v>2457</v>
      </c>
      <c r="C1569" t="s">
        <v>30</v>
      </c>
      <c r="D1569" t="s">
        <v>21</v>
      </c>
      <c r="E1569" s="1">
        <v>99.98</v>
      </c>
      <c r="F1569" t="s">
        <v>22</v>
      </c>
      <c r="G1569">
        <v>0</v>
      </c>
      <c r="H1569" s="1">
        <v>0</v>
      </c>
      <c r="I1569" s="21">
        <v>44110</v>
      </c>
      <c r="J1569" s="21">
        <v>44111</v>
      </c>
      <c r="K1569" s="21">
        <v>44111</v>
      </c>
      <c r="L1569" t="s">
        <v>45</v>
      </c>
      <c r="M1569" t="s">
        <v>40</v>
      </c>
      <c r="N1569" t="s">
        <v>34</v>
      </c>
      <c r="O1569">
        <v>1</v>
      </c>
      <c r="P1569" t="s">
        <v>797</v>
      </c>
      <c r="Q1569" t="s">
        <v>4552</v>
      </c>
      <c r="R1569" t="s">
        <v>4713</v>
      </c>
      <c r="S1569" t="s">
        <v>4719</v>
      </c>
      <c r="T1569">
        <f t="shared" si="159"/>
        <v>1</v>
      </c>
      <c r="U1569" s="21">
        <f t="shared" si="158"/>
        <v>44111</v>
      </c>
    </row>
    <row r="1570" spans="1:21" x14ac:dyDescent="0.35">
      <c r="A1570" t="s">
        <v>3574</v>
      </c>
      <c r="B1570" t="s">
        <v>3575</v>
      </c>
      <c r="C1570" t="s">
        <v>30</v>
      </c>
      <c r="D1570" t="s">
        <v>21</v>
      </c>
      <c r="E1570" s="1">
        <v>589.41</v>
      </c>
      <c r="F1570" t="s">
        <v>22</v>
      </c>
      <c r="G1570">
        <v>0</v>
      </c>
      <c r="H1570" s="1">
        <v>0</v>
      </c>
      <c r="I1570" s="21">
        <v>44109</v>
      </c>
      <c r="J1570" s="21">
        <v>44111</v>
      </c>
      <c r="K1570" s="21">
        <v>44111</v>
      </c>
      <c r="L1570" t="s">
        <v>39</v>
      </c>
      <c r="M1570" t="s">
        <v>46</v>
      </c>
      <c r="N1570" t="s">
        <v>47</v>
      </c>
      <c r="O1570">
        <v>1</v>
      </c>
      <c r="P1570" t="s">
        <v>3576</v>
      </c>
      <c r="Q1570" t="s">
        <v>4729</v>
      </c>
      <c r="R1570" t="s">
        <v>4721</v>
      </c>
      <c r="S1570" t="s">
        <v>4717</v>
      </c>
      <c r="T1570">
        <f t="shared" si="159"/>
        <v>2</v>
      </c>
      <c r="U1570" s="21">
        <f t="shared" si="158"/>
        <v>44111</v>
      </c>
    </row>
    <row r="1571" spans="1:21" x14ac:dyDescent="0.35">
      <c r="A1571" t="s">
        <v>2494</v>
      </c>
      <c r="B1571" t="s">
        <v>2495</v>
      </c>
      <c r="C1571" t="s">
        <v>30</v>
      </c>
      <c r="D1571" t="s">
        <v>21</v>
      </c>
      <c r="E1571" s="1">
        <v>598.14399999999989</v>
      </c>
      <c r="F1571" t="s">
        <v>22</v>
      </c>
      <c r="G1571">
        <v>0</v>
      </c>
      <c r="H1571" s="1">
        <v>0</v>
      </c>
      <c r="I1571" s="21">
        <v>44107</v>
      </c>
      <c r="J1571" s="21">
        <v>44110</v>
      </c>
      <c r="K1571" s="21">
        <v>44110</v>
      </c>
      <c r="L1571" t="s">
        <v>39</v>
      </c>
      <c r="M1571" t="s">
        <v>146</v>
      </c>
      <c r="N1571" t="s">
        <v>73</v>
      </c>
      <c r="O1571">
        <v>1</v>
      </c>
      <c r="P1571" t="s">
        <v>1159</v>
      </c>
      <c r="Q1571" t="s">
        <v>4615</v>
      </c>
      <c r="R1571" t="s">
        <v>4726</v>
      </c>
      <c r="S1571" t="s">
        <v>4717</v>
      </c>
      <c r="T1571">
        <f t="shared" si="159"/>
        <v>3</v>
      </c>
      <c r="U1571" s="21">
        <f t="shared" si="158"/>
        <v>44110</v>
      </c>
    </row>
    <row r="1572" spans="1:21" x14ac:dyDescent="0.35">
      <c r="A1572" t="s">
        <v>1318</v>
      </c>
      <c r="B1572" t="s">
        <v>1319</v>
      </c>
      <c r="C1572" t="s">
        <v>19</v>
      </c>
      <c r="D1572" t="s">
        <v>21</v>
      </c>
      <c r="E1572" s="1">
        <v>604.99200000000008</v>
      </c>
      <c r="F1572" t="s">
        <v>22</v>
      </c>
      <c r="G1572">
        <v>0</v>
      </c>
      <c r="H1572" s="1">
        <v>0</v>
      </c>
      <c r="I1572" s="21">
        <v>44101</v>
      </c>
      <c r="J1572" s="21">
        <v>44102</v>
      </c>
      <c r="K1572" s="21">
        <v>44102</v>
      </c>
      <c r="L1572" t="s">
        <v>32</v>
      </c>
      <c r="M1572" t="s">
        <v>146</v>
      </c>
      <c r="N1572" t="s">
        <v>73</v>
      </c>
      <c r="O1572">
        <v>1</v>
      </c>
      <c r="P1572" t="s">
        <v>580</v>
      </c>
      <c r="Q1572" t="s">
        <v>4729</v>
      </c>
      <c r="R1572" t="s">
        <v>4714</v>
      </c>
      <c r="S1572" t="s">
        <v>4718</v>
      </c>
      <c r="T1572">
        <f t="shared" si="159"/>
        <v>1</v>
      </c>
      <c r="U1572" s="21">
        <f t="shared" si="158"/>
        <v>44102</v>
      </c>
    </row>
    <row r="1573" spans="1:21" x14ac:dyDescent="0.35">
      <c r="A1573" t="s">
        <v>94</v>
      </c>
      <c r="B1573" t="s">
        <v>95</v>
      </c>
      <c r="C1573" t="s">
        <v>19</v>
      </c>
      <c r="D1573" t="s">
        <v>21</v>
      </c>
      <c r="E1573" s="1">
        <v>44.34</v>
      </c>
      <c r="F1573" t="s">
        <v>22</v>
      </c>
      <c r="G1573">
        <v>0</v>
      </c>
      <c r="H1573" s="1">
        <v>0</v>
      </c>
      <c r="I1573" s="21">
        <v>44098</v>
      </c>
      <c r="J1573" s="21">
        <v>44100</v>
      </c>
      <c r="K1573" s="21">
        <v>44100</v>
      </c>
      <c r="L1573" t="s">
        <v>53</v>
      </c>
      <c r="M1573" t="s">
        <v>97</v>
      </c>
      <c r="N1573" t="s">
        <v>68</v>
      </c>
      <c r="O1573">
        <v>1</v>
      </c>
      <c r="P1573" t="s">
        <v>98</v>
      </c>
      <c r="Q1573" t="s">
        <v>4520</v>
      </c>
      <c r="R1573" t="s">
        <v>4726</v>
      </c>
      <c r="S1573" t="s">
        <v>4717</v>
      </c>
      <c r="T1573">
        <f t="shared" si="159"/>
        <v>2</v>
      </c>
      <c r="U1573" s="21">
        <f t="shared" si="158"/>
        <v>44100</v>
      </c>
    </row>
    <row r="1574" spans="1:21" x14ac:dyDescent="0.35">
      <c r="A1574" t="s">
        <v>3627</v>
      </c>
      <c r="B1574" t="s">
        <v>3628</v>
      </c>
      <c r="C1574" t="s">
        <v>30</v>
      </c>
      <c r="D1574" t="s">
        <v>21</v>
      </c>
      <c r="E1574" s="1">
        <v>6.57</v>
      </c>
      <c r="F1574" t="s">
        <v>22</v>
      </c>
      <c r="G1574">
        <v>0</v>
      </c>
      <c r="H1574" s="1">
        <v>0</v>
      </c>
      <c r="I1574" s="21">
        <v>44096</v>
      </c>
      <c r="J1574" s="21">
        <v>44099</v>
      </c>
      <c r="K1574" s="21">
        <v>44099</v>
      </c>
      <c r="L1574" t="s">
        <v>63</v>
      </c>
      <c r="M1574" t="s">
        <v>40</v>
      </c>
      <c r="N1574" t="s">
        <v>34</v>
      </c>
      <c r="O1574">
        <v>1</v>
      </c>
      <c r="P1574" t="s">
        <v>831</v>
      </c>
      <c r="Q1574" t="s">
        <v>4600</v>
      </c>
      <c r="R1574" t="s">
        <v>4726</v>
      </c>
      <c r="S1574" t="s">
        <v>4717</v>
      </c>
      <c r="T1574">
        <f t="shared" si="159"/>
        <v>3</v>
      </c>
      <c r="U1574" s="21">
        <f t="shared" si="158"/>
        <v>44099</v>
      </c>
    </row>
    <row r="1575" spans="1:21" x14ac:dyDescent="0.35">
      <c r="A1575" t="s">
        <v>1316</v>
      </c>
      <c r="B1575" t="s">
        <v>1317</v>
      </c>
      <c r="C1575" t="s">
        <v>30</v>
      </c>
      <c r="D1575" t="s">
        <v>21</v>
      </c>
      <c r="E1575" s="1">
        <v>8.5440000000000005</v>
      </c>
      <c r="F1575" t="s">
        <v>22</v>
      </c>
      <c r="G1575">
        <v>0</v>
      </c>
      <c r="H1575" s="1">
        <v>0</v>
      </c>
      <c r="I1575" s="21">
        <v>44096</v>
      </c>
      <c r="J1575" s="21">
        <v>44098</v>
      </c>
      <c r="K1575" s="21">
        <v>44098</v>
      </c>
      <c r="L1575" t="s">
        <v>24</v>
      </c>
      <c r="M1575" t="s">
        <v>25</v>
      </c>
      <c r="N1575" t="s">
        <v>26</v>
      </c>
      <c r="O1575">
        <v>1</v>
      </c>
      <c r="P1575" t="s">
        <v>1065</v>
      </c>
      <c r="Q1575" t="s">
        <v>4612</v>
      </c>
      <c r="R1575" t="s">
        <v>4725</v>
      </c>
      <c r="S1575" t="s">
        <v>4718</v>
      </c>
      <c r="T1575">
        <f t="shared" si="159"/>
        <v>2</v>
      </c>
      <c r="U1575" s="21">
        <f t="shared" si="158"/>
        <v>44098</v>
      </c>
    </row>
    <row r="1576" spans="1:21" x14ac:dyDescent="0.35">
      <c r="A1576" t="s">
        <v>3629</v>
      </c>
      <c r="B1576" t="s">
        <v>3630</v>
      </c>
      <c r="C1576" t="s">
        <v>19</v>
      </c>
      <c r="D1576" t="s">
        <v>21</v>
      </c>
      <c r="E1576" s="1">
        <v>68.710000000000008</v>
      </c>
      <c r="F1576" t="s">
        <v>22</v>
      </c>
      <c r="G1576">
        <v>0</v>
      </c>
      <c r="H1576" s="1">
        <v>0</v>
      </c>
      <c r="I1576" s="21">
        <v>44096</v>
      </c>
      <c r="J1576" s="21">
        <v>44097</v>
      </c>
      <c r="K1576" s="21">
        <v>44097</v>
      </c>
      <c r="L1576" t="s">
        <v>39</v>
      </c>
      <c r="M1576" t="s">
        <v>146</v>
      </c>
      <c r="N1576" t="s">
        <v>73</v>
      </c>
      <c r="O1576">
        <v>1</v>
      </c>
      <c r="P1576" t="s">
        <v>3631</v>
      </c>
      <c r="Q1576" t="s">
        <v>4560</v>
      </c>
      <c r="R1576" t="s">
        <v>4710</v>
      </c>
      <c r="S1576" t="s">
        <v>4717</v>
      </c>
      <c r="T1576">
        <f t="shared" si="159"/>
        <v>1</v>
      </c>
      <c r="U1576" s="21">
        <f t="shared" si="158"/>
        <v>44097</v>
      </c>
    </row>
    <row r="1577" spans="1:21" x14ac:dyDescent="0.35">
      <c r="A1577" t="s">
        <v>91</v>
      </c>
      <c r="B1577" t="s">
        <v>92</v>
      </c>
      <c r="C1577" t="s">
        <v>30</v>
      </c>
      <c r="D1577" t="s">
        <v>21</v>
      </c>
      <c r="E1577" s="1">
        <v>32.159999999999997</v>
      </c>
      <c r="F1577" t="s">
        <v>22</v>
      </c>
      <c r="G1577">
        <v>0</v>
      </c>
      <c r="H1577" s="1">
        <v>0</v>
      </c>
      <c r="I1577" s="21">
        <v>44096</v>
      </c>
      <c r="J1577" s="21">
        <v>44099</v>
      </c>
      <c r="K1577" s="21">
        <v>44099</v>
      </c>
      <c r="L1577" t="s">
        <v>63</v>
      </c>
      <c r="M1577" t="s">
        <v>82</v>
      </c>
      <c r="N1577" t="s">
        <v>47</v>
      </c>
      <c r="O1577">
        <v>1</v>
      </c>
      <c r="P1577" t="s">
        <v>93</v>
      </c>
      <c r="Q1577" t="s">
        <v>4729</v>
      </c>
      <c r="R1577" t="s">
        <v>4512</v>
      </c>
      <c r="S1577" t="s">
        <v>4717</v>
      </c>
      <c r="T1577">
        <f t="shared" si="159"/>
        <v>3</v>
      </c>
      <c r="U1577" s="21">
        <f t="shared" si="158"/>
        <v>44099</v>
      </c>
    </row>
    <row r="1578" spans="1:21" x14ac:dyDescent="0.35">
      <c r="A1578" t="s">
        <v>1313</v>
      </c>
      <c r="B1578" t="s">
        <v>1314</v>
      </c>
      <c r="C1578" t="s">
        <v>30</v>
      </c>
      <c r="D1578" t="s">
        <v>21</v>
      </c>
      <c r="E1578" s="1">
        <v>504.55</v>
      </c>
      <c r="F1578" t="s">
        <v>22</v>
      </c>
      <c r="G1578">
        <v>0</v>
      </c>
      <c r="H1578" s="1">
        <v>0</v>
      </c>
      <c r="I1578" s="21">
        <v>44095</v>
      </c>
      <c r="J1578" s="21">
        <v>44098</v>
      </c>
      <c r="K1578" s="21">
        <v>44098</v>
      </c>
      <c r="L1578" t="s">
        <v>63</v>
      </c>
      <c r="M1578" t="s">
        <v>97</v>
      </c>
      <c r="N1578" t="s">
        <v>68</v>
      </c>
      <c r="O1578">
        <v>1</v>
      </c>
      <c r="P1578" t="s">
        <v>1315</v>
      </c>
      <c r="Q1578" t="s">
        <v>4566</v>
      </c>
      <c r="R1578" t="s">
        <v>4723</v>
      </c>
      <c r="S1578" t="s">
        <v>4718</v>
      </c>
      <c r="T1578">
        <f t="shared" si="159"/>
        <v>3</v>
      </c>
      <c r="U1578" s="21">
        <f t="shared" si="158"/>
        <v>44098</v>
      </c>
    </row>
    <row r="1579" spans="1:21" x14ac:dyDescent="0.35">
      <c r="A1579" t="s">
        <v>88</v>
      </c>
      <c r="B1579" t="s">
        <v>89</v>
      </c>
      <c r="C1579" t="s">
        <v>30</v>
      </c>
      <c r="D1579" t="s">
        <v>21</v>
      </c>
      <c r="E1579" s="1">
        <v>3519.369999999999</v>
      </c>
      <c r="F1579" t="s">
        <v>22</v>
      </c>
      <c r="G1579">
        <v>0</v>
      </c>
      <c r="H1579" s="1">
        <v>0</v>
      </c>
      <c r="I1579" s="21">
        <v>44095</v>
      </c>
      <c r="J1579" s="21">
        <v>44098</v>
      </c>
      <c r="K1579" s="21">
        <v>44098</v>
      </c>
      <c r="L1579" t="s">
        <v>32</v>
      </c>
      <c r="M1579" t="s">
        <v>46</v>
      </c>
      <c r="N1579" t="s">
        <v>47</v>
      </c>
      <c r="O1579">
        <v>1</v>
      </c>
      <c r="P1579" t="s">
        <v>90</v>
      </c>
      <c r="Q1579" t="s">
        <v>4523</v>
      </c>
      <c r="R1579" t="s">
        <v>4711</v>
      </c>
      <c r="S1579" t="s">
        <v>4719</v>
      </c>
      <c r="T1579">
        <f t="shared" si="159"/>
        <v>3</v>
      </c>
      <c r="U1579" s="21">
        <f t="shared" si="158"/>
        <v>44098</v>
      </c>
    </row>
    <row r="1580" spans="1:21" x14ac:dyDescent="0.35">
      <c r="A1580" t="s">
        <v>2491</v>
      </c>
      <c r="B1580" t="s">
        <v>2492</v>
      </c>
      <c r="C1580" t="s">
        <v>30</v>
      </c>
      <c r="D1580" t="s">
        <v>21</v>
      </c>
      <c r="E1580" s="1">
        <v>33.552</v>
      </c>
      <c r="F1580" t="s">
        <v>22</v>
      </c>
      <c r="G1580">
        <v>0</v>
      </c>
      <c r="H1580" s="1">
        <v>0</v>
      </c>
      <c r="I1580" s="21">
        <v>44091</v>
      </c>
      <c r="J1580" s="21">
        <v>44094</v>
      </c>
      <c r="K1580" s="21">
        <v>44094</v>
      </c>
      <c r="L1580" t="s">
        <v>53</v>
      </c>
      <c r="M1580" t="s">
        <v>97</v>
      </c>
      <c r="N1580" t="s">
        <v>68</v>
      </c>
      <c r="O1580">
        <v>1</v>
      </c>
      <c r="P1580" t="s">
        <v>2493</v>
      </c>
      <c r="Q1580" t="s">
        <v>4517</v>
      </c>
      <c r="R1580" t="s">
        <v>4726</v>
      </c>
      <c r="S1580" t="s">
        <v>4717</v>
      </c>
      <c r="T1580">
        <f t="shared" si="159"/>
        <v>3</v>
      </c>
      <c r="U1580" s="21">
        <f t="shared" ref="U1580:U1643" si="160">J1580</f>
        <v>44094</v>
      </c>
    </row>
    <row r="1581" spans="1:21" x14ac:dyDescent="0.35">
      <c r="A1581" t="s">
        <v>2488</v>
      </c>
      <c r="B1581" t="s">
        <v>2489</v>
      </c>
      <c r="C1581" t="s">
        <v>19</v>
      </c>
      <c r="D1581" t="s">
        <v>21</v>
      </c>
      <c r="E1581" s="1">
        <v>267.55200000000002</v>
      </c>
      <c r="F1581" t="s">
        <v>22</v>
      </c>
      <c r="G1581">
        <v>0</v>
      </c>
      <c r="H1581" s="1">
        <v>0</v>
      </c>
      <c r="I1581" s="21">
        <v>44088</v>
      </c>
      <c r="J1581" s="21">
        <v>44091</v>
      </c>
      <c r="K1581" s="21">
        <v>44091</v>
      </c>
      <c r="L1581" t="s">
        <v>32</v>
      </c>
      <c r="M1581" t="s">
        <v>146</v>
      </c>
      <c r="N1581" t="s">
        <v>73</v>
      </c>
      <c r="O1581">
        <v>1</v>
      </c>
      <c r="P1581" t="s">
        <v>2490</v>
      </c>
      <c r="Q1581" t="s">
        <v>4519</v>
      </c>
      <c r="R1581" t="s">
        <v>4726</v>
      </c>
      <c r="S1581" t="s">
        <v>4717</v>
      </c>
      <c r="T1581">
        <f t="shared" si="159"/>
        <v>3</v>
      </c>
      <c r="U1581" s="21">
        <f t="shared" si="160"/>
        <v>44091</v>
      </c>
    </row>
    <row r="1582" spans="1:21" x14ac:dyDescent="0.35">
      <c r="A1582" t="s">
        <v>84</v>
      </c>
      <c r="B1582" t="s">
        <v>85</v>
      </c>
      <c r="C1582" t="s">
        <v>30</v>
      </c>
      <c r="D1582" t="s">
        <v>21</v>
      </c>
      <c r="E1582" s="1">
        <v>69.989999999999995</v>
      </c>
      <c r="F1582" t="s">
        <v>22</v>
      </c>
      <c r="G1582">
        <v>0</v>
      </c>
      <c r="H1582" s="1">
        <v>0</v>
      </c>
      <c r="I1582" s="21">
        <v>44087</v>
      </c>
      <c r="J1582" s="21">
        <v>44088</v>
      </c>
      <c r="K1582" s="21">
        <v>44088</v>
      </c>
      <c r="L1582" t="s">
        <v>63</v>
      </c>
      <c r="M1582" t="s">
        <v>40</v>
      </c>
      <c r="N1582" t="s">
        <v>34</v>
      </c>
      <c r="O1582">
        <v>1</v>
      </c>
      <c r="P1582" t="s">
        <v>87</v>
      </c>
      <c r="Q1582" t="s">
        <v>4522</v>
      </c>
      <c r="R1582" t="s">
        <v>4720</v>
      </c>
      <c r="S1582" t="s">
        <v>4719</v>
      </c>
      <c r="T1582">
        <f t="shared" si="159"/>
        <v>1</v>
      </c>
      <c r="U1582" s="21">
        <f t="shared" si="160"/>
        <v>44088</v>
      </c>
    </row>
    <row r="1583" spans="1:21" x14ac:dyDescent="0.35">
      <c r="A1583" t="s">
        <v>2486</v>
      </c>
      <c r="B1583" t="s">
        <v>2487</v>
      </c>
      <c r="C1583" t="s">
        <v>19</v>
      </c>
      <c r="D1583" t="s">
        <v>21</v>
      </c>
      <c r="E1583" s="1">
        <v>336.82</v>
      </c>
      <c r="F1583" t="s">
        <v>22</v>
      </c>
      <c r="G1583">
        <v>0</v>
      </c>
      <c r="H1583" s="1">
        <v>0</v>
      </c>
      <c r="I1583" s="21">
        <v>44085</v>
      </c>
      <c r="J1583" s="21">
        <v>44088</v>
      </c>
      <c r="K1583" s="21">
        <v>44088</v>
      </c>
      <c r="L1583" t="s">
        <v>53</v>
      </c>
      <c r="M1583" t="s">
        <v>54</v>
      </c>
      <c r="N1583" t="s">
        <v>26</v>
      </c>
      <c r="O1583">
        <v>1</v>
      </c>
      <c r="P1583" t="s">
        <v>2141</v>
      </c>
      <c r="Q1583" t="s">
        <v>4587</v>
      </c>
      <c r="R1583" t="s">
        <v>4710</v>
      </c>
      <c r="S1583" t="s">
        <v>4717</v>
      </c>
      <c r="T1583">
        <f t="shared" si="159"/>
        <v>3</v>
      </c>
      <c r="U1583" s="21">
        <f t="shared" si="160"/>
        <v>44088</v>
      </c>
    </row>
    <row r="1584" spans="1:21" x14ac:dyDescent="0.35">
      <c r="A1584" t="s">
        <v>1311</v>
      </c>
      <c r="B1584" t="s">
        <v>1312</v>
      </c>
      <c r="C1584" t="s">
        <v>19</v>
      </c>
      <c r="D1584" t="s">
        <v>21</v>
      </c>
      <c r="E1584" s="1">
        <v>91.488</v>
      </c>
      <c r="F1584" t="s">
        <v>22</v>
      </c>
      <c r="G1584">
        <v>0</v>
      </c>
      <c r="H1584" s="1">
        <v>0</v>
      </c>
      <c r="I1584" s="21">
        <v>44084</v>
      </c>
      <c r="J1584" s="21">
        <v>44086</v>
      </c>
      <c r="K1584" s="21">
        <v>44086</v>
      </c>
      <c r="L1584" t="s">
        <v>45</v>
      </c>
      <c r="M1584" t="s">
        <v>146</v>
      </c>
      <c r="N1584" t="s">
        <v>73</v>
      </c>
      <c r="O1584">
        <v>1</v>
      </c>
      <c r="P1584" t="s">
        <v>140</v>
      </c>
      <c r="Q1584" t="s">
        <v>4529</v>
      </c>
      <c r="R1584" t="s">
        <v>4721</v>
      </c>
      <c r="S1584" t="s">
        <v>4718</v>
      </c>
      <c r="T1584">
        <f t="shared" si="159"/>
        <v>2</v>
      </c>
      <c r="U1584" s="21">
        <f t="shared" si="160"/>
        <v>44086</v>
      </c>
    </row>
    <row r="1585" spans="1:21" x14ac:dyDescent="0.35">
      <c r="A1585" t="s">
        <v>3624</v>
      </c>
      <c r="B1585" t="s">
        <v>3625</v>
      </c>
      <c r="C1585" t="s">
        <v>19</v>
      </c>
      <c r="D1585" t="s">
        <v>21</v>
      </c>
      <c r="E1585" s="1">
        <v>116.84999999999989</v>
      </c>
      <c r="F1585" t="s">
        <v>22</v>
      </c>
      <c r="G1585">
        <v>0</v>
      </c>
      <c r="H1585" s="1">
        <v>0</v>
      </c>
      <c r="I1585" s="21">
        <v>44083</v>
      </c>
      <c r="J1585" s="21">
        <v>44086</v>
      </c>
      <c r="K1585" s="21">
        <v>44086</v>
      </c>
      <c r="L1585" t="s">
        <v>63</v>
      </c>
      <c r="M1585" t="s">
        <v>46</v>
      </c>
      <c r="N1585" t="s">
        <v>47</v>
      </c>
      <c r="O1585">
        <v>1</v>
      </c>
      <c r="P1585" t="s">
        <v>3626</v>
      </c>
      <c r="Q1585" t="s">
        <v>4540</v>
      </c>
      <c r="R1585" t="s">
        <v>4713</v>
      </c>
      <c r="S1585" t="s">
        <v>4719</v>
      </c>
      <c r="T1585">
        <f t="shared" si="159"/>
        <v>3</v>
      </c>
      <c r="U1585" s="21">
        <f t="shared" si="160"/>
        <v>44086</v>
      </c>
    </row>
    <row r="1586" spans="1:21" x14ac:dyDescent="0.35">
      <c r="A1586" t="s">
        <v>2483</v>
      </c>
      <c r="B1586" t="s">
        <v>2484</v>
      </c>
      <c r="C1586" t="s">
        <v>30</v>
      </c>
      <c r="D1586" t="s">
        <v>21</v>
      </c>
      <c r="E1586" s="1">
        <v>469.04299999999995</v>
      </c>
      <c r="F1586" t="s">
        <v>22</v>
      </c>
      <c r="G1586">
        <v>0</v>
      </c>
      <c r="H1586" s="1">
        <v>0</v>
      </c>
      <c r="I1586" s="21">
        <v>44082</v>
      </c>
      <c r="J1586" s="21">
        <v>44085</v>
      </c>
      <c r="K1586" s="21">
        <v>44085</v>
      </c>
      <c r="L1586" t="s">
        <v>32</v>
      </c>
      <c r="M1586" t="s">
        <v>54</v>
      </c>
      <c r="N1586" t="s">
        <v>26</v>
      </c>
      <c r="O1586">
        <v>1</v>
      </c>
      <c r="P1586" t="s">
        <v>2485</v>
      </c>
      <c r="Q1586" t="s">
        <v>4530</v>
      </c>
      <c r="R1586" t="s">
        <v>4711</v>
      </c>
      <c r="S1586" t="s">
        <v>4719</v>
      </c>
      <c r="T1586">
        <f t="shared" si="159"/>
        <v>3</v>
      </c>
      <c r="U1586" s="21">
        <f t="shared" si="160"/>
        <v>44085</v>
      </c>
    </row>
    <row r="1587" spans="1:21" x14ac:dyDescent="0.35">
      <c r="A1587" t="s">
        <v>2481</v>
      </c>
      <c r="B1587" t="s">
        <v>2482</v>
      </c>
      <c r="C1587" t="s">
        <v>19</v>
      </c>
      <c r="D1587" t="s">
        <v>21</v>
      </c>
      <c r="E1587" s="1">
        <v>100.36</v>
      </c>
      <c r="F1587" t="s">
        <v>22</v>
      </c>
      <c r="G1587">
        <v>0</v>
      </c>
      <c r="H1587" s="1">
        <v>0</v>
      </c>
      <c r="I1587" s="21">
        <v>44081</v>
      </c>
      <c r="J1587" s="21">
        <v>44084</v>
      </c>
      <c r="K1587" s="21">
        <v>44084</v>
      </c>
      <c r="L1587" t="s">
        <v>45</v>
      </c>
      <c r="M1587" t="s">
        <v>146</v>
      </c>
      <c r="N1587" t="s">
        <v>73</v>
      </c>
      <c r="O1587">
        <v>1</v>
      </c>
      <c r="P1587" t="s">
        <v>2341</v>
      </c>
      <c r="Q1587" t="s">
        <v>4533</v>
      </c>
      <c r="R1587" t="s">
        <v>4724</v>
      </c>
      <c r="S1587" t="s">
        <v>4718</v>
      </c>
      <c r="T1587">
        <f t="shared" si="159"/>
        <v>3</v>
      </c>
      <c r="U1587" s="21">
        <f t="shared" si="160"/>
        <v>44084</v>
      </c>
    </row>
    <row r="1588" spans="1:21" x14ac:dyDescent="0.35">
      <c r="A1588" t="s">
        <v>79</v>
      </c>
      <c r="B1588" t="s">
        <v>80</v>
      </c>
      <c r="C1588" t="s">
        <v>19</v>
      </c>
      <c r="D1588" t="s">
        <v>21</v>
      </c>
      <c r="E1588" s="1">
        <v>31.984000000000002</v>
      </c>
      <c r="F1588" t="s">
        <v>22</v>
      </c>
      <c r="G1588">
        <v>0</v>
      </c>
      <c r="H1588" s="1">
        <v>0</v>
      </c>
      <c r="I1588" s="21">
        <v>44080</v>
      </c>
      <c r="J1588" s="21">
        <v>44082</v>
      </c>
      <c r="K1588" s="21">
        <v>44082</v>
      </c>
      <c r="L1588" t="s">
        <v>45</v>
      </c>
      <c r="M1588" t="s">
        <v>82</v>
      </c>
      <c r="N1588" t="s">
        <v>47</v>
      </c>
      <c r="O1588">
        <v>1</v>
      </c>
      <c r="P1588" t="s">
        <v>83</v>
      </c>
      <c r="Q1588" t="s">
        <v>4729</v>
      </c>
      <c r="R1588" t="s">
        <v>4725</v>
      </c>
      <c r="S1588" t="s">
        <v>4718</v>
      </c>
      <c r="T1588">
        <f t="shared" si="159"/>
        <v>2</v>
      </c>
      <c r="U1588" s="21">
        <f t="shared" si="160"/>
        <v>44082</v>
      </c>
    </row>
    <row r="1589" spans="1:21" x14ac:dyDescent="0.35">
      <c r="A1589" t="s">
        <v>2478</v>
      </c>
      <c r="B1589" t="s">
        <v>2479</v>
      </c>
      <c r="C1589" t="s">
        <v>19</v>
      </c>
      <c r="D1589" t="s">
        <v>21</v>
      </c>
      <c r="E1589" s="1">
        <v>7.6799999999999899</v>
      </c>
      <c r="F1589" t="s">
        <v>22</v>
      </c>
      <c r="G1589">
        <v>0</v>
      </c>
      <c r="H1589" s="1">
        <v>0</v>
      </c>
      <c r="I1589" s="21">
        <v>44078</v>
      </c>
      <c r="J1589" s="21">
        <v>44079</v>
      </c>
      <c r="K1589" s="21">
        <v>44079</v>
      </c>
      <c r="L1589" t="s">
        <v>63</v>
      </c>
      <c r="M1589" t="s">
        <v>146</v>
      </c>
      <c r="N1589" t="s">
        <v>73</v>
      </c>
      <c r="O1589">
        <v>1</v>
      </c>
      <c r="P1589" t="s">
        <v>2480</v>
      </c>
      <c r="Q1589" t="s">
        <v>4528</v>
      </c>
      <c r="R1589" t="s">
        <v>4726</v>
      </c>
      <c r="S1589" t="s">
        <v>4717</v>
      </c>
      <c r="T1589">
        <f t="shared" si="159"/>
        <v>1</v>
      </c>
      <c r="U1589" s="21">
        <f t="shared" si="160"/>
        <v>44079</v>
      </c>
    </row>
    <row r="1590" spans="1:21" x14ac:dyDescent="0.35">
      <c r="A1590" t="s">
        <v>2475</v>
      </c>
      <c r="B1590" t="s">
        <v>2476</v>
      </c>
      <c r="C1590" t="s">
        <v>19</v>
      </c>
      <c r="D1590" t="s">
        <v>21</v>
      </c>
      <c r="E1590" s="1">
        <v>90.609999999999985</v>
      </c>
      <c r="F1590" t="s">
        <v>22</v>
      </c>
      <c r="G1590">
        <v>0</v>
      </c>
      <c r="H1590" s="1">
        <v>0</v>
      </c>
      <c r="I1590" s="21">
        <v>44077</v>
      </c>
      <c r="J1590" s="21">
        <v>44080</v>
      </c>
      <c r="K1590" s="21">
        <v>44080</v>
      </c>
      <c r="L1590" t="s">
        <v>53</v>
      </c>
      <c r="M1590" t="s">
        <v>33</v>
      </c>
      <c r="N1590" t="s">
        <v>34</v>
      </c>
      <c r="O1590">
        <v>1</v>
      </c>
      <c r="P1590" t="s">
        <v>2477</v>
      </c>
      <c r="Q1590" t="s">
        <v>4535</v>
      </c>
      <c r="R1590" t="s">
        <v>4721</v>
      </c>
      <c r="S1590" t="s">
        <v>4717</v>
      </c>
      <c r="T1590">
        <f t="shared" si="159"/>
        <v>3</v>
      </c>
      <c r="U1590" s="21">
        <f t="shared" si="160"/>
        <v>44080</v>
      </c>
    </row>
    <row r="1591" spans="1:21" x14ac:dyDescent="0.35">
      <c r="A1591" t="s">
        <v>70</v>
      </c>
      <c r="B1591" t="s">
        <v>71</v>
      </c>
      <c r="C1591" t="s">
        <v>30</v>
      </c>
      <c r="D1591" t="s">
        <v>21</v>
      </c>
      <c r="E1591" s="1">
        <v>72.69</v>
      </c>
      <c r="F1591" t="s">
        <v>22</v>
      </c>
      <c r="G1591">
        <v>0</v>
      </c>
      <c r="H1591" s="1">
        <v>0</v>
      </c>
      <c r="I1591" s="21">
        <v>44077</v>
      </c>
      <c r="J1591" s="21">
        <v>44078</v>
      </c>
      <c r="K1591" s="21">
        <v>44078</v>
      </c>
      <c r="L1591" t="s">
        <v>45</v>
      </c>
      <c r="M1591" t="s">
        <v>72</v>
      </c>
      <c r="N1591" t="s">
        <v>73</v>
      </c>
      <c r="O1591">
        <v>1</v>
      </c>
      <c r="P1591" t="s">
        <v>74</v>
      </c>
      <c r="Q1591" t="s">
        <v>4520</v>
      </c>
      <c r="R1591" t="s">
        <v>4726</v>
      </c>
      <c r="S1591" t="s">
        <v>4717</v>
      </c>
      <c r="T1591">
        <f t="shared" si="159"/>
        <v>1</v>
      </c>
      <c r="U1591" s="21">
        <f t="shared" si="160"/>
        <v>44078</v>
      </c>
    </row>
    <row r="1592" spans="1:21" x14ac:dyDescent="0.35">
      <c r="A1592" t="s">
        <v>75</v>
      </c>
      <c r="B1592" t="s">
        <v>76</v>
      </c>
      <c r="C1592" t="s">
        <v>30</v>
      </c>
      <c r="D1592" t="s">
        <v>21</v>
      </c>
      <c r="E1592" s="1">
        <v>21.24</v>
      </c>
      <c r="F1592" t="s">
        <v>22</v>
      </c>
      <c r="G1592">
        <v>0</v>
      </c>
      <c r="H1592" s="1">
        <v>0</v>
      </c>
      <c r="I1592" s="21">
        <v>44077</v>
      </c>
      <c r="J1592" s="21">
        <v>44079</v>
      </c>
      <c r="K1592" s="21">
        <v>44079</v>
      </c>
      <c r="L1592" t="s">
        <v>32</v>
      </c>
      <c r="M1592" t="s">
        <v>67</v>
      </c>
      <c r="N1592" t="s">
        <v>68</v>
      </c>
      <c r="O1592">
        <v>1</v>
      </c>
      <c r="P1592" t="s">
        <v>78</v>
      </c>
      <c r="Q1592" t="s">
        <v>4521</v>
      </c>
      <c r="R1592" t="s">
        <v>4726</v>
      </c>
      <c r="S1592" t="s">
        <v>4717</v>
      </c>
      <c r="T1592">
        <f t="shared" si="159"/>
        <v>2</v>
      </c>
      <c r="U1592" s="21">
        <f t="shared" si="160"/>
        <v>44079</v>
      </c>
    </row>
    <row r="1593" spans="1:21" x14ac:dyDescent="0.35">
      <c r="A1593" t="s">
        <v>65</v>
      </c>
      <c r="B1593" t="s">
        <v>66</v>
      </c>
      <c r="C1593" t="s">
        <v>30</v>
      </c>
      <c r="D1593" t="s">
        <v>21</v>
      </c>
      <c r="E1593" s="1">
        <v>34.751999999999988</v>
      </c>
      <c r="F1593" t="s">
        <v>22</v>
      </c>
      <c r="G1593">
        <v>0</v>
      </c>
      <c r="H1593" s="1">
        <v>0</v>
      </c>
      <c r="I1593" s="21">
        <v>44076</v>
      </c>
      <c r="J1593" s="21">
        <v>44079</v>
      </c>
      <c r="K1593" s="21">
        <v>44079</v>
      </c>
      <c r="L1593" t="s">
        <v>39</v>
      </c>
      <c r="M1593" t="s">
        <v>67</v>
      </c>
      <c r="N1593" t="s">
        <v>68</v>
      </c>
      <c r="O1593">
        <v>1</v>
      </c>
      <c r="P1593" t="s">
        <v>69</v>
      </c>
      <c r="Q1593" t="s">
        <v>4729</v>
      </c>
      <c r="R1593" t="s">
        <v>4726</v>
      </c>
      <c r="S1593" t="s">
        <v>4717</v>
      </c>
      <c r="T1593">
        <f t="shared" si="159"/>
        <v>3</v>
      </c>
      <c r="U1593" s="21">
        <f t="shared" si="160"/>
        <v>44079</v>
      </c>
    </row>
    <row r="1594" spans="1:21" x14ac:dyDescent="0.35">
      <c r="A1594" t="s">
        <v>1308</v>
      </c>
      <c r="B1594" t="s">
        <v>1309</v>
      </c>
      <c r="C1594" t="s">
        <v>19</v>
      </c>
      <c r="D1594" t="s">
        <v>21</v>
      </c>
      <c r="E1594" s="1">
        <v>1812.0099999999991</v>
      </c>
      <c r="F1594" t="s">
        <v>22</v>
      </c>
      <c r="G1594">
        <v>0</v>
      </c>
      <c r="H1594" s="1">
        <v>0</v>
      </c>
      <c r="I1594" s="21">
        <v>44071</v>
      </c>
      <c r="J1594" s="21">
        <v>44073</v>
      </c>
      <c r="K1594" s="21">
        <v>44073</v>
      </c>
      <c r="L1594" t="s">
        <v>63</v>
      </c>
      <c r="M1594" t="s">
        <v>33</v>
      </c>
      <c r="N1594" t="s">
        <v>34</v>
      </c>
      <c r="O1594">
        <v>1</v>
      </c>
      <c r="P1594" t="s">
        <v>1310</v>
      </c>
      <c r="Q1594" t="s">
        <v>4586</v>
      </c>
      <c r="R1594" t="s">
        <v>4711</v>
      </c>
      <c r="S1594" t="s">
        <v>4719</v>
      </c>
      <c r="T1594">
        <f t="shared" si="159"/>
        <v>2</v>
      </c>
      <c r="U1594" s="21">
        <f t="shared" si="160"/>
        <v>44073</v>
      </c>
    </row>
    <row r="1595" spans="1:21" x14ac:dyDescent="0.35">
      <c r="A1595" t="s">
        <v>99</v>
      </c>
      <c r="B1595" t="s">
        <v>100</v>
      </c>
      <c r="C1595" t="s">
        <v>19</v>
      </c>
      <c r="D1595" t="s">
        <v>21</v>
      </c>
      <c r="E1595" s="1">
        <v>25.951999999999998</v>
      </c>
      <c r="F1595" t="s">
        <v>22</v>
      </c>
      <c r="G1595">
        <v>0</v>
      </c>
      <c r="H1595" s="1">
        <v>0</v>
      </c>
      <c r="I1595" s="21">
        <v>44068</v>
      </c>
      <c r="J1595" s="21">
        <v>44070</v>
      </c>
      <c r="K1595" s="21">
        <v>44070</v>
      </c>
      <c r="L1595" t="s">
        <v>63</v>
      </c>
      <c r="M1595" t="s">
        <v>46</v>
      </c>
      <c r="N1595" t="s">
        <v>47</v>
      </c>
      <c r="O1595">
        <v>1</v>
      </c>
      <c r="P1595" t="s">
        <v>102</v>
      </c>
      <c r="Q1595" t="s">
        <v>4524</v>
      </c>
      <c r="R1595" t="s">
        <v>4710</v>
      </c>
      <c r="S1595" t="s">
        <v>4717</v>
      </c>
      <c r="T1595">
        <f t="shared" si="159"/>
        <v>2</v>
      </c>
      <c r="U1595" s="21">
        <f t="shared" si="160"/>
        <v>44070</v>
      </c>
    </row>
    <row r="1596" spans="1:21" x14ac:dyDescent="0.35">
      <c r="A1596" t="s">
        <v>4510</v>
      </c>
      <c r="B1596" t="s">
        <v>4511</v>
      </c>
      <c r="C1596" t="s">
        <v>30</v>
      </c>
      <c r="D1596" t="s">
        <v>21</v>
      </c>
      <c r="E1596" s="1">
        <v>11.56</v>
      </c>
      <c r="F1596" t="s">
        <v>22</v>
      </c>
      <c r="G1596">
        <v>0</v>
      </c>
      <c r="H1596" s="1">
        <v>0</v>
      </c>
      <c r="I1596" s="21">
        <v>44066</v>
      </c>
      <c r="J1596" s="21">
        <v>44069</v>
      </c>
      <c r="K1596" s="21">
        <v>44069</v>
      </c>
      <c r="L1596" t="s">
        <v>53</v>
      </c>
      <c r="M1596" t="s">
        <v>46</v>
      </c>
      <c r="N1596" t="s">
        <v>47</v>
      </c>
      <c r="O1596">
        <v>1</v>
      </c>
      <c r="P1596" t="s">
        <v>1911</v>
      </c>
      <c r="Q1596" t="s">
        <v>4519</v>
      </c>
      <c r="R1596" t="s">
        <v>4726</v>
      </c>
      <c r="S1596" t="s">
        <v>4717</v>
      </c>
      <c r="T1596">
        <f t="shared" si="159"/>
        <v>3</v>
      </c>
      <c r="U1596" s="21">
        <f t="shared" si="160"/>
        <v>44069</v>
      </c>
    </row>
    <row r="1597" spans="1:21" x14ac:dyDescent="0.35">
      <c r="A1597" t="s">
        <v>2422</v>
      </c>
      <c r="B1597" t="s">
        <v>2423</v>
      </c>
      <c r="C1597" t="s">
        <v>30</v>
      </c>
      <c r="D1597" t="s">
        <v>21</v>
      </c>
      <c r="E1597" s="1">
        <v>30.96</v>
      </c>
      <c r="F1597" t="s">
        <v>22</v>
      </c>
      <c r="G1597">
        <v>0</v>
      </c>
      <c r="H1597" s="1">
        <v>0</v>
      </c>
      <c r="I1597" s="21">
        <v>44059</v>
      </c>
      <c r="J1597" s="21">
        <v>44062</v>
      </c>
      <c r="K1597" s="21">
        <v>44062</v>
      </c>
      <c r="L1597" t="s">
        <v>63</v>
      </c>
      <c r="M1597" t="s">
        <v>25</v>
      </c>
      <c r="N1597" t="s">
        <v>26</v>
      </c>
      <c r="O1597">
        <v>1</v>
      </c>
      <c r="P1597" t="s">
        <v>2424</v>
      </c>
      <c r="Q1597" t="s">
        <v>4528</v>
      </c>
      <c r="R1597" t="s">
        <v>4726</v>
      </c>
      <c r="S1597" t="s">
        <v>4717</v>
      </c>
      <c r="T1597">
        <f t="shared" si="159"/>
        <v>3</v>
      </c>
      <c r="U1597" s="21">
        <f t="shared" si="160"/>
        <v>44062</v>
      </c>
    </row>
    <row r="1598" spans="1:21" x14ac:dyDescent="0.35">
      <c r="A1598" t="s">
        <v>1302</v>
      </c>
      <c r="B1598" t="s">
        <v>1303</v>
      </c>
      <c r="C1598" t="s">
        <v>30</v>
      </c>
      <c r="D1598" t="s">
        <v>21</v>
      </c>
      <c r="E1598" s="1">
        <v>62.94</v>
      </c>
      <c r="F1598" t="s">
        <v>22</v>
      </c>
      <c r="G1598">
        <v>0</v>
      </c>
      <c r="H1598" s="1">
        <v>0</v>
      </c>
      <c r="I1598" s="21">
        <v>44059</v>
      </c>
      <c r="J1598" s="21">
        <v>44062</v>
      </c>
      <c r="K1598" s="21">
        <v>44062</v>
      </c>
      <c r="L1598" t="s">
        <v>24</v>
      </c>
      <c r="M1598" t="s">
        <v>25</v>
      </c>
      <c r="N1598" t="s">
        <v>26</v>
      </c>
      <c r="O1598">
        <v>1</v>
      </c>
      <c r="P1598" t="s">
        <v>1304</v>
      </c>
      <c r="Q1598" t="s">
        <v>4729</v>
      </c>
      <c r="R1598" t="s">
        <v>4726</v>
      </c>
      <c r="S1598" t="s">
        <v>4717</v>
      </c>
      <c r="T1598">
        <f t="shared" si="159"/>
        <v>3</v>
      </c>
      <c r="U1598" s="21">
        <f t="shared" si="160"/>
        <v>44062</v>
      </c>
    </row>
    <row r="1599" spans="1:21" x14ac:dyDescent="0.35">
      <c r="A1599" t="s">
        <v>1305</v>
      </c>
      <c r="B1599" t="s">
        <v>1306</v>
      </c>
      <c r="C1599" t="s">
        <v>30</v>
      </c>
      <c r="D1599" t="s">
        <v>21</v>
      </c>
      <c r="E1599" s="1">
        <v>243.60000000000002</v>
      </c>
      <c r="F1599" t="s">
        <v>22</v>
      </c>
      <c r="G1599">
        <v>0</v>
      </c>
      <c r="H1599" s="1">
        <v>0</v>
      </c>
      <c r="I1599" s="21">
        <v>44059</v>
      </c>
      <c r="J1599" s="21">
        <v>44061</v>
      </c>
      <c r="K1599" s="21">
        <v>44061</v>
      </c>
      <c r="L1599" t="s">
        <v>45</v>
      </c>
      <c r="M1599" t="s">
        <v>40</v>
      </c>
      <c r="N1599" t="s">
        <v>34</v>
      </c>
      <c r="O1599">
        <v>1</v>
      </c>
      <c r="P1599" t="s">
        <v>1307</v>
      </c>
      <c r="Q1599" t="s">
        <v>4519</v>
      </c>
      <c r="R1599" t="s">
        <v>4726</v>
      </c>
      <c r="S1599" t="s">
        <v>4717</v>
      </c>
      <c r="T1599">
        <f t="shared" si="159"/>
        <v>2</v>
      </c>
      <c r="U1599" s="21">
        <f t="shared" si="160"/>
        <v>44061</v>
      </c>
    </row>
    <row r="1600" spans="1:21" x14ac:dyDescent="0.35">
      <c r="A1600" t="s">
        <v>2461</v>
      </c>
      <c r="B1600" t="s">
        <v>2462</v>
      </c>
      <c r="C1600" t="s">
        <v>30</v>
      </c>
      <c r="D1600" t="s">
        <v>21</v>
      </c>
      <c r="E1600" s="1">
        <v>286.65000000000003</v>
      </c>
      <c r="F1600" t="s">
        <v>22</v>
      </c>
      <c r="G1600">
        <v>0</v>
      </c>
      <c r="H1600" s="1">
        <v>0</v>
      </c>
      <c r="I1600" s="21">
        <v>44056</v>
      </c>
      <c r="J1600" s="21">
        <v>44057</v>
      </c>
      <c r="K1600" s="21">
        <v>44057</v>
      </c>
      <c r="L1600" t="s">
        <v>53</v>
      </c>
      <c r="M1600" t="s">
        <v>82</v>
      </c>
      <c r="N1600" t="s">
        <v>47</v>
      </c>
      <c r="O1600">
        <v>1</v>
      </c>
      <c r="P1600" t="s">
        <v>2463</v>
      </c>
      <c r="Q1600" t="s">
        <v>4526</v>
      </c>
      <c r="R1600" t="s">
        <v>4726</v>
      </c>
      <c r="S1600" t="s">
        <v>4717</v>
      </c>
      <c r="T1600">
        <f t="shared" si="159"/>
        <v>1</v>
      </c>
      <c r="U1600" s="21">
        <f t="shared" si="160"/>
        <v>44057</v>
      </c>
    </row>
    <row r="1601" spans="1:21" x14ac:dyDescent="0.35">
      <c r="A1601" t="s">
        <v>1329</v>
      </c>
      <c r="B1601" t="s">
        <v>1330</v>
      </c>
      <c r="C1601" t="s">
        <v>19</v>
      </c>
      <c r="D1601" t="s">
        <v>21</v>
      </c>
      <c r="E1601" s="1">
        <v>221.35</v>
      </c>
      <c r="F1601" t="s">
        <v>22</v>
      </c>
      <c r="G1601">
        <v>0</v>
      </c>
      <c r="H1601" s="1">
        <v>0</v>
      </c>
      <c r="I1601" s="21">
        <v>44047</v>
      </c>
      <c r="J1601" s="21">
        <v>44049</v>
      </c>
      <c r="K1601" s="21">
        <v>44049</v>
      </c>
      <c r="L1601" t="s">
        <v>63</v>
      </c>
      <c r="M1601" t="s">
        <v>67</v>
      </c>
      <c r="N1601" t="s">
        <v>68</v>
      </c>
      <c r="O1601">
        <v>1</v>
      </c>
      <c r="P1601" t="s">
        <v>1331</v>
      </c>
      <c r="Q1601" t="s">
        <v>4729</v>
      </c>
      <c r="R1601" t="s">
        <v>4712</v>
      </c>
      <c r="S1601" t="s">
        <v>4718</v>
      </c>
      <c r="T1601">
        <f t="shared" si="159"/>
        <v>2</v>
      </c>
      <c r="U1601" s="21">
        <f t="shared" si="160"/>
        <v>44049</v>
      </c>
    </row>
    <row r="1602" spans="1:21" x14ac:dyDescent="0.35">
      <c r="A1602" t="s">
        <v>2458</v>
      </c>
      <c r="B1602" t="s">
        <v>2459</v>
      </c>
      <c r="C1602" t="s">
        <v>30</v>
      </c>
      <c r="D1602" t="s">
        <v>21</v>
      </c>
      <c r="E1602" s="1">
        <v>19.751999999999999</v>
      </c>
      <c r="F1602" t="s">
        <v>22</v>
      </c>
      <c r="G1602">
        <v>0</v>
      </c>
      <c r="H1602" s="1">
        <v>0</v>
      </c>
      <c r="I1602" s="21">
        <v>44045</v>
      </c>
      <c r="J1602" s="21">
        <v>44047</v>
      </c>
      <c r="K1602" s="21">
        <v>44047</v>
      </c>
      <c r="L1602" t="s">
        <v>39</v>
      </c>
      <c r="M1602" t="s">
        <v>82</v>
      </c>
      <c r="N1602" t="s">
        <v>47</v>
      </c>
      <c r="O1602">
        <v>1</v>
      </c>
      <c r="P1602" t="s">
        <v>2460</v>
      </c>
      <c r="Q1602" t="s">
        <v>4515</v>
      </c>
      <c r="R1602" t="s">
        <v>4726</v>
      </c>
      <c r="S1602" t="s">
        <v>4717</v>
      </c>
      <c r="T1602">
        <f t="shared" ref="T1602:T1660" si="161">J1602-I1602</f>
        <v>2</v>
      </c>
      <c r="U1602" s="21">
        <f t="shared" si="160"/>
        <v>44047</v>
      </c>
    </row>
    <row r="1603" spans="1:21" x14ac:dyDescent="0.35">
      <c r="A1603" t="s">
        <v>3619</v>
      </c>
      <c r="B1603" t="s">
        <v>3620</v>
      </c>
      <c r="C1603" t="s">
        <v>30</v>
      </c>
      <c r="D1603" t="s">
        <v>21</v>
      </c>
      <c r="E1603" s="1">
        <v>99.98</v>
      </c>
      <c r="F1603" t="s">
        <v>22</v>
      </c>
      <c r="G1603">
        <v>0</v>
      </c>
      <c r="H1603" s="1">
        <v>0</v>
      </c>
      <c r="I1603" s="21">
        <v>44036</v>
      </c>
      <c r="J1603" s="21">
        <v>44037</v>
      </c>
      <c r="K1603" s="21">
        <v>44037</v>
      </c>
      <c r="L1603" t="s">
        <v>53</v>
      </c>
      <c r="M1603" t="s">
        <v>46</v>
      </c>
      <c r="N1603" t="s">
        <v>47</v>
      </c>
      <c r="O1603">
        <v>1</v>
      </c>
      <c r="P1603" t="s">
        <v>3621</v>
      </c>
      <c r="Q1603" t="s">
        <v>4694</v>
      </c>
      <c r="R1603" t="s">
        <v>4713</v>
      </c>
      <c r="S1603" t="s">
        <v>4719</v>
      </c>
      <c r="T1603">
        <f t="shared" si="161"/>
        <v>1</v>
      </c>
      <c r="U1603" s="21">
        <f t="shared" si="160"/>
        <v>44037</v>
      </c>
    </row>
    <row r="1604" spans="1:21" x14ac:dyDescent="0.35">
      <c r="A1604" t="s">
        <v>2470</v>
      </c>
      <c r="B1604" t="s">
        <v>2471</v>
      </c>
      <c r="C1604" t="s">
        <v>19</v>
      </c>
      <c r="D1604" t="s">
        <v>21</v>
      </c>
      <c r="E1604" s="1">
        <v>112.542</v>
      </c>
      <c r="F1604" t="s">
        <v>22</v>
      </c>
      <c r="G1604">
        <v>0</v>
      </c>
      <c r="H1604" s="1">
        <v>0</v>
      </c>
      <c r="I1604" s="21">
        <v>44033</v>
      </c>
      <c r="J1604" s="21">
        <v>44035</v>
      </c>
      <c r="K1604" s="21">
        <v>44035</v>
      </c>
      <c r="L1604" t="s">
        <v>45</v>
      </c>
      <c r="M1604" t="s">
        <v>54</v>
      </c>
      <c r="N1604" t="s">
        <v>26</v>
      </c>
      <c r="O1604">
        <v>1</v>
      </c>
      <c r="P1604" t="s">
        <v>1686</v>
      </c>
      <c r="Q1604" t="s">
        <v>4729</v>
      </c>
      <c r="R1604" t="s">
        <v>4726</v>
      </c>
      <c r="S1604" t="s">
        <v>4717</v>
      </c>
      <c r="T1604">
        <f t="shared" si="161"/>
        <v>2</v>
      </c>
      <c r="U1604" s="21">
        <f t="shared" si="160"/>
        <v>44035</v>
      </c>
    </row>
    <row r="1605" spans="1:21" x14ac:dyDescent="0.35">
      <c r="A1605" t="s">
        <v>2467</v>
      </c>
      <c r="B1605" t="s">
        <v>2468</v>
      </c>
      <c r="C1605" t="s">
        <v>19</v>
      </c>
      <c r="D1605" t="s">
        <v>21</v>
      </c>
      <c r="E1605" s="1">
        <v>602.42999999999995</v>
      </c>
      <c r="F1605" t="s">
        <v>22</v>
      </c>
      <c r="G1605">
        <v>0</v>
      </c>
      <c r="H1605" s="1">
        <v>0</v>
      </c>
      <c r="I1605" s="21">
        <v>44033</v>
      </c>
      <c r="J1605" s="21">
        <v>44036</v>
      </c>
      <c r="K1605" s="21">
        <v>44036</v>
      </c>
      <c r="L1605" t="s">
        <v>63</v>
      </c>
      <c r="M1605" t="s">
        <v>46</v>
      </c>
      <c r="N1605" t="s">
        <v>47</v>
      </c>
      <c r="O1605">
        <v>1</v>
      </c>
      <c r="P1605" t="s">
        <v>2469</v>
      </c>
      <c r="Q1605" t="s">
        <v>4574</v>
      </c>
      <c r="R1605" t="s">
        <v>4713</v>
      </c>
      <c r="S1605" t="s">
        <v>4719</v>
      </c>
      <c r="T1605">
        <f t="shared" si="161"/>
        <v>3</v>
      </c>
      <c r="U1605" s="21">
        <f t="shared" si="160"/>
        <v>44036</v>
      </c>
    </row>
    <row r="1606" spans="1:21" x14ac:dyDescent="0.35">
      <c r="A1606" t="s">
        <v>60</v>
      </c>
      <c r="B1606" t="s">
        <v>61</v>
      </c>
      <c r="C1606" t="s">
        <v>19</v>
      </c>
      <c r="D1606" t="s">
        <v>21</v>
      </c>
      <c r="E1606" s="1">
        <v>176.494</v>
      </c>
      <c r="F1606" t="s">
        <v>22</v>
      </c>
      <c r="G1606">
        <v>0</v>
      </c>
      <c r="H1606" s="1">
        <v>0</v>
      </c>
      <c r="I1606" s="21">
        <v>44033</v>
      </c>
      <c r="J1606" s="21">
        <v>44035</v>
      </c>
      <c r="K1606" s="21">
        <v>44035</v>
      </c>
      <c r="L1606" t="s">
        <v>63</v>
      </c>
      <c r="M1606" t="s">
        <v>46</v>
      </c>
      <c r="N1606" t="s">
        <v>47</v>
      </c>
      <c r="O1606">
        <v>1</v>
      </c>
      <c r="P1606" t="s">
        <v>64</v>
      </c>
      <c r="Q1606" t="s">
        <v>4519</v>
      </c>
      <c r="R1606" t="s">
        <v>4726</v>
      </c>
      <c r="S1606" t="s">
        <v>4717</v>
      </c>
      <c r="T1606">
        <f t="shared" si="161"/>
        <v>2</v>
      </c>
      <c r="U1606" s="21">
        <f t="shared" si="160"/>
        <v>44035</v>
      </c>
    </row>
    <row r="1607" spans="1:21" x14ac:dyDescent="0.35">
      <c r="A1607" t="s">
        <v>3616</v>
      </c>
      <c r="B1607" t="s">
        <v>3617</v>
      </c>
      <c r="C1607" t="s">
        <v>19</v>
      </c>
      <c r="D1607" t="s">
        <v>21</v>
      </c>
      <c r="E1607" s="1">
        <v>164.85</v>
      </c>
      <c r="F1607" t="s">
        <v>22</v>
      </c>
      <c r="G1607">
        <v>0</v>
      </c>
      <c r="H1607" s="1">
        <v>0</v>
      </c>
      <c r="I1607" s="21">
        <v>44024</v>
      </c>
      <c r="J1607" s="21">
        <v>44027</v>
      </c>
      <c r="K1607" s="21">
        <v>44027</v>
      </c>
      <c r="L1607" t="s">
        <v>39</v>
      </c>
      <c r="M1607" t="s">
        <v>82</v>
      </c>
      <c r="N1607" t="s">
        <v>47</v>
      </c>
      <c r="O1607">
        <v>1</v>
      </c>
      <c r="P1607" t="s">
        <v>3618</v>
      </c>
      <c r="Q1607" t="s">
        <v>4551</v>
      </c>
      <c r="R1607" t="s">
        <v>4711</v>
      </c>
      <c r="S1607" t="s">
        <v>4719</v>
      </c>
      <c r="T1607">
        <f t="shared" si="161"/>
        <v>3</v>
      </c>
      <c r="U1607" s="21">
        <f t="shared" si="160"/>
        <v>44027</v>
      </c>
    </row>
    <row r="1608" spans="1:21" x14ac:dyDescent="0.35">
      <c r="A1608" t="s">
        <v>1299</v>
      </c>
      <c r="B1608" t="s">
        <v>1300</v>
      </c>
      <c r="C1608" t="s">
        <v>30</v>
      </c>
      <c r="D1608" t="s">
        <v>21</v>
      </c>
      <c r="E1608" s="1">
        <v>586.33600000000001</v>
      </c>
      <c r="F1608" t="s">
        <v>22</v>
      </c>
      <c r="G1608">
        <v>0</v>
      </c>
      <c r="H1608" s="1">
        <v>0</v>
      </c>
      <c r="I1608" s="21">
        <v>44024</v>
      </c>
      <c r="J1608" s="21">
        <v>44027</v>
      </c>
      <c r="K1608" s="21">
        <v>44027</v>
      </c>
      <c r="L1608" t="s">
        <v>24</v>
      </c>
      <c r="M1608" t="s">
        <v>46</v>
      </c>
      <c r="N1608" t="s">
        <v>47</v>
      </c>
      <c r="O1608">
        <v>1</v>
      </c>
      <c r="P1608" t="s">
        <v>1301</v>
      </c>
      <c r="Q1608" t="s">
        <v>4729</v>
      </c>
      <c r="R1608" t="s">
        <v>4711</v>
      </c>
      <c r="S1608" t="s">
        <v>4719</v>
      </c>
      <c r="T1608">
        <f t="shared" si="161"/>
        <v>3</v>
      </c>
      <c r="U1608" s="21">
        <f t="shared" si="160"/>
        <v>44027</v>
      </c>
    </row>
    <row r="1609" spans="1:21" x14ac:dyDescent="0.35">
      <c r="A1609" t="s">
        <v>3613</v>
      </c>
      <c r="B1609" t="s">
        <v>3614</v>
      </c>
      <c r="C1609" t="s">
        <v>19</v>
      </c>
      <c r="D1609" t="s">
        <v>21</v>
      </c>
      <c r="E1609" s="1">
        <v>63.881999999999998</v>
      </c>
      <c r="F1609" t="s">
        <v>22</v>
      </c>
      <c r="G1609">
        <v>0</v>
      </c>
      <c r="H1609" s="1">
        <v>0</v>
      </c>
      <c r="I1609" s="21">
        <v>44021</v>
      </c>
      <c r="J1609" s="21">
        <v>44023</v>
      </c>
      <c r="K1609" s="21">
        <v>44023</v>
      </c>
      <c r="L1609" t="s">
        <v>32</v>
      </c>
      <c r="M1609" t="s">
        <v>25</v>
      </c>
      <c r="N1609" t="s">
        <v>26</v>
      </c>
      <c r="O1609">
        <v>1</v>
      </c>
      <c r="P1609" t="s">
        <v>3615</v>
      </c>
      <c r="Q1609" t="s">
        <v>4729</v>
      </c>
      <c r="R1609" t="s">
        <v>4714</v>
      </c>
      <c r="S1609" t="s">
        <v>4718</v>
      </c>
      <c r="T1609">
        <f t="shared" si="161"/>
        <v>2</v>
      </c>
      <c r="U1609" s="21">
        <f t="shared" si="160"/>
        <v>44023</v>
      </c>
    </row>
    <row r="1610" spans="1:21" x14ac:dyDescent="0.35">
      <c r="A1610" t="s">
        <v>2464</v>
      </c>
      <c r="B1610" t="s">
        <v>2465</v>
      </c>
      <c r="C1610" t="s">
        <v>19</v>
      </c>
      <c r="D1610" t="s">
        <v>21</v>
      </c>
      <c r="E1610" s="1">
        <v>559.99199999999996</v>
      </c>
      <c r="F1610" t="s">
        <v>22</v>
      </c>
      <c r="G1610">
        <v>0</v>
      </c>
      <c r="H1610" s="1">
        <v>0</v>
      </c>
      <c r="I1610" s="21">
        <v>44019</v>
      </c>
      <c r="J1610" s="21">
        <v>44021</v>
      </c>
      <c r="K1610" s="21">
        <v>44021</v>
      </c>
      <c r="L1610" t="s">
        <v>24</v>
      </c>
      <c r="M1610" t="s">
        <v>33</v>
      </c>
      <c r="N1610" t="s">
        <v>34</v>
      </c>
      <c r="O1610">
        <v>1</v>
      </c>
      <c r="P1610" t="s">
        <v>2466</v>
      </c>
      <c r="Q1610" t="s">
        <v>4650</v>
      </c>
      <c r="R1610" t="s">
        <v>4720</v>
      </c>
      <c r="S1610" t="s">
        <v>4719</v>
      </c>
      <c r="T1610">
        <f t="shared" si="161"/>
        <v>2</v>
      </c>
      <c r="U1610" s="21">
        <f t="shared" si="160"/>
        <v>44021</v>
      </c>
    </row>
    <row r="1611" spans="1:21" x14ac:dyDescent="0.35">
      <c r="A1611" t="s">
        <v>56</v>
      </c>
      <c r="B1611" t="s">
        <v>57</v>
      </c>
      <c r="C1611" t="s">
        <v>19</v>
      </c>
      <c r="D1611" t="s">
        <v>21</v>
      </c>
      <c r="E1611" s="1">
        <v>242.54599999999999</v>
      </c>
      <c r="F1611" t="s">
        <v>22</v>
      </c>
      <c r="G1611">
        <v>0</v>
      </c>
      <c r="H1611" s="1">
        <v>0</v>
      </c>
      <c r="I1611" s="21">
        <v>44018</v>
      </c>
      <c r="J1611" s="21">
        <v>44021</v>
      </c>
      <c r="K1611" s="21">
        <v>44021</v>
      </c>
      <c r="L1611" t="s">
        <v>45</v>
      </c>
      <c r="M1611" t="s">
        <v>46</v>
      </c>
      <c r="N1611" t="s">
        <v>47</v>
      </c>
      <c r="O1611">
        <v>1</v>
      </c>
      <c r="P1611" t="s">
        <v>59</v>
      </c>
      <c r="Q1611" t="s">
        <v>4518</v>
      </c>
      <c r="R1611" t="s">
        <v>4721</v>
      </c>
      <c r="S1611" t="s">
        <v>4718</v>
      </c>
      <c r="T1611">
        <f t="shared" si="161"/>
        <v>3</v>
      </c>
      <c r="U1611" s="21">
        <f t="shared" si="160"/>
        <v>44021</v>
      </c>
    </row>
    <row r="1612" spans="1:21" x14ac:dyDescent="0.35">
      <c r="A1612" t="s">
        <v>1296</v>
      </c>
      <c r="B1612" t="s">
        <v>1297</v>
      </c>
      <c r="C1612" t="s">
        <v>30</v>
      </c>
      <c r="D1612" t="s">
        <v>21</v>
      </c>
      <c r="E1612" s="1">
        <v>514.03000000000009</v>
      </c>
      <c r="F1612" t="s">
        <v>22</v>
      </c>
      <c r="G1612">
        <v>0</v>
      </c>
      <c r="H1612" s="1">
        <v>0</v>
      </c>
      <c r="I1612" s="21">
        <v>44018</v>
      </c>
      <c r="J1612" s="21">
        <v>44021</v>
      </c>
      <c r="K1612" s="21">
        <v>44021</v>
      </c>
      <c r="L1612" t="s">
        <v>39</v>
      </c>
      <c r="M1612" t="s">
        <v>25</v>
      </c>
      <c r="N1612" t="s">
        <v>26</v>
      </c>
      <c r="O1612">
        <v>1</v>
      </c>
      <c r="P1612" t="s">
        <v>1298</v>
      </c>
      <c r="Q1612" t="s">
        <v>4568</v>
      </c>
      <c r="R1612" t="s">
        <v>4713</v>
      </c>
      <c r="S1612" t="s">
        <v>4719</v>
      </c>
      <c r="T1612">
        <f t="shared" si="161"/>
        <v>3</v>
      </c>
      <c r="U1612" s="21">
        <f t="shared" si="160"/>
        <v>44021</v>
      </c>
    </row>
    <row r="1613" spans="1:21" x14ac:dyDescent="0.35">
      <c r="A1613" t="s">
        <v>3610</v>
      </c>
      <c r="B1613" t="s">
        <v>3611</v>
      </c>
      <c r="C1613" t="s">
        <v>19</v>
      </c>
      <c r="D1613" t="s">
        <v>21</v>
      </c>
      <c r="E1613" s="1">
        <v>209.96800000000002</v>
      </c>
      <c r="F1613" t="s">
        <v>22</v>
      </c>
      <c r="G1613">
        <v>0</v>
      </c>
      <c r="H1613" s="1">
        <v>0</v>
      </c>
      <c r="I1613" s="21">
        <v>44017</v>
      </c>
      <c r="J1613" s="21">
        <v>44020</v>
      </c>
      <c r="K1613" s="21">
        <v>44020</v>
      </c>
      <c r="L1613" t="s">
        <v>63</v>
      </c>
      <c r="M1613" t="s">
        <v>72</v>
      </c>
      <c r="N1613" t="s">
        <v>73</v>
      </c>
      <c r="O1613">
        <v>1</v>
      </c>
      <c r="P1613" t="s">
        <v>3612</v>
      </c>
      <c r="Q1613" t="s">
        <v>4519</v>
      </c>
      <c r="R1613" t="s">
        <v>4726</v>
      </c>
      <c r="S1613" t="s">
        <v>4717</v>
      </c>
      <c r="T1613">
        <f t="shared" si="161"/>
        <v>3</v>
      </c>
      <c r="U1613" s="21">
        <f t="shared" si="160"/>
        <v>44020</v>
      </c>
    </row>
    <row r="1614" spans="1:21" x14ac:dyDescent="0.35">
      <c r="A1614" t="s">
        <v>3607</v>
      </c>
      <c r="B1614" t="s">
        <v>3608</v>
      </c>
      <c r="C1614" t="s">
        <v>19</v>
      </c>
      <c r="D1614" t="s">
        <v>21</v>
      </c>
      <c r="E1614" s="1">
        <v>5.2480000000000002</v>
      </c>
      <c r="F1614" t="s">
        <v>22</v>
      </c>
      <c r="G1614">
        <v>0</v>
      </c>
      <c r="H1614" s="1">
        <v>0</v>
      </c>
      <c r="I1614" s="21">
        <v>44013</v>
      </c>
      <c r="J1614" s="21">
        <v>44015</v>
      </c>
      <c r="K1614" s="21">
        <v>44015</v>
      </c>
      <c r="L1614" t="s">
        <v>45</v>
      </c>
      <c r="M1614" t="s">
        <v>67</v>
      </c>
      <c r="N1614" t="s">
        <v>68</v>
      </c>
      <c r="O1614">
        <v>1</v>
      </c>
      <c r="P1614" t="s">
        <v>3609</v>
      </c>
      <c r="Q1614" t="s">
        <v>4549</v>
      </c>
      <c r="R1614" t="s">
        <v>4726</v>
      </c>
      <c r="S1614" t="s">
        <v>4717</v>
      </c>
      <c r="T1614">
        <f t="shared" si="161"/>
        <v>2</v>
      </c>
      <c r="U1614" s="21">
        <f t="shared" si="160"/>
        <v>44015</v>
      </c>
    </row>
    <row r="1615" spans="1:21" x14ac:dyDescent="0.35">
      <c r="A1615" t="s">
        <v>2496</v>
      </c>
      <c r="B1615" t="s">
        <v>2497</v>
      </c>
      <c r="C1615" t="s">
        <v>19</v>
      </c>
      <c r="D1615" t="s">
        <v>21</v>
      </c>
      <c r="E1615" s="1">
        <v>447.84</v>
      </c>
      <c r="F1615" t="s">
        <v>22</v>
      </c>
      <c r="G1615">
        <v>0</v>
      </c>
      <c r="H1615" s="1">
        <v>0</v>
      </c>
      <c r="I1615" s="21">
        <v>44008</v>
      </c>
      <c r="J1615" s="21">
        <v>44011</v>
      </c>
      <c r="K1615" s="21">
        <v>44011</v>
      </c>
      <c r="L1615" t="s">
        <v>53</v>
      </c>
      <c r="M1615" t="s">
        <v>67</v>
      </c>
      <c r="N1615" t="s">
        <v>68</v>
      </c>
      <c r="O1615">
        <v>1</v>
      </c>
      <c r="P1615" t="s">
        <v>239</v>
      </c>
      <c r="Q1615" t="s">
        <v>4729</v>
      </c>
      <c r="R1615" t="s">
        <v>4712</v>
      </c>
      <c r="S1615" t="s">
        <v>4718</v>
      </c>
      <c r="T1615">
        <f t="shared" si="161"/>
        <v>3</v>
      </c>
      <c r="U1615" s="21">
        <f t="shared" si="160"/>
        <v>44011</v>
      </c>
    </row>
    <row r="1616" spans="1:21" x14ac:dyDescent="0.35">
      <c r="A1616" t="s">
        <v>3622</v>
      </c>
      <c r="B1616" t="s">
        <v>3623</v>
      </c>
      <c r="C1616" t="s">
        <v>19</v>
      </c>
      <c r="D1616" t="s">
        <v>21</v>
      </c>
      <c r="E1616" s="1">
        <v>23.119999999999997</v>
      </c>
      <c r="F1616" t="s">
        <v>22</v>
      </c>
      <c r="G1616">
        <v>0</v>
      </c>
      <c r="H1616" s="1">
        <v>0</v>
      </c>
      <c r="I1616" s="21">
        <v>44006</v>
      </c>
      <c r="J1616" s="21">
        <v>44009</v>
      </c>
      <c r="K1616" s="21">
        <v>44009</v>
      </c>
      <c r="L1616" t="s">
        <v>63</v>
      </c>
      <c r="M1616" t="s">
        <v>82</v>
      </c>
      <c r="N1616" t="s">
        <v>47</v>
      </c>
      <c r="O1616">
        <v>1</v>
      </c>
      <c r="P1616" t="s">
        <v>3345</v>
      </c>
      <c r="Q1616" t="s">
        <v>4621</v>
      </c>
      <c r="R1616" t="s">
        <v>4726</v>
      </c>
      <c r="S1616" t="s">
        <v>4717</v>
      </c>
      <c r="T1616">
        <f t="shared" si="161"/>
        <v>3</v>
      </c>
      <c r="U1616" s="21">
        <f t="shared" si="160"/>
        <v>44009</v>
      </c>
    </row>
    <row r="1617" spans="1:21" x14ac:dyDescent="0.35">
      <c r="A1617" t="s">
        <v>1293</v>
      </c>
      <c r="B1617" t="s">
        <v>1294</v>
      </c>
      <c r="C1617" t="s">
        <v>19</v>
      </c>
      <c r="D1617" t="s">
        <v>21</v>
      </c>
      <c r="E1617" s="1">
        <v>196.75200000000001</v>
      </c>
      <c r="F1617" t="s">
        <v>22</v>
      </c>
      <c r="G1617">
        <v>0</v>
      </c>
      <c r="H1617" s="1">
        <v>0</v>
      </c>
      <c r="I1617" s="21">
        <v>44005</v>
      </c>
      <c r="J1617" s="21">
        <v>44008</v>
      </c>
      <c r="K1617" s="21">
        <v>44008</v>
      </c>
      <c r="L1617" t="s">
        <v>32</v>
      </c>
      <c r="M1617" t="s">
        <v>25</v>
      </c>
      <c r="N1617" t="s">
        <v>26</v>
      </c>
      <c r="O1617">
        <v>1</v>
      </c>
      <c r="P1617" t="s">
        <v>1295</v>
      </c>
      <c r="Q1617" t="s">
        <v>4779</v>
      </c>
      <c r="R1617" t="s">
        <v>4713</v>
      </c>
      <c r="S1617" t="s">
        <v>4719</v>
      </c>
      <c r="T1617">
        <f t="shared" si="161"/>
        <v>3</v>
      </c>
      <c r="U1617" s="21">
        <f t="shared" si="160"/>
        <v>44008</v>
      </c>
    </row>
    <row r="1618" spans="1:21" x14ac:dyDescent="0.35">
      <c r="A1618" t="s">
        <v>1289</v>
      </c>
      <c r="B1618" t="s">
        <v>1290</v>
      </c>
      <c r="C1618" t="s">
        <v>19</v>
      </c>
      <c r="D1618" t="s">
        <v>21</v>
      </c>
      <c r="E1618" s="1">
        <v>663.75</v>
      </c>
      <c r="F1618" t="s">
        <v>22</v>
      </c>
      <c r="G1618">
        <v>0</v>
      </c>
      <c r="H1618" s="1">
        <v>0</v>
      </c>
      <c r="I1618" s="21">
        <v>44005</v>
      </c>
      <c r="J1618" s="21">
        <v>44007</v>
      </c>
      <c r="K1618" s="21">
        <v>44007</v>
      </c>
      <c r="L1618" t="s">
        <v>45</v>
      </c>
      <c r="M1618" t="s">
        <v>25</v>
      </c>
      <c r="N1618" t="s">
        <v>26</v>
      </c>
      <c r="O1618">
        <v>1</v>
      </c>
      <c r="P1618" t="s">
        <v>1292</v>
      </c>
      <c r="Q1618" t="s">
        <v>4729</v>
      </c>
      <c r="R1618" t="s">
        <v>4777</v>
      </c>
      <c r="S1618" t="s">
        <v>4718</v>
      </c>
      <c r="T1618">
        <f t="shared" si="161"/>
        <v>2</v>
      </c>
      <c r="U1618" s="21">
        <f t="shared" si="160"/>
        <v>44007</v>
      </c>
    </row>
    <row r="1619" spans="1:21" x14ac:dyDescent="0.35">
      <c r="A1619" t="s">
        <v>1320</v>
      </c>
      <c r="B1619" t="s">
        <v>1321</v>
      </c>
      <c r="C1619" t="s">
        <v>30</v>
      </c>
      <c r="D1619" t="s">
        <v>21</v>
      </c>
      <c r="E1619" s="1">
        <v>697.32</v>
      </c>
      <c r="F1619" t="s">
        <v>22</v>
      </c>
      <c r="G1619">
        <v>0</v>
      </c>
      <c r="H1619" s="1">
        <v>0</v>
      </c>
      <c r="I1619" s="21">
        <v>44004</v>
      </c>
      <c r="J1619" s="21">
        <v>44007</v>
      </c>
      <c r="K1619" s="21">
        <v>44007</v>
      </c>
      <c r="L1619" t="s">
        <v>53</v>
      </c>
      <c r="M1619" t="s">
        <v>25</v>
      </c>
      <c r="N1619" t="s">
        <v>26</v>
      </c>
      <c r="O1619">
        <v>1</v>
      </c>
      <c r="P1619" t="s">
        <v>1322</v>
      </c>
      <c r="Q1619" t="s">
        <v>4729</v>
      </c>
      <c r="R1619" t="s">
        <v>4721</v>
      </c>
      <c r="S1619" t="s">
        <v>4717</v>
      </c>
      <c r="T1619">
        <f t="shared" si="161"/>
        <v>3</v>
      </c>
      <c r="U1619" s="21">
        <f t="shared" si="160"/>
        <v>44007</v>
      </c>
    </row>
    <row r="1620" spans="1:21" x14ac:dyDescent="0.35">
      <c r="A1620" t="s">
        <v>2425</v>
      </c>
      <c r="B1620" t="s">
        <v>2426</v>
      </c>
      <c r="C1620" t="s">
        <v>19</v>
      </c>
      <c r="D1620" t="s">
        <v>21</v>
      </c>
      <c r="E1620" s="1">
        <v>21.4</v>
      </c>
      <c r="F1620" t="s">
        <v>22</v>
      </c>
      <c r="G1620">
        <v>0</v>
      </c>
      <c r="H1620" s="1">
        <v>0</v>
      </c>
      <c r="I1620" s="21">
        <v>44004</v>
      </c>
      <c r="J1620" s="21">
        <v>44007</v>
      </c>
      <c r="K1620" s="21">
        <v>44007</v>
      </c>
      <c r="L1620" t="s">
        <v>24</v>
      </c>
      <c r="M1620" t="s">
        <v>40</v>
      </c>
      <c r="N1620" t="s">
        <v>34</v>
      </c>
      <c r="O1620">
        <v>1</v>
      </c>
      <c r="P1620" t="s">
        <v>621</v>
      </c>
      <c r="Q1620" t="s">
        <v>4520</v>
      </c>
      <c r="R1620" t="s">
        <v>4726</v>
      </c>
      <c r="S1620" t="s">
        <v>4717</v>
      </c>
      <c r="T1620">
        <f t="shared" si="161"/>
        <v>3</v>
      </c>
      <c r="U1620" s="21">
        <f t="shared" si="160"/>
        <v>44007</v>
      </c>
    </row>
    <row r="1621" spans="1:21" x14ac:dyDescent="0.35">
      <c r="A1621" t="s">
        <v>1326</v>
      </c>
      <c r="B1621" t="s">
        <v>1327</v>
      </c>
      <c r="C1621" t="s">
        <v>19</v>
      </c>
      <c r="D1621" t="s">
        <v>21</v>
      </c>
      <c r="E1621" s="1">
        <v>13.36</v>
      </c>
      <c r="F1621" t="s">
        <v>22</v>
      </c>
      <c r="G1621">
        <v>0</v>
      </c>
      <c r="H1621" s="1">
        <v>0</v>
      </c>
      <c r="I1621" s="21">
        <v>43989</v>
      </c>
      <c r="J1621" s="21">
        <v>43992</v>
      </c>
      <c r="K1621" s="21">
        <v>43992</v>
      </c>
      <c r="L1621" t="s">
        <v>53</v>
      </c>
      <c r="M1621" t="s">
        <v>72</v>
      </c>
      <c r="N1621" t="s">
        <v>73</v>
      </c>
      <c r="O1621">
        <v>1</v>
      </c>
      <c r="P1621" t="s">
        <v>1328</v>
      </c>
      <c r="Q1621" t="s">
        <v>4626</v>
      </c>
      <c r="R1621" t="s">
        <v>4726</v>
      </c>
      <c r="S1621" t="s">
        <v>4717</v>
      </c>
      <c r="T1621">
        <f t="shared" si="161"/>
        <v>3</v>
      </c>
      <c r="U1621" s="21">
        <f t="shared" si="160"/>
        <v>43992</v>
      </c>
    </row>
    <row r="1622" spans="1:21" x14ac:dyDescent="0.35">
      <c r="A1622" t="s">
        <v>3572</v>
      </c>
      <c r="B1622" t="s">
        <v>3573</v>
      </c>
      <c r="C1622" t="s">
        <v>19</v>
      </c>
      <c r="D1622" t="s">
        <v>21</v>
      </c>
      <c r="E1622" s="1">
        <v>210.17599999999999</v>
      </c>
      <c r="F1622" t="s">
        <v>22</v>
      </c>
      <c r="G1622">
        <v>0</v>
      </c>
      <c r="H1622" s="1">
        <v>0</v>
      </c>
      <c r="I1622" s="21">
        <v>43986</v>
      </c>
      <c r="J1622" s="21">
        <v>43989</v>
      </c>
      <c r="K1622" s="21">
        <v>43989</v>
      </c>
      <c r="L1622" t="s">
        <v>39</v>
      </c>
      <c r="M1622" t="s">
        <v>40</v>
      </c>
      <c r="N1622" t="s">
        <v>34</v>
      </c>
      <c r="O1622">
        <v>1</v>
      </c>
      <c r="P1622" t="s">
        <v>767</v>
      </c>
      <c r="Q1622" t="s">
        <v>4517</v>
      </c>
      <c r="R1622" t="s">
        <v>4726</v>
      </c>
      <c r="S1622" t="s">
        <v>4717</v>
      </c>
      <c r="T1622">
        <f t="shared" si="161"/>
        <v>3</v>
      </c>
      <c r="U1622" s="21">
        <f t="shared" si="160"/>
        <v>43989</v>
      </c>
    </row>
    <row r="1623" spans="1:21" x14ac:dyDescent="0.35">
      <c r="A1623" t="s">
        <v>2454</v>
      </c>
      <c r="B1623" t="s">
        <v>2455</v>
      </c>
      <c r="C1623" t="s">
        <v>30</v>
      </c>
      <c r="D1623" t="s">
        <v>21</v>
      </c>
      <c r="E1623" s="1">
        <v>765.49400000000003</v>
      </c>
      <c r="F1623" t="s">
        <v>22</v>
      </c>
      <c r="G1623">
        <v>0</v>
      </c>
      <c r="H1623" s="1">
        <v>0</v>
      </c>
      <c r="I1623" s="21">
        <v>43982</v>
      </c>
      <c r="J1623" s="21">
        <v>43984</v>
      </c>
      <c r="K1623" s="21">
        <v>43984</v>
      </c>
      <c r="L1623" t="s">
        <v>45</v>
      </c>
      <c r="M1623" t="s">
        <v>82</v>
      </c>
      <c r="N1623" t="s">
        <v>47</v>
      </c>
      <c r="O1623">
        <v>1</v>
      </c>
      <c r="P1623" t="s">
        <v>574</v>
      </c>
      <c r="Q1623" t="s">
        <v>4528</v>
      </c>
      <c r="R1623" t="s">
        <v>4726</v>
      </c>
      <c r="S1623" t="s">
        <v>4717</v>
      </c>
      <c r="T1623">
        <f t="shared" si="161"/>
        <v>2</v>
      </c>
      <c r="U1623" s="21">
        <f t="shared" si="160"/>
        <v>43984</v>
      </c>
    </row>
    <row r="1624" spans="1:21" x14ac:dyDescent="0.35">
      <c r="A1624" t="s">
        <v>3604</v>
      </c>
      <c r="B1624" t="s">
        <v>3605</v>
      </c>
      <c r="C1624" t="s">
        <v>30</v>
      </c>
      <c r="D1624" t="s">
        <v>21</v>
      </c>
      <c r="E1624" s="1">
        <v>17.459999999999901</v>
      </c>
      <c r="F1624" t="s">
        <v>22</v>
      </c>
      <c r="G1624">
        <v>0</v>
      </c>
      <c r="H1624" s="1">
        <v>0</v>
      </c>
      <c r="I1624" s="21">
        <v>43979</v>
      </c>
      <c r="J1624" s="21">
        <v>43982</v>
      </c>
      <c r="K1624" s="21">
        <v>43982</v>
      </c>
      <c r="L1624" t="s">
        <v>53</v>
      </c>
      <c r="M1624" t="s">
        <v>97</v>
      </c>
      <c r="N1624" t="s">
        <v>68</v>
      </c>
      <c r="O1624">
        <v>1</v>
      </c>
      <c r="P1624" t="s">
        <v>3606</v>
      </c>
      <c r="Q1624" t="s">
        <v>4560</v>
      </c>
      <c r="R1624" t="s">
        <v>4721</v>
      </c>
      <c r="S1624" t="s">
        <v>4717</v>
      </c>
      <c r="T1624">
        <f t="shared" si="161"/>
        <v>3</v>
      </c>
      <c r="U1624" s="21">
        <f t="shared" si="160"/>
        <v>43982</v>
      </c>
    </row>
    <row r="1625" spans="1:21" x14ac:dyDescent="0.35">
      <c r="A1625" t="s">
        <v>1286</v>
      </c>
      <c r="B1625" t="s">
        <v>1287</v>
      </c>
      <c r="C1625" t="s">
        <v>19</v>
      </c>
      <c r="D1625" t="s">
        <v>21</v>
      </c>
      <c r="E1625" s="1">
        <v>48.4</v>
      </c>
      <c r="F1625" t="s">
        <v>22</v>
      </c>
      <c r="G1625">
        <v>0</v>
      </c>
      <c r="H1625" s="1">
        <v>0</v>
      </c>
      <c r="I1625" s="21">
        <v>43978</v>
      </c>
      <c r="J1625" s="21">
        <v>43981</v>
      </c>
      <c r="K1625" s="21">
        <v>43981</v>
      </c>
      <c r="L1625" t="s">
        <v>39</v>
      </c>
      <c r="M1625" t="s">
        <v>97</v>
      </c>
      <c r="N1625" t="s">
        <v>68</v>
      </c>
      <c r="O1625">
        <v>1</v>
      </c>
      <c r="P1625" t="s">
        <v>1288</v>
      </c>
      <c r="Q1625" t="s">
        <v>4729</v>
      </c>
      <c r="R1625" t="s">
        <v>4726</v>
      </c>
      <c r="S1625" t="s">
        <v>4717</v>
      </c>
      <c r="T1625">
        <f t="shared" si="161"/>
        <v>3</v>
      </c>
      <c r="U1625" s="21">
        <f t="shared" si="160"/>
        <v>43981</v>
      </c>
    </row>
    <row r="1626" spans="1:21" x14ac:dyDescent="0.35">
      <c r="A1626" t="s">
        <v>1283</v>
      </c>
      <c r="B1626" t="s">
        <v>1284</v>
      </c>
      <c r="C1626" t="s">
        <v>30</v>
      </c>
      <c r="D1626" t="s">
        <v>21</v>
      </c>
      <c r="E1626" s="1">
        <v>34.200000000000003</v>
      </c>
      <c r="F1626" t="s">
        <v>22</v>
      </c>
      <c r="G1626">
        <v>0</v>
      </c>
      <c r="H1626" s="1">
        <v>0</v>
      </c>
      <c r="I1626" s="21">
        <v>43971</v>
      </c>
      <c r="J1626" s="21">
        <v>43974</v>
      </c>
      <c r="K1626" s="21">
        <v>43974</v>
      </c>
      <c r="L1626" t="s">
        <v>32</v>
      </c>
      <c r="M1626" t="s">
        <v>40</v>
      </c>
      <c r="N1626" t="s">
        <v>34</v>
      </c>
      <c r="O1626">
        <v>1</v>
      </c>
      <c r="P1626" t="s">
        <v>1285</v>
      </c>
      <c r="Q1626" t="s">
        <v>4546</v>
      </c>
      <c r="R1626" t="s">
        <v>4726</v>
      </c>
      <c r="S1626" t="s">
        <v>4717</v>
      </c>
      <c r="T1626">
        <f t="shared" si="161"/>
        <v>3</v>
      </c>
      <c r="U1626" s="21">
        <f t="shared" si="160"/>
        <v>43974</v>
      </c>
    </row>
    <row r="1627" spans="1:21" x14ac:dyDescent="0.35">
      <c r="A1627" t="s">
        <v>1281</v>
      </c>
      <c r="B1627" t="s">
        <v>1282</v>
      </c>
      <c r="C1627" t="s">
        <v>30</v>
      </c>
      <c r="D1627" t="s">
        <v>21</v>
      </c>
      <c r="E1627" s="1">
        <v>405.45599999999996</v>
      </c>
      <c r="F1627" t="s">
        <v>22</v>
      </c>
      <c r="G1627">
        <v>0</v>
      </c>
      <c r="H1627" s="1">
        <v>0</v>
      </c>
      <c r="I1627" s="21">
        <v>43965</v>
      </c>
      <c r="J1627" s="21">
        <v>43967</v>
      </c>
      <c r="K1627" s="21">
        <v>43967</v>
      </c>
      <c r="L1627" t="s">
        <v>63</v>
      </c>
      <c r="M1627" t="s">
        <v>40</v>
      </c>
      <c r="N1627" t="s">
        <v>34</v>
      </c>
      <c r="O1627">
        <v>1</v>
      </c>
      <c r="P1627" t="s">
        <v>196</v>
      </c>
      <c r="Q1627" t="s">
        <v>4729</v>
      </c>
      <c r="R1627" t="s">
        <v>4726</v>
      </c>
      <c r="S1627" t="s">
        <v>4717</v>
      </c>
      <c r="T1627">
        <f t="shared" si="161"/>
        <v>2</v>
      </c>
      <c r="U1627" s="21">
        <f t="shared" si="160"/>
        <v>43967</v>
      </c>
    </row>
    <row r="1628" spans="1:21" x14ac:dyDescent="0.35">
      <c r="A1628" t="s">
        <v>2451</v>
      </c>
      <c r="B1628" t="s">
        <v>2452</v>
      </c>
      <c r="C1628" t="s">
        <v>30</v>
      </c>
      <c r="D1628" t="s">
        <v>21</v>
      </c>
      <c r="E1628" s="1">
        <v>34.79</v>
      </c>
      <c r="F1628" t="s">
        <v>22</v>
      </c>
      <c r="G1628">
        <v>0</v>
      </c>
      <c r="H1628" s="1">
        <v>0</v>
      </c>
      <c r="I1628" s="21">
        <v>43964</v>
      </c>
      <c r="J1628" s="21">
        <v>43967</v>
      </c>
      <c r="K1628" s="21">
        <v>43967</v>
      </c>
      <c r="L1628" t="s">
        <v>45</v>
      </c>
      <c r="M1628" t="s">
        <v>54</v>
      </c>
      <c r="N1628" t="s">
        <v>26</v>
      </c>
      <c r="O1628">
        <v>1</v>
      </c>
      <c r="P1628" t="s">
        <v>2453</v>
      </c>
      <c r="Q1628" t="s">
        <v>4603</v>
      </c>
      <c r="R1628" t="s">
        <v>4721</v>
      </c>
      <c r="S1628" t="s">
        <v>4718</v>
      </c>
      <c r="T1628">
        <f t="shared" si="161"/>
        <v>3</v>
      </c>
      <c r="U1628" s="21">
        <f t="shared" si="160"/>
        <v>43967</v>
      </c>
    </row>
    <row r="1629" spans="1:21" x14ac:dyDescent="0.35">
      <c r="A1629" t="s">
        <v>1278</v>
      </c>
      <c r="B1629" t="s">
        <v>1279</v>
      </c>
      <c r="C1629" t="s">
        <v>30</v>
      </c>
      <c r="D1629" t="s">
        <v>21</v>
      </c>
      <c r="E1629" s="1">
        <v>1799.96999999999</v>
      </c>
      <c r="F1629" t="s">
        <v>22</v>
      </c>
      <c r="G1629">
        <v>0</v>
      </c>
      <c r="H1629" s="1">
        <v>0</v>
      </c>
      <c r="I1629" s="21">
        <v>43960</v>
      </c>
      <c r="J1629" s="21">
        <v>43962</v>
      </c>
      <c r="K1629" s="21">
        <v>43962</v>
      </c>
      <c r="L1629" t="s">
        <v>32</v>
      </c>
      <c r="M1629" t="s">
        <v>72</v>
      </c>
      <c r="N1629" t="s">
        <v>73</v>
      </c>
      <c r="O1629">
        <v>1</v>
      </c>
      <c r="P1629" t="s">
        <v>1280</v>
      </c>
      <c r="Q1629" t="s">
        <v>4624</v>
      </c>
      <c r="R1629" t="s">
        <v>4720</v>
      </c>
      <c r="S1629" t="s">
        <v>4719</v>
      </c>
      <c r="T1629">
        <f t="shared" si="161"/>
        <v>2</v>
      </c>
      <c r="U1629" s="21">
        <f t="shared" si="160"/>
        <v>43962</v>
      </c>
    </row>
    <row r="1630" spans="1:21" x14ac:dyDescent="0.35">
      <c r="A1630" t="s">
        <v>1275</v>
      </c>
      <c r="B1630" t="s">
        <v>1276</v>
      </c>
      <c r="C1630" t="s">
        <v>19</v>
      </c>
      <c r="D1630" t="s">
        <v>21</v>
      </c>
      <c r="E1630" s="1">
        <v>127.869</v>
      </c>
      <c r="F1630" t="s">
        <v>22</v>
      </c>
      <c r="G1630">
        <v>0</v>
      </c>
      <c r="H1630" s="1">
        <v>0</v>
      </c>
      <c r="I1630" s="21">
        <v>43957</v>
      </c>
      <c r="J1630" s="21">
        <v>43960</v>
      </c>
      <c r="K1630" s="21">
        <v>43960</v>
      </c>
      <c r="L1630" t="s">
        <v>63</v>
      </c>
      <c r="M1630" t="s">
        <v>97</v>
      </c>
      <c r="N1630" t="s">
        <v>68</v>
      </c>
      <c r="O1630">
        <v>1</v>
      </c>
      <c r="P1630" t="s">
        <v>1277</v>
      </c>
      <c r="Q1630" t="s">
        <v>4567</v>
      </c>
      <c r="R1630" t="s">
        <v>4714</v>
      </c>
      <c r="S1630" t="s">
        <v>4718</v>
      </c>
      <c r="T1630">
        <f t="shared" si="161"/>
        <v>3</v>
      </c>
      <c r="U1630" s="21">
        <f t="shared" si="160"/>
        <v>43960</v>
      </c>
    </row>
    <row r="1631" spans="1:21" x14ac:dyDescent="0.35">
      <c r="A1631" t="s">
        <v>1273</v>
      </c>
      <c r="B1631" t="s">
        <v>1274</v>
      </c>
      <c r="C1631" t="s">
        <v>30</v>
      </c>
      <c r="D1631" t="s">
        <v>21</v>
      </c>
      <c r="E1631" s="1">
        <v>47.32</v>
      </c>
      <c r="F1631" t="s">
        <v>22</v>
      </c>
      <c r="G1631">
        <v>0</v>
      </c>
      <c r="H1631" s="1">
        <v>0</v>
      </c>
      <c r="I1631" s="21">
        <v>43957</v>
      </c>
      <c r="J1631" s="21">
        <v>43959</v>
      </c>
      <c r="K1631" s="21">
        <v>43959</v>
      </c>
      <c r="L1631" t="s">
        <v>39</v>
      </c>
      <c r="M1631" t="s">
        <v>72</v>
      </c>
      <c r="N1631" t="s">
        <v>73</v>
      </c>
      <c r="O1631">
        <v>1</v>
      </c>
      <c r="P1631" t="s">
        <v>794</v>
      </c>
      <c r="Q1631" t="s">
        <v>4729</v>
      </c>
      <c r="R1631" t="s">
        <v>4726</v>
      </c>
      <c r="S1631" t="s">
        <v>4717</v>
      </c>
      <c r="T1631">
        <f t="shared" si="161"/>
        <v>2</v>
      </c>
      <c r="U1631" s="21">
        <f t="shared" si="160"/>
        <v>43959</v>
      </c>
    </row>
    <row r="1632" spans="1:21" x14ac:dyDescent="0.35">
      <c r="A1632" t="s">
        <v>1267</v>
      </c>
      <c r="B1632" t="s">
        <v>1268</v>
      </c>
      <c r="C1632" t="s">
        <v>19</v>
      </c>
      <c r="D1632" t="s">
        <v>21</v>
      </c>
      <c r="E1632" s="1">
        <v>43.312000000000005</v>
      </c>
      <c r="F1632" t="s">
        <v>22</v>
      </c>
      <c r="G1632">
        <v>0</v>
      </c>
      <c r="H1632" s="1">
        <v>0</v>
      </c>
      <c r="I1632" s="21">
        <v>43956</v>
      </c>
      <c r="J1632" s="21">
        <v>43957</v>
      </c>
      <c r="K1632" s="21">
        <v>43957</v>
      </c>
      <c r="L1632" t="s">
        <v>24</v>
      </c>
      <c r="M1632" t="s">
        <v>82</v>
      </c>
      <c r="N1632" t="s">
        <v>47</v>
      </c>
      <c r="O1632">
        <v>1</v>
      </c>
      <c r="P1632" t="s">
        <v>1269</v>
      </c>
      <c r="Q1632" t="s">
        <v>4531</v>
      </c>
      <c r="R1632" t="s">
        <v>4726</v>
      </c>
      <c r="S1632" t="s">
        <v>4717</v>
      </c>
      <c r="T1632">
        <f t="shared" si="161"/>
        <v>1</v>
      </c>
      <c r="U1632" s="21">
        <f t="shared" si="160"/>
        <v>43957</v>
      </c>
    </row>
    <row r="1633" spans="1:21" x14ac:dyDescent="0.35">
      <c r="A1633" t="s">
        <v>1270</v>
      </c>
      <c r="B1633" t="s">
        <v>1271</v>
      </c>
      <c r="C1633" t="s">
        <v>30</v>
      </c>
      <c r="D1633" t="s">
        <v>21</v>
      </c>
      <c r="E1633" s="1">
        <v>69.86</v>
      </c>
      <c r="F1633" t="s">
        <v>22</v>
      </c>
      <c r="G1633">
        <v>0</v>
      </c>
      <c r="H1633" s="1">
        <v>0</v>
      </c>
      <c r="I1633" s="21">
        <v>43956</v>
      </c>
      <c r="J1633" s="21">
        <v>43959</v>
      </c>
      <c r="K1633" s="21">
        <v>43959</v>
      </c>
      <c r="L1633" t="s">
        <v>45</v>
      </c>
      <c r="M1633" t="s">
        <v>46</v>
      </c>
      <c r="N1633" t="s">
        <v>47</v>
      </c>
      <c r="O1633">
        <v>1</v>
      </c>
      <c r="P1633" t="s">
        <v>1272</v>
      </c>
      <c r="Q1633" t="s">
        <v>4533</v>
      </c>
      <c r="R1633" t="s">
        <v>4724</v>
      </c>
      <c r="S1633" t="s">
        <v>4718</v>
      </c>
      <c r="T1633">
        <f t="shared" si="161"/>
        <v>3</v>
      </c>
      <c r="U1633" s="21">
        <f t="shared" si="160"/>
        <v>43959</v>
      </c>
    </row>
    <row r="1634" spans="1:21" x14ac:dyDescent="0.35">
      <c r="A1634" t="s">
        <v>2448</v>
      </c>
      <c r="B1634" t="s">
        <v>2449</v>
      </c>
      <c r="C1634" t="s">
        <v>19</v>
      </c>
      <c r="D1634" t="s">
        <v>21</v>
      </c>
      <c r="E1634" s="1">
        <v>21.56</v>
      </c>
      <c r="F1634" t="s">
        <v>22</v>
      </c>
      <c r="G1634">
        <v>0</v>
      </c>
      <c r="H1634" s="1">
        <v>0</v>
      </c>
      <c r="I1634" s="21">
        <v>43955</v>
      </c>
      <c r="J1634" s="21">
        <v>43957</v>
      </c>
      <c r="K1634" s="21">
        <v>43957</v>
      </c>
      <c r="L1634" t="s">
        <v>39</v>
      </c>
      <c r="M1634" t="s">
        <v>54</v>
      </c>
      <c r="N1634" t="s">
        <v>26</v>
      </c>
      <c r="O1634">
        <v>1</v>
      </c>
      <c r="P1634" t="s">
        <v>2450</v>
      </c>
      <c r="Q1634" t="s">
        <v>4517</v>
      </c>
      <c r="R1634" t="s">
        <v>4726</v>
      </c>
      <c r="S1634" t="s">
        <v>4717</v>
      </c>
      <c r="T1634">
        <f t="shared" si="161"/>
        <v>2</v>
      </c>
      <c r="U1634" s="21">
        <f t="shared" si="160"/>
        <v>43957</v>
      </c>
    </row>
    <row r="1635" spans="1:21" x14ac:dyDescent="0.35">
      <c r="A1635" t="s">
        <v>42</v>
      </c>
      <c r="B1635" t="s">
        <v>43</v>
      </c>
      <c r="C1635" t="s">
        <v>19</v>
      </c>
      <c r="D1635" t="s">
        <v>21</v>
      </c>
      <c r="E1635" s="1">
        <v>1000.95</v>
      </c>
      <c r="F1635" t="s">
        <v>22</v>
      </c>
      <c r="G1635">
        <v>0</v>
      </c>
      <c r="H1635" s="1">
        <v>0</v>
      </c>
      <c r="I1635" s="21">
        <v>43952</v>
      </c>
      <c r="J1635" s="21">
        <v>43954</v>
      </c>
      <c r="K1635" s="21">
        <v>43954</v>
      </c>
      <c r="L1635" t="s">
        <v>45</v>
      </c>
      <c r="M1635" t="s">
        <v>46</v>
      </c>
      <c r="N1635" t="s">
        <v>47</v>
      </c>
      <c r="O1635">
        <v>1</v>
      </c>
      <c r="P1635" t="s">
        <v>48</v>
      </c>
      <c r="Q1635" t="s">
        <v>4516</v>
      </c>
      <c r="R1635" t="s">
        <v>4726</v>
      </c>
      <c r="S1635" t="s">
        <v>4717</v>
      </c>
      <c r="T1635">
        <f t="shared" si="161"/>
        <v>2</v>
      </c>
      <c r="U1635" s="21">
        <f t="shared" si="160"/>
        <v>43954</v>
      </c>
    </row>
    <row r="1636" spans="1:21" x14ac:dyDescent="0.35">
      <c r="A1636" t="s">
        <v>3601</v>
      </c>
      <c r="B1636" t="s">
        <v>3602</v>
      </c>
      <c r="C1636" t="s">
        <v>30</v>
      </c>
      <c r="D1636" t="s">
        <v>21</v>
      </c>
      <c r="E1636" s="1">
        <v>1679.96</v>
      </c>
      <c r="F1636" t="s">
        <v>22</v>
      </c>
      <c r="G1636">
        <v>0</v>
      </c>
      <c r="H1636" s="1">
        <v>0</v>
      </c>
      <c r="I1636" s="21">
        <v>43950</v>
      </c>
      <c r="J1636" s="21">
        <v>43952</v>
      </c>
      <c r="K1636" s="21">
        <v>43952</v>
      </c>
      <c r="L1636" t="s">
        <v>45</v>
      </c>
      <c r="M1636" t="s">
        <v>67</v>
      </c>
      <c r="N1636" t="s">
        <v>68</v>
      </c>
      <c r="O1636">
        <v>1</v>
      </c>
      <c r="P1636" t="s">
        <v>3603</v>
      </c>
      <c r="Q1636" t="s">
        <v>4565</v>
      </c>
      <c r="R1636" t="s">
        <v>4711</v>
      </c>
      <c r="S1636" t="s">
        <v>4719</v>
      </c>
      <c r="T1636">
        <f t="shared" si="161"/>
        <v>2</v>
      </c>
      <c r="U1636" s="21">
        <f t="shared" si="160"/>
        <v>43952</v>
      </c>
    </row>
    <row r="1637" spans="1:21" x14ac:dyDescent="0.35">
      <c r="A1637" t="s">
        <v>36</v>
      </c>
      <c r="B1637" t="s">
        <v>37</v>
      </c>
      <c r="C1637" t="s">
        <v>19</v>
      </c>
      <c r="D1637" t="s">
        <v>21</v>
      </c>
      <c r="E1637" s="1">
        <v>2.5019999999999998</v>
      </c>
      <c r="F1637" t="s">
        <v>22</v>
      </c>
      <c r="G1637">
        <v>0</v>
      </c>
      <c r="H1637" s="1">
        <v>0</v>
      </c>
      <c r="I1637" s="21">
        <v>43945</v>
      </c>
      <c r="J1637" s="21">
        <v>43946</v>
      </c>
      <c r="K1637" s="21">
        <v>43946</v>
      </c>
      <c r="L1637" t="s">
        <v>39</v>
      </c>
      <c r="M1637" t="s">
        <v>40</v>
      </c>
      <c r="N1637" t="s">
        <v>34</v>
      </c>
      <c r="O1637">
        <v>1</v>
      </c>
      <c r="P1637" t="s">
        <v>41</v>
      </c>
      <c r="Q1637" t="s">
        <v>4515</v>
      </c>
      <c r="R1637" t="s">
        <v>4726</v>
      </c>
      <c r="S1637" t="s">
        <v>4717</v>
      </c>
      <c r="T1637">
        <f t="shared" si="161"/>
        <v>1</v>
      </c>
      <c r="U1637" s="21">
        <f t="shared" si="160"/>
        <v>43946</v>
      </c>
    </row>
    <row r="1638" spans="1:21" x14ac:dyDescent="0.35">
      <c r="A1638" t="s">
        <v>3599</v>
      </c>
      <c r="B1638" t="s">
        <v>3600</v>
      </c>
      <c r="C1638" t="s">
        <v>30</v>
      </c>
      <c r="D1638" t="s">
        <v>21</v>
      </c>
      <c r="E1638" s="1">
        <v>8.9600000000000009</v>
      </c>
      <c r="F1638" t="s">
        <v>22</v>
      </c>
      <c r="G1638">
        <v>0</v>
      </c>
      <c r="H1638" s="1">
        <v>0</v>
      </c>
      <c r="I1638" s="21">
        <v>43929</v>
      </c>
      <c r="J1638" s="21">
        <v>43932</v>
      </c>
      <c r="K1638" s="21">
        <v>43932</v>
      </c>
      <c r="L1638" t="s">
        <v>39</v>
      </c>
      <c r="M1638" t="s">
        <v>33</v>
      </c>
      <c r="N1638" t="s">
        <v>34</v>
      </c>
      <c r="O1638">
        <v>1</v>
      </c>
      <c r="P1638" t="s">
        <v>3047</v>
      </c>
      <c r="Q1638" t="s">
        <v>4729</v>
      </c>
      <c r="R1638" t="s">
        <v>4721</v>
      </c>
      <c r="S1638" t="s">
        <v>4718</v>
      </c>
      <c r="T1638">
        <f t="shared" si="161"/>
        <v>3</v>
      </c>
      <c r="U1638" s="21">
        <f t="shared" si="160"/>
        <v>43932</v>
      </c>
    </row>
    <row r="1639" spans="1:21" x14ac:dyDescent="0.35">
      <c r="A1639" t="s">
        <v>3596</v>
      </c>
      <c r="B1639" t="s">
        <v>3597</v>
      </c>
      <c r="C1639" t="s">
        <v>19</v>
      </c>
      <c r="D1639" t="s">
        <v>21</v>
      </c>
      <c r="E1639" s="1">
        <v>281.85200000000003</v>
      </c>
      <c r="F1639" t="s">
        <v>22</v>
      </c>
      <c r="G1639">
        <v>0</v>
      </c>
      <c r="H1639" s="1">
        <v>0</v>
      </c>
      <c r="I1639" s="21">
        <v>43928</v>
      </c>
      <c r="J1639" s="21">
        <v>43930</v>
      </c>
      <c r="K1639" s="21">
        <v>43930</v>
      </c>
      <c r="L1639" t="s">
        <v>45</v>
      </c>
      <c r="M1639" t="s">
        <v>146</v>
      </c>
      <c r="N1639" t="s">
        <v>73</v>
      </c>
      <c r="O1639">
        <v>1</v>
      </c>
      <c r="P1639" t="s">
        <v>3598</v>
      </c>
      <c r="Q1639" t="s">
        <v>4693</v>
      </c>
      <c r="R1639" t="s">
        <v>4726</v>
      </c>
      <c r="S1639" t="s">
        <v>4717</v>
      </c>
      <c r="T1639">
        <f t="shared" si="161"/>
        <v>2</v>
      </c>
      <c r="U1639" s="21">
        <f t="shared" si="160"/>
        <v>43930</v>
      </c>
    </row>
    <row r="1640" spans="1:21" x14ac:dyDescent="0.35">
      <c r="A1640" t="s">
        <v>1264</v>
      </c>
      <c r="B1640" t="s">
        <v>1265</v>
      </c>
      <c r="C1640" t="s">
        <v>19</v>
      </c>
      <c r="D1640" t="s">
        <v>21</v>
      </c>
      <c r="E1640" s="1">
        <v>55.48</v>
      </c>
      <c r="F1640" t="s">
        <v>22</v>
      </c>
      <c r="G1640">
        <v>0</v>
      </c>
      <c r="H1640" s="1">
        <v>0</v>
      </c>
      <c r="I1640" s="21">
        <v>43927</v>
      </c>
      <c r="J1640" s="21">
        <v>43929</v>
      </c>
      <c r="K1640" s="21">
        <v>43929</v>
      </c>
      <c r="L1640" t="s">
        <v>32</v>
      </c>
      <c r="M1640" t="s">
        <v>72</v>
      </c>
      <c r="N1640" t="s">
        <v>73</v>
      </c>
      <c r="O1640">
        <v>1</v>
      </c>
      <c r="P1640" t="s">
        <v>1266</v>
      </c>
      <c r="Q1640" t="s">
        <v>4623</v>
      </c>
      <c r="R1640" t="s">
        <v>4726</v>
      </c>
      <c r="S1640" t="s">
        <v>4717</v>
      </c>
      <c r="T1640">
        <f t="shared" si="161"/>
        <v>2</v>
      </c>
      <c r="U1640" s="21">
        <f t="shared" si="160"/>
        <v>43929</v>
      </c>
    </row>
    <row r="1641" spans="1:21" x14ac:dyDescent="0.35">
      <c r="A1641" t="s">
        <v>1261</v>
      </c>
      <c r="B1641" t="s">
        <v>1262</v>
      </c>
      <c r="C1641" t="s">
        <v>19</v>
      </c>
      <c r="D1641" t="s">
        <v>21</v>
      </c>
      <c r="E1641" s="1">
        <v>101.72799999999999</v>
      </c>
      <c r="F1641" t="s">
        <v>22</v>
      </c>
      <c r="G1641">
        <v>0</v>
      </c>
      <c r="H1641" s="1">
        <v>0</v>
      </c>
      <c r="I1641" s="21">
        <v>43927</v>
      </c>
      <c r="J1641" s="21">
        <v>43929</v>
      </c>
      <c r="K1641" s="21">
        <v>43929</v>
      </c>
      <c r="L1641" t="s">
        <v>45</v>
      </c>
      <c r="M1641" t="s">
        <v>25</v>
      </c>
      <c r="N1641" t="s">
        <v>26</v>
      </c>
      <c r="O1641">
        <v>1</v>
      </c>
      <c r="P1641" t="s">
        <v>1263</v>
      </c>
      <c r="Q1641" t="s">
        <v>4729</v>
      </c>
      <c r="R1641" t="s">
        <v>4709</v>
      </c>
      <c r="S1641" t="s">
        <v>4717</v>
      </c>
      <c r="T1641">
        <f t="shared" si="161"/>
        <v>2</v>
      </c>
      <c r="U1641" s="21">
        <f t="shared" si="160"/>
        <v>43929</v>
      </c>
    </row>
    <row r="1642" spans="1:21" x14ac:dyDescent="0.35">
      <c r="A1642" t="s">
        <v>2446</v>
      </c>
      <c r="B1642" t="s">
        <v>2447</v>
      </c>
      <c r="C1642" t="s">
        <v>30</v>
      </c>
      <c r="D1642" t="s">
        <v>21</v>
      </c>
      <c r="E1642" s="1">
        <v>7.1840000000000002</v>
      </c>
      <c r="F1642" t="s">
        <v>22</v>
      </c>
      <c r="G1642">
        <v>0</v>
      </c>
      <c r="H1642" s="1">
        <v>0</v>
      </c>
      <c r="I1642" s="21">
        <v>43926</v>
      </c>
      <c r="J1642" s="21">
        <v>43927</v>
      </c>
      <c r="K1642" s="21">
        <v>43927</v>
      </c>
      <c r="L1642" t="s">
        <v>24</v>
      </c>
      <c r="M1642" t="s">
        <v>46</v>
      </c>
      <c r="N1642" t="s">
        <v>47</v>
      </c>
      <c r="O1642">
        <v>1</v>
      </c>
      <c r="P1642" t="s">
        <v>55</v>
      </c>
      <c r="Q1642" t="s">
        <v>4517</v>
      </c>
      <c r="R1642" t="s">
        <v>4726</v>
      </c>
      <c r="S1642" t="s">
        <v>4717</v>
      </c>
      <c r="T1642">
        <f t="shared" si="161"/>
        <v>1</v>
      </c>
      <c r="U1642" s="21">
        <f t="shared" si="160"/>
        <v>43927</v>
      </c>
    </row>
    <row r="1643" spans="1:21" x14ac:dyDescent="0.35">
      <c r="A1643" t="s">
        <v>3594</v>
      </c>
      <c r="B1643" t="s">
        <v>3595</v>
      </c>
      <c r="C1643" t="s">
        <v>30</v>
      </c>
      <c r="D1643" t="s">
        <v>21</v>
      </c>
      <c r="E1643" s="1">
        <v>714.96600000000001</v>
      </c>
      <c r="F1643" t="s">
        <v>22</v>
      </c>
      <c r="G1643">
        <v>0</v>
      </c>
      <c r="H1643" s="1">
        <v>0</v>
      </c>
      <c r="I1643" s="21">
        <v>43921</v>
      </c>
      <c r="J1643" s="21">
        <v>43923</v>
      </c>
      <c r="K1643" s="21">
        <v>43923</v>
      </c>
      <c r="L1643" t="s">
        <v>39</v>
      </c>
      <c r="M1643" t="s">
        <v>46</v>
      </c>
      <c r="N1643" t="s">
        <v>47</v>
      </c>
      <c r="O1643">
        <v>1</v>
      </c>
      <c r="P1643" t="s">
        <v>3201</v>
      </c>
      <c r="Q1643" t="s">
        <v>4729</v>
      </c>
      <c r="R1643" t="s">
        <v>4512</v>
      </c>
      <c r="S1643" t="s">
        <v>4717</v>
      </c>
      <c r="T1643">
        <f t="shared" si="161"/>
        <v>2</v>
      </c>
      <c r="U1643" s="21">
        <f t="shared" si="160"/>
        <v>43923</v>
      </c>
    </row>
    <row r="1644" spans="1:21" x14ac:dyDescent="0.35">
      <c r="A1644" t="s">
        <v>2443</v>
      </c>
      <c r="B1644" t="s">
        <v>2444</v>
      </c>
      <c r="C1644" t="s">
        <v>30</v>
      </c>
      <c r="D1644" t="s">
        <v>21</v>
      </c>
      <c r="E1644" s="1">
        <v>10.5</v>
      </c>
      <c r="F1644" t="s">
        <v>22</v>
      </c>
      <c r="G1644">
        <v>0</v>
      </c>
      <c r="H1644" s="1">
        <v>0</v>
      </c>
      <c r="I1644" s="21">
        <v>43921</v>
      </c>
      <c r="J1644" s="21">
        <v>43922</v>
      </c>
      <c r="K1644" s="21">
        <v>43922</v>
      </c>
      <c r="L1644" t="s">
        <v>45</v>
      </c>
      <c r="M1644" t="s">
        <v>67</v>
      </c>
      <c r="N1644" t="s">
        <v>68</v>
      </c>
      <c r="O1644">
        <v>1</v>
      </c>
      <c r="P1644" t="s">
        <v>2445</v>
      </c>
      <c r="Q1644" t="s">
        <v>4626</v>
      </c>
      <c r="R1644" t="s">
        <v>4726</v>
      </c>
      <c r="S1644" t="s">
        <v>4717</v>
      </c>
      <c r="T1644">
        <f t="shared" si="161"/>
        <v>1</v>
      </c>
      <c r="U1644" s="21">
        <f t="shared" ref="U1644:U1660" si="162">J1644</f>
        <v>43922</v>
      </c>
    </row>
    <row r="1645" spans="1:21" x14ac:dyDescent="0.35">
      <c r="A1645" t="s">
        <v>3592</v>
      </c>
      <c r="B1645" t="s">
        <v>3593</v>
      </c>
      <c r="C1645" t="s">
        <v>19</v>
      </c>
      <c r="D1645" t="s">
        <v>21</v>
      </c>
      <c r="E1645" s="1">
        <v>9.9120000000000008</v>
      </c>
      <c r="F1645" t="s">
        <v>22</v>
      </c>
      <c r="G1645">
        <v>0</v>
      </c>
      <c r="H1645" s="1">
        <v>0</v>
      </c>
      <c r="I1645" s="21">
        <v>43914</v>
      </c>
      <c r="J1645" s="21">
        <v>43917</v>
      </c>
      <c r="K1645" s="21">
        <v>43917</v>
      </c>
      <c r="L1645" t="s">
        <v>53</v>
      </c>
      <c r="M1645" t="s">
        <v>82</v>
      </c>
      <c r="N1645" t="s">
        <v>47</v>
      </c>
      <c r="O1645">
        <v>1</v>
      </c>
      <c r="P1645" t="s">
        <v>1823</v>
      </c>
      <c r="Q1645" t="s">
        <v>4517</v>
      </c>
      <c r="R1645" t="s">
        <v>4726</v>
      </c>
      <c r="S1645" t="s">
        <v>4717</v>
      </c>
      <c r="T1645">
        <f t="shared" si="161"/>
        <v>3</v>
      </c>
      <c r="U1645" s="21">
        <f t="shared" si="162"/>
        <v>43917</v>
      </c>
    </row>
    <row r="1646" spans="1:21" x14ac:dyDescent="0.35">
      <c r="A1646" t="s">
        <v>2440</v>
      </c>
      <c r="B1646" t="s">
        <v>2441</v>
      </c>
      <c r="C1646" t="s">
        <v>19</v>
      </c>
      <c r="D1646" t="s">
        <v>21</v>
      </c>
      <c r="E1646" s="1">
        <v>590.76200000000006</v>
      </c>
      <c r="F1646" t="s">
        <v>22</v>
      </c>
      <c r="G1646">
        <v>0</v>
      </c>
      <c r="H1646" s="1">
        <v>0</v>
      </c>
      <c r="I1646" s="21">
        <v>43910</v>
      </c>
      <c r="J1646" s="21">
        <v>43912</v>
      </c>
      <c r="K1646" s="21">
        <v>43912</v>
      </c>
      <c r="L1646" t="s">
        <v>63</v>
      </c>
      <c r="M1646" t="s">
        <v>46</v>
      </c>
      <c r="N1646" t="s">
        <v>47</v>
      </c>
      <c r="O1646">
        <v>1</v>
      </c>
      <c r="P1646" t="s">
        <v>2442</v>
      </c>
      <c r="Q1646" t="s">
        <v>4551</v>
      </c>
      <c r="R1646" t="s">
        <v>4711</v>
      </c>
      <c r="S1646" t="s">
        <v>4719</v>
      </c>
      <c r="T1646">
        <f t="shared" si="161"/>
        <v>2</v>
      </c>
      <c r="U1646" s="21">
        <f t="shared" si="162"/>
        <v>43912</v>
      </c>
    </row>
    <row r="1647" spans="1:21" x14ac:dyDescent="0.35">
      <c r="A1647" t="s">
        <v>28</v>
      </c>
      <c r="B1647" t="s">
        <v>29</v>
      </c>
      <c r="C1647" t="s">
        <v>30</v>
      </c>
      <c r="D1647" t="s">
        <v>21</v>
      </c>
      <c r="E1647" s="1">
        <v>583.35799999999995</v>
      </c>
      <c r="F1647" t="s">
        <v>22</v>
      </c>
      <c r="G1647">
        <v>0</v>
      </c>
      <c r="H1647" s="1">
        <v>0</v>
      </c>
      <c r="I1647" s="21">
        <v>43905</v>
      </c>
      <c r="J1647" s="21">
        <v>43908</v>
      </c>
      <c r="K1647" s="21">
        <v>43908</v>
      </c>
      <c r="L1647" t="s">
        <v>32</v>
      </c>
      <c r="M1647" t="s">
        <v>33</v>
      </c>
      <c r="N1647" t="s">
        <v>34</v>
      </c>
      <c r="O1647">
        <v>1</v>
      </c>
      <c r="P1647" t="s">
        <v>35</v>
      </c>
      <c r="Q1647" t="s">
        <v>4514</v>
      </c>
      <c r="R1647" t="s">
        <v>4724</v>
      </c>
      <c r="S1647" t="s">
        <v>4718</v>
      </c>
      <c r="T1647">
        <f t="shared" si="161"/>
        <v>3</v>
      </c>
      <c r="U1647" s="21">
        <f t="shared" si="162"/>
        <v>43908</v>
      </c>
    </row>
    <row r="1648" spans="1:21" x14ac:dyDescent="0.35">
      <c r="A1648" t="s">
        <v>3589</v>
      </c>
      <c r="B1648" t="s">
        <v>3590</v>
      </c>
      <c r="C1648" t="s">
        <v>19</v>
      </c>
      <c r="D1648" t="s">
        <v>21</v>
      </c>
      <c r="E1648" s="1">
        <v>309.59199999999998</v>
      </c>
      <c r="F1648" t="s">
        <v>22</v>
      </c>
      <c r="G1648">
        <v>0</v>
      </c>
      <c r="H1648" s="1">
        <v>0</v>
      </c>
      <c r="I1648" s="21">
        <v>43898</v>
      </c>
      <c r="J1648" s="21">
        <v>43899</v>
      </c>
      <c r="K1648" s="21">
        <v>43899</v>
      </c>
      <c r="L1648" t="s">
        <v>63</v>
      </c>
      <c r="M1648" t="s">
        <v>40</v>
      </c>
      <c r="N1648" t="s">
        <v>34</v>
      </c>
      <c r="O1648">
        <v>1</v>
      </c>
      <c r="P1648" t="s">
        <v>3591</v>
      </c>
      <c r="Q1648" t="s">
        <v>4567</v>
      </c>
      <c r="R1648" t="s">
        <v>4714</v>
      </c>
      <c r="S1648" t="s">
        <v>4718</v>
      </c>
      <c r="T1648">
        <f t="shared" si="161"/>
        <v>1</v>
      </c>
      <c r="U1648" s="21">
        <f t="shared" si="162"/>
        <v>43899</v>
      </c>
    </row>
    <row r="1649" spans="1:21" x14ac:dyDescent="0.35">
      <c r="A1649" t="s">
        <v>1258</v>
      </c>
      <c r="B1649" t="s">
        <v>1259</v>
      </c>
      <c r="C1649" t="s">
        <v>30</v>
      </c>
      <c r="D1649" t="s">
        <v>21</v>
      </c>
      <c r="E1649" s="1">
        <v>19.456</v>
      </c>
      <c r="F1649" t="s">
        <v>22</v>
      </c>
      <c r="G1649">
        <v>0</v>
      </c>
      <c r="H1649" s="1">
        <v>0</v>
      </c>
      <c r="I1649" s="21">
        <v>43889</v>
      </c>
      <c r="J1649" s="21">
        <v>43894</v>
      </c>
      <c r="K1649" s="21">
        <v>43894</v>
      </c>
      <c r="L1649" t="s">
        <v>24</v>
      </c>
      <c r="M1649" t="s">
        <v>54</v>
      </c>
      <c r="N1649" t="s">
        <v>26</v>
      </c>
      <c r="O1649">
        <v>1</v>
      </c>
      <c r="P1649" t="s">
        <v>1260</v>
      </c>
      <c r="Q1649" t="s">
        <v>4729</v>
      </c>
      <c r="R1649" t="s">
        <v>4726</v>
      </c>
      <c r="S1649" t="s">
        <v>4717</v>
      </c>
      <c r="T1649">
        <f t="shared" si="161"/>
        <v>5</v>
      </c>
      <c r="U1649" s="21">
        <f t="shared" si="162"/>
        <v>43894</v>
      </c>
    </row>
    <row r="1650" spans="1:21" x14ac:dyDescent="0.35">
      <c r="A1650" t="s">
        <v>3587</v>
      </c>
      <c r="B1650" t="s">
        <v>3588</v>
      </c>
      <c r="C1650" t="s">
        <v>19</v>
      </c>
      <c r="D1650" t="s">
        <v>21</v>
      </c>
      <c r="E1650" s="1">
        <v>19.440000000000001</v>
      </c>
      <c r="F1650" t="s">
        <v>22</v>
      </c>
      <c r="G1650">
        <v>0</v>
      </c>
      <c r="H1650" s="1">
        <v>0</v>
      </c>
      <c r="I1650" s="21">
        <v>43884</v>
      </c>
      <c r="J1650" s="21">
        <v>43886</v>
      </c>
      <c r="K1650" s="21">
        <v>43886</v>
      </c>
      <c r="L1650" t="s">
        <v>53</v>
      </c>
      <c r="M1650" t="s">
        <v>82</v>
      </c>
      <c r="N1650" t="s">
        <v>47</v>
      </c>
      <c r="O1650">
        <v>1</v>
      </c>
      <c r="P1650" t="s">
        <v>1125</v>
      </c>
      <c r="Q1650" t="s">
        <v>4519</v>
      </c>
      <c r="R1650" t="s">
        <v>4726</v>
      </c>
      <c r="S1650" t="s">
        <v>4717</v>
      </c>
      <c r="T1650">
        <f t="shared" si="161"/>
        <v>2</v>
      </c>
      <c r="U1650" s="21">
        <f t="shared" si="162"/>
        <v>43886</v>
      </c>
    </row>
    <row r="1651" spans="1:21" x14ac:dyDescent="0.35">
      <c r="A1651" t="s">
        <v>1255</v>
      </c>
      <c r="B1651" t="s">
        <v>1256</v>
      </c>
      <c r="C1651" t="s">
        <v>30</v>
      </c>
      <c r="D1651" t="s">
        <v>21</v>
      </c>
      <c r="E1651" s="1">
        <v>14.56</v>
      </c>
      <c r="F1651" t="s">
        <v>22</v>
      </c>
      <c r="G1651">
        <v>0</v>
      </c>
      <c r="H1651" s="1">
        <v>0</v>
      </c>
      <c r="I1651" s="21">
        <v>43870</v>
      </c>
      <c r="J1651" s="21">
        <v>43871</v>
      </c>
      <c r="K1651" s="21">
        <v>43871</v>
      </c>
      <c r="L1651" t="s">
        <v>32</v>
      </c>
      <c r="M1651" t="s">
        <v>67</v>
      </c>
      <c r="N1651" t="s">
        <v>68</v>
      </c>
      <c r="O1651">
        <v>1</v>
      </c>
      <c r="P1651" t="s">
        <v>1257</v>
      </c>
      <c r="Q1651" t="s">
        <v>4729</v>
      </c>
      <c r="R1651" t="s">
        <v>4721</v>
      </c>
      <c r="S1651" t="s">
        <v>4718</v>
      </c>
      <c r="T1651">
        <f t="shared" si="161"/>
        <v>1</v>
      </c>
      <c r="U1651" s="21">
        <f t="shared" si="162"/>
        <v>43871</v>
      </c>
    </row>
    <row r="1652" spans="1:21" x14ac:dyDescent="0.35">
      <c r="A1652" t="s">
        <v>2437</v>
      </c>
      <c r="B1652" t="s">
        <v>2438</v>
      </c>
      <c r="C1652" t="s">
        <v>30</v>
      </c>
      <c r="D1652" t="s">
        <v>21</v>
      </c>
      <c r="E1652" s="1">
        <v>321.56</v>
      </c>
      <c r="F1652" t="s">
        <v>22</v>
      </c>
      <c r="G1652">
        <v>0</v>
      </c>
      <c r="H1652" s="1">
        <v>0</v>
      </c>
      <c r="I1652" s="21">
        <v>43868</v>
      </c>
      <c r="J1652" s="21">
        <v>43871</v>
      </c>
      <c r="K1652" s="21">
        <v>43871</v>
      </c>
      <c r="L1652" t="s">
        <v>63</v>
      </c>
      <c r="M1652" t="s">
        <v>40</v>
      </c>
      <c r="N1652" t="s">
        <v>34</v>
      </c>
      <c r="O1652">
        <v>1</v>
      </c>
      <c r="P1652" t="s">
        <v>2439</v>
      </c>
      <c r="Q1652" t="s">
        <v>4517</v>
      </c>
      <c r="R1652" t="s">
        <v>4726</v>
      </c>
      <c r="S1652" t="s">
        <v>4717</v>
      </c>
      <c r="T1652">
        <f t="shared" si="161"/>
        <v>3</v>
      </c>
      <c r="U1652" s="21">
        <f t="shared" si="162"/>
        <v>43871</v>
      </c>
    </row>
    <row r="1653" spans="1:21" x14ac:dyDescent="0.35">
      <c r="A1653" t="s">
        <v>1252</v>
      </c>
      <c r="B1653" t="s">
        <v>1253</v>
      </c>
      <c r="C1653" t="s">
        <v>30</v>
      </c>
      <c r="D1653" t="s">
        <v>21</v>
      </c>
      <c r="E1653" s="1">
        <v>468.9</v>
      </c>
      <c r="F1653" t="s">
        <v>22</v>
      </c>
      <c r="G1653">
        <v>0</v>
      </c>
      <c r="H1653" s="1">
        <v>0</v>
      </c>
      <c r="I1653" s="21">
        <v>43863</v>
      </c>
      <c r="J1653" s="21">
        <v>43865</v>
      </c>
      <c r="K1653" s="21">
        <v>43865</v>
      </c>
      <c r="L1653" t="s">
        <v>63</v>
      </c>
      <c r="M1653" t="s">
        <v>33</v>
      </c>
      <c r="N1653" t="s">
        <v>34</v>
      </c>
      <c r="O1653">
        <v>1</v>
      </c>
      <c r="P1653" t="s">
        <v>1254</v>
      </c>
      <c r="Q1653" t="s">
        <v>4622</v>
      </c>
      <c r="R1653" t="s">
        <v>4713</v>
      </c>
      <c r="S1653" t="s">
        <v>4719</v>
      </c>
      <c r="T1653">
        <f t="shared" si="161"/>
        <v>2</v>
      </c>
      <c r="U1653" s="21">
        <f t="shared" si="162"/>
        <v>43865</v>
      </c>
    </row>
    <row r="1654" spans="1:21" x14ac:dyDescent="0.35">
      <c r="A1654" t="s">
        <v>3584</v>
      </c>
      <c r="B1654" t="s">
        <v>3585</v>
      </c>
      <c r="C1654" t="s">
        <v>30</v>
      </c>
      <c r="D1654" t="s">
        <v>21</v>
      </c>
      <c r="E1654" s="1">
        <v>290.666</v>
      </c>
      <c r="F1654" t="s">
        <v>22</v>
      </c>
      <c r="G1654">
        <v>0</v>
      </c>
      <c r="H1654" s="1">
        <v>0</v>
      </c>
      <c r="I1654" s="21">
        <v>43862</v>
      </c>
      <c r="J1654" s="21">
        <v>43864</v>
      </c>
      <c r="K1654" s="21">
        <v>43864</v>
      </c>
      <c r="L1654" t="s">
        <v>32</v>
      </c>
      <c r="M1654" t="s">
        <v>72</v>
      </c>
      <c r="N1654" t="s">
        <v>73</v>
      </c>
      <c r="O1654">
        <v>1</v>
      </c>
      <c r="P1654" t="s">
        <v>3586</v>
      </c>
      <c r="Q1654" t="s">
        <v>4658</v>
      </c>
      <c r="R1654" t="s">
        <v>4723</v>
      </c>
      <c r="S1654" t="s">
        <v>4718</v>
      </c>
      <c r="T1654">
        <f t="shared" si="161"/>
        <v>2</v>
      </c>
      <c r="U1654" s="21">
        <f t="shared" si="162"/>
        <v>43864</v>
      </c>
    </row>
    <row r="1655" spans="1:21" x14ac:dyDescent="0.35">
      <c r="A1655" t="s">
        <v>1249</v>
      </c>
      <c r="B1655" t="s">
        <v>1250</v>
      </c>
      <c r="C1655" t="s">
        <v>19</v>
      </c>
      <c r="D1655" t="s">
        <v>21</v>
      </c>
      <c r="E1655" s="1">
        <v>152.64000000000001</v>
      </c>
      <c r="F1655" t="s">
        <v>22</v>
      </c>
      <c r="G1655">
        <v>0</v>
      </c>
      <c r="H1655" s="1">
        <v>0</v>
      </c>
      <c r="I1655" s="21">
        <v>43857</v>
      </c>
      <c r="J1655" s="21">
        <v>43860</v>
      </c>
      <c r="K1655" s="21">
        <v>43860</v>
      </c>
      <c r="L1655" t="s">
        <v>24</v>
      </c>
      <c r="M1655" t="s">
        <v>33</v>
      </c>
      <c r="N1655" t="s">
        <v>34</v>
      </c>
      <c r="O1655">
        <v>1</v>
      </c>
      <c r="P1655" t="s">
        <v>1251</v>
      </c>
      <c r="Q1655" t="s">
        <v>4515</v>
      </c>
      <c r="R1655" t="s">
        <v>4726</v>
      </c>
      <c r="S1655" t="s">
        <v>4717</v>
      </c>
      <c r="T1655">
        <f t="shared" si="161"/>
        <v>3</v>
      </c>
      <c r="U1655" s="21">
        <f t="shared" si="162"/>
        <v>43860</v>
      </c>
    </row>
    <row r="1656" spans="1:21" x14ac:dyDescent="0.35">
      <c r="A1656" t="s">
        <v>2435</v>
      </c>
      <c r="B1656" t="s">
        <v>2436</v>
      </c>
      <c r="C1656" t="s">
        <v>19</v>
      </c>
      <c r="D1656" t="s">
        <v>21</v>
      </c>
      <c r="E1656" s="1">
        <v>378.59399999999999</v>
      </c>
      <c r="F1656" t="s">
        <v>22</v>
      </c>
      <c r="G1656">
        <v>0</v>
      </c>
      <c r="H1656" s="1">
        <v>0</v>
      </c>
      <c r="I1656" s="21">
        <v>43850</v>
      </c>
      <c r="J1656" s="21">
        <v>43851</v>
      </c>
      <c r="K1656" s="21">
        <v>43851</v>
      </c>
      <c r="L1656" t="s">
        <v>32</v>
      </c>
      <c r="M1656" t="s">
        <v>25</v>
      </c>
      <c r="N1656" t="s">
        <v>26</v>
      </c>
      <c r="O1656">
        <v>1</v>
      </c>
      <c r="P1656" t="s">
        <v>2350</v>
      </c>
      <c r="Q1656" t="s">
        <v>4528</v>
      </c>
      <c r="R1656" t="s">
        <v>4726</v>
      </c>
      <c r="S1656" t="s">
        <v>4717</v>
      </c>
      <c r="T1656">
        <f t="shared" si="161"/>
        <v>1</v>
      </c>
      <c r="U1656" s="21">
        <f t="shared" si="162"/>
        <v>43851</v>
      </c>
    </row>
    <row r="1657" spans="1:21" x14ac:dyDescent="0.35">
      <c r="A1657" t="s">
        <v>17</v>
      </c>
      <c r="B1657" t="s">
        <v>18</v>
      </c>
      <c r="C1657" t="s">
        <v>19</v>
      </c>
      <c r="D1657" t="s">
        <v>21</v>
      </c>
      <c r="E1657" s="1">
        <v>149.94999999999999</v>
      </c>
      <c r="F1657" t="s">
        <v>22</v>
      </c>
      <c r="G1657">
        <v>0</v>
      </c>
      <c r="H1657" s="1">
        <v>0</v>
      </c>
      <c r="I1657" s="21">
        <v>43846</v>
      </c>
      <c r="J1657" s="21">
        <v>43848</v>
      </c>
      <c r="K1657" s="21">
        <v>43848</v>
      </c>
      <c r="L1657" t="s">
        <v>24</v>
      </c>
      <c r="M1657" t="s">
        <v>25</v>
      </c>
      <c r="N1657" t="s">
        <v>26</v>
      </c>
      <c r="O1657">
        <v>1</v>
      </c>
      <c r="P1657" t="s">
        <v>27</v>
      </c>
      <c r="Q1657" t="s">
        <v>4513</v>
      </c>
      <c r="R1657" t="s">
        <v>4713</v>
      </c>
      <c r="S1657" t="s">
        <v>4719</v>
      </c>
      <c r="T1657">
        <f t="shared" si="161"/>
        <v>2</v>
      </c>
      <c r="U1657" s="21">
        <f t="shared" si="162"/>
        <v>43848</v>
      </c>
    </row>
    <row r="1658" spans="1:21" x14ac:dyDescent="0.35">
      <c r="A1658" t="s">
        <v>2432</v>
      </c>
      <c r="B1658" t="s">
        <v>2433</v>
      </c>
      <c r="C1658" t="s">
        <v>19</v>
      </c>
      <c r="D1658" t="s">
        <v>21</v>
      </c>
      <c r="E1658" s="1">
        <v>61.96</v>
      </c>
      <c r="F1658" t="s">
        <v>22</v>
      </c>
      <c r="G1658">
        <v>0</v>
      </c>
      <c r="H1658" s="1">
        <v>0</v>
      </c>
      <c r="I1658" s="21">
        <v>43845</v>
      </c>
      <c r="J1658" s="21">
        <v>43846</v>
      </c>
      <c r="K1658" s="21">
        <v>43846</v>
      </c>
      <c r="L1658" t="s">
        <v>45</v>
      </c>
      <c r="M1658" t="s">
        <v>72</v>
      </c>
      <c r="N1658" t="s">
        <v>73</v>
      </c>
      <c r="O1658">
        <v>1</v>
      </c>
      <c r="P1658" t="s">
        <v>2434</v>
      </c>
      <c r="Q1658" t="s">
        <v>4658</v>
      </c>
      <c r="R1658" t="s">
        <v>4721</v>
      </c>
      <c r="S1658" t="s">
        <v>4718</v>
      </c>
      <c r="T1658">
        <f t="shared" si="161"/>
        <v>1</v>
      </c>
      <c r="U1658" s="21">
        <f t="shared" si="162"/>
        <v>43846</v>
      </c>
    </row>
    <row r="1659" spans="1:21" x14ac:dyDescent="0.35">
      <c r="A1659" t="s">
        <v>3582</v>
      </c>
      <c r="B1659" t="s">
        <v>3583</v>
      </c>
      <c r="C1659" t="s">
        <v>30</v>
      </c>
      <c r="D1659" t="s">
        <v>21</v>
      </c>
      <c r="E1659" s="1">
        <v>9.94</v>
      </c>
      <c r="F1659" t="s">
        <v>22</v>
      </c>
      <c r="G1659">
        <v>0</v>
      </c>
      <c r="H1659" s="1">
        <v>0</v>
      </c>
      <c r="I1659" s="21">
        <v>43842</v>
      </c>
      <c r="J1659" s="21">
        <v>43845</v>
      </c>
      <c r="K1659" s="21">
        <v>43845</v>
      </c>
      <c r="L1659" t="s">
        <v>53</v>
      </c>
      <c r="M1659" t="s">
        <v>82</v>
      </c>
      <c r="N1659" t="s">
        <v>47</v>
      </c>
      <c r="O1659">
        <v>1</v>
      </c>
      <c r="P1659" t="s">
        <v>2453</v>
      </c>
      <c r="Q1659" t="s">
        <v>4603</v>
      </c>
      <c r="R1659" t="s">
        <v>4721</v>
      </c>
      <c r="S1659" t="s">
        <v>4718</v>
      </c>
      <c r="T1659">
        <f t="shared" si="161"/>
        <v>3</v>
      </c>
      <c r="U1659" s="21">
        <f t="shared" si="162"/>
        <v>43845</v>
      </c>
    </row>
    <row r="1660" spans="1:21" x14ac:dyDescent="0.35">
      <c r="A1660" t="s">
        <v>3579</v>
      </c>
      <c r="B1660" t="s">
        <v>3580</v>
      </c>
      <c r="C1660" t="s">
        <v>30</v>
      </c>
      <c r="D1660" t="s">
        <v>21</v>
      </c>
      <c r="E1660" s="1">
        <v>12.78</v>
      </c>
      <c r="F1660" t="s">
        <v>22</v>
      </c>
      <c r="G1660">
        <v>0</v>
      </c>
      <c r="H1660" s="1">
        <v>0</v>
      </c>
      <c r="I1660" s="21">
        <v>43837</v>
      </c>
      <c r="J1660" s="21">
        <v>43838</v>
      </c>
      <c r="K1660" s="21">
        <v>43838</v>
      </c>
      <c r="L1660" t="s">
        <v>39</v>
      </c>
      <c r="M1660" t="s">
        <v>97</v>
      </c>
      <c r="N1660" t="s">
        <v>68</v>
      </c>
      <c r="O1660">
        <v>1</v>
      </c>
      <c r="P1660" t="s">
        <v>3581</v>
      </c>
      <c r="Q1660" t="s">
        <v>4640</v>
      </c>
      <c r="R1660" t="s">
        <v>4726</v>
      </c>
      <c r="S1660" t="s">
        <v>4717</v>
      </c>
      <c r="T1660">
        <f t="shared" si="161"/>
        <v>1</v>
      </c>
      <c r="U1660" s="21">
        <f t="shared" si="162"/>
        <v>43838</v>
      </c>
    </row>
  </sheetData>
  <autoFilter ref="A1:U1" xr:uid="{6F1AB1E4-DD8A-4F15-BD0D-15A1AF6822C6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6A678E-2FC7-4DD2-BCC3-6E216F752C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File with Unknown OID(ignore) </vt:lpstr>
      <vt:lpstr>Data for DB</vt:lpstr>
    </vt:vector>
  </TitlesOfParts>
  <Company>General Mills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Mehta</dc:creator>
  <cp:lastModifiedBy>Mehta, Sanket Suketu</cp:lastModifiedBy>
  <dcterms:created xsi:type="dcterms:W3CDTF">2024-10-19T10:37:08Z</dcterms:created>
  <dcterms:modified xsi:type="dcterms:W3CDTF">2025-10-13T10:09:59Z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2025-10-13T10:09:40Z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9314485b-0a25-4ea7-928e-0ace8342d4f8</vt:lpwstr>
  </property>
  <property fmtid="{D5CDD505-2E9C-101B-9397-08002B2CF9AE}" pid="8" name="MSIP_Label_38f1469a-2c2a-4aee-b92b-090d4c5468ff_ContentBits">
    <vt:lpwstr>0</vt:lpwstr>
  </property>
  <property fmtid="{D5CDD505-2E9C-101B-9397-08002B2CF9AE}" pid="9" name="MSIP_Label_38f1469a-2c2a-4aee-b92b-090d4c5468ff_Tag">
    <vt:lpwstr>10, 3, 0, 1</vt:lpwstr>
  </property>
</Properties>
</file>